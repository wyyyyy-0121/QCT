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0_Records" sheetId="1" state="visible" r:id="rId1"/>
    <sheet name="c1_Records" sheetId="2" state="visible" r:id="rId2"/>
    <sheet name="c2_Records" sheetId="3" state="visible" r:id="rId3"/>
    <sheet name="c3_Records" sheetId="4" state="visible" r:id="rId4"/>
    <sheet name="c4_Records" sheetId="5" state="visible" r:id="rId5"/>
    <sheet name="c5_Records" sheetId="6" state="visible" r:id="rId6"/>
    <sheet name="c6_Records" sheetId="7" state="visible" r:id="rId7"/>
    <sheet name="c7_Records" sheetId="8" state="visible" r:id="rId8"/>
    <sheet name="c8_Records" sheetId="9" state="visible" r:id="rId9"/>
    <sheet name="c9_Records" sheetId="10" state="visible" r:id="rId10"/>
    <sheet name="c10_Records" sheetId="11" state="visible" r:id="rId11"/>
    <sheet name="c11_Records" sheetId="12" state="visible" r:id="rId12"/>
    <sheet name="c12_Records" sheetId="13" state="visible" r:id="rId13"/>
    <sheet name="c13_Records" sheetId="14" state="visible" r:id="rId14"/>
    <sheet name="c14_Schedule" sheetId="15" state="visible" r:id="rId15"/>
    <sheet name="c14_Parameters" sheetId="16" state="visible" r:id="rId16"/>
    <sheet name="c15_Schedule" sheetId="17" state="visible" r:id="rId17"/>
    <sheet name="c15_Parameters" sheetId="18" state="visible" r:id="rId18"/>
    <sheet name="c16_Schedule" sheetId="19" state="visible" r:id="rId19"/>
    <sheet name="c16_Parameters" sheetId="20" state="visible" r:id="rId20"/>
    <sheet name="c17_Schedule" sheetId="21" state="visible" r:id="rId21"/>
    <sheet name="c17_Parameters" sheetId="22" state="visible" r:id="rId22"/>
    <sheet name="c18_Schedule" sheetId="23" state="visible" r:id="rId23"/>
    <sheet name="c18_Parameters" sheetId="24" state="visible" r:id="rId24"/>
    <sheet name="c19_Schedule" sheetId="25" state="visible" r:id="rId25"/>
    <sheet name="c19_Parameters" sheetId="26" state="visible" r:id="rId26"/>
    <sheet name="c20_Schedule" sheetId="27" state="visible" r:id="rId27"/>
    <sheet name="c20_Parameters" sheetId="28" state="visible" r:id="rId28"/>
    <sheet name="c21_Schedule" sheetId="29" state="visible" r:id="rId29"/>
    <sheet name="c21_Parameters" sheetId="30" state="visible" r:id="rId30"/>
    <sheet name="c22_Schedule" sheetId="31" state="visible" r:id="rId31"/>
    <sheet name="c22_Parameters" sheetId="32" state="visible" r:id="rId32"/>
    <sheet name="c23_Schedule" sheetId="33" state="visible" r:id="rId33"/>
    <sheet name="c23_Parameters" sheetId="34" state="visible" r:id="rId34"/>
    <sheet name="c24_Schedule" sheetId="35" state="visible" r:id="rId35"/>
    <sheet name="c24_Parameters" sheetId="36" state="visible" r:id="rId36"/>
    <sheet name="c25_Schedule" sheetId="37" state="visible" r:id="rId37"/>
    <sheet name="c25_Parameter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I12"/>
  <sheetViews>
    <sheetView workbookViewId="0">
      <selection activeCell="A1" sqref="A1"/>
    </sheetView>
  </sheetViews>
  <sheetFormatPr baseColWidth="8" defaultRowHeight="15"/>
  <sheetData>
    <row r="4">
      <c r="C4" t="inlineStr">
        <is>
          <t>Units</t>
        </is>
      </c>
      <c r="D4" t="inlineStr">
        <is>
          <t>Unit Price</t>
        </is>
      </c>
      <c r="E4" t="inlineStr">
        <is>
          <t>Unit Cost</t>
        </is>
      </c>
      <c r="F4" t="inlineStr">
        <is>
          <t>Shipping</t>
        </is>
      </c>
      <c r="G4" t="inlineStr">
        <is>
          <t>Discount Rate</t>
        </is>
      </c>
      <c r="H4" t="inlineStr">
        <is>
          <t>Tax Rate</t>
        </is>
      </c>
      <c r="I4" t="inlineStr">
        <is>
          <t>Net Profit</t>
        </is>
      </c>
    </row>
    <row r="7">
      <c r="C7" t="n">
        <v>11</v>
      </c>
      <c r="D7" t="n">
        <v>47</v>
      </c>
      <c r="E7" t="n">
        <v>8</v>
      </c>
      <c r="F7" t="n">
        <v>3</v>
      </c>
      <c r="G7" t="n">
        <v>0.1</v>
      </c>
      <c r="H7" t="n">
        <v>0.03</v>
      </c>
      <c r="I7">
        <f>C7*D7*(1-G7)*(1-H7)-C7*E7-F7</f>
        <v/>
      </c>
    </row>
    <row r="8">
      <c r="C8" t="n">
        <v>12</v>
      </c>
      <c r="D8" t="n">
        <v>48</v>
      </c>
      <c r="E8" t="n">
        <v>8</v>
      </c>
      <c r="F8" t="n">
        <v>3</v>
      </c>
      <c r="G8" t="n">
        <v>0.1</v>
      </c>
      <c r="H8" t="n">
        <v>0.03</v>
      </c>
      <c r="I8">
        <f>C8*D8*(1-G8)*(1-H8)-C8*E8-F8</f>
        <v/>
      </c>
    </row>
    <row r="9">
      <c r="C9" t="n">
        <v>13</v>
      </c>
      <c r="D9" t="n">
        <v>49</v>
      </c>
      <c r="E9" t="n">
        <v>8</v>
      </c>
      <c r="F9" t="n">
        <v>3</v>
      </c>
      <c r="G9" t="n">
        <v>0.1</v>
      </c>
      <c r="H9" t="n">
        <v>0.03</v>
      </c>
      <c r="I9">
        <f>C9*D9*(1-G9)*(1-H9)-C9*E9-F9</f>
        <v/>
      </c>
    </row>
    <row r="10">
      <c r="C10" t="n">
        <v>14</v>
      </c>
      <c r="D10" t="n">
        <v>50</v>
      </c>
      <c r="E10" t="n">
        <v>8</v>
      </c>
      <c r="F10" t="n">
        <v>3</v>
      </c>
      <c r="G10" t="n">
        <v>0.1</v>
      </c>
      <c r="H10" t="n">
        <v>0.03</v>
      </c>
      <c r="I10">
        <f>C10*D10*(1-G10)*(1-H10)-C10*E10-F10</f>
        <v/>
      </c>
    </row>
    <row r="11">
      <c r="C11" t="n">
        <v>15</v>
      </c>
      <c r="D11" t="n">
        <v>51</v>
      </c>
      <c r="E11" t="n">
        <v>8</v>
      </c>
      <c r="F11" t="n">
        <v>3</v>
      </c>
      <c r="G11" t="n">
        <v>0.1</v>
      </c>
      <c r="H11" t="n">
        <v>0.03</v>
      </c>
      <c r="I11">
        <f>C11*D11*(1-G11)*(1-H11)-C11*E11-F11</f>
        <v/>
      </c>
    </row>
    <row r="12">
      <c r="C12" t="n">
        <v>16</v>
      </c>
      <c r="D12" t="n">
        <v>52</v>
      </c>
      <c r="E12" t="n">
        <v>8</v>
      </c>
      <c r="F12" t="n">
        <v>3</v>
      </c>
      <c r="G12" t="n">
        <v>0.1</v>
      </c>
      <c r="H12" t="n">
        <v>0.03</v>
      </c>
      <c r="I12">
        <f>C12*D12*(1-G12)*(1-H12)-C12*E12-F12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AZ12"/>
  <sheetViews>
    <sheetView workbookViewId="0">
      <selection activeCell="A1" sqref="A1"/>
    </sheetView>
  </sheetViews>
  <sheetFormatPr baseColWidth="8" defaultRowHeight="15"/>
  <sheetData>
    <row r="2">
      <c r="AZ2">
        <f>D10*E10*(1-H10)*(1-I10)-D10*F10-G10</f>
        <v/>
      </c>
    </row>
    <row r="3">
      <c r="AZ3">
        <f>D11*E11*(1-H11)*(1-I11)-D11*F11-G11</f>
        <v/>
      </c>
    </row>
    <row r="4">
      <c r="C4" t="inlineStr">
        <is>
          <t>Net Profit</t>
        </is>
      </c>
      <c r="D4" t="inlineStr">
        <is>
          <t>Units</t>
        </is>
      </c>
      <c r="E4" t="inlineStr">
        <is>
          <t>Unit Price</t>
        </is>
      </c>
      <c r="F4" t="inlineStr">
        <is>
          <t>Unit Cost</t>
        </is>
      </c>
      <c r="G4" t="inlineStr">
        <is>
          <t>Shipping</t>
        </is>
      </c>
      <c r="H4" t="inlineStr">
        <is>
          <t>Discount Rate</t>
        </is>
      </c>
      <c r="I4" t="inlineStr">
        <is>
          <t>Tax Rate</t>
        </is>
      </c>
      <c r="AZ4">
        <f>D12*E12*(1-H12)*(1-I12)-D12*F12-G12</f>
        <v/>
      </c>
    </row>
    <row r="5">
      <c r="AZ5">
        <f>D7*E7*(1-H7)*(1-I7)-D7*F7-G7</f>
        <v/>
      </c>
    </row>
    <row r="6">
      <c r="AZ6">
        <f>D8*E8*(1-H8)*(1-I8)-D8*F8-G8</f>
        <v/>
      </c>
    </row>
    <row r="7">
      <c r="C7">
        <f>D7*E7*(1-H7)*(1-I7)+D7*F7-G7</f>
        <v/>
      </c>
      <c r="D7" t="n">
        <v>11</v>
      </c>
      <c r="E7" t="n">
        <v>47</v>
      </c>
      <c r="F7" t="n">
        <v>8</v>
      </c>
      <c r="G7" t="n">
        <v>3</v>
      </c>
      <c r="H7" t="n">
        <v>0.1</v>
      </c>
      <c r="I7" t="n">
        <v>0.03</v>
      </c>
      <c r="AZ7">
        <f>D9*E9*(1-H9)*(1-I9)-D9*F9-G9</f>
        <v/>
      </c>
    </row>
    <row r="8">
      <c r="C8">
        <f>D8*E8*(1-H8)*(1-I8)+D8*F8-G8</f>
        <v/>
      </c>
      <c r="D8" t="n">
        <v>12</v>
      </c>
      <c r="E8" t="n">
        <v>48</v>
      </c>
      <c r="F8" t="n">
        <v>8</v>
      </c>
      <c r="G8" t="n">
        <v>3</v>
      </c>
      <c r="H8" t="n">
        <v>0.1</v>
      </c>
      <c r="I8" t="n">
        <v>0.03</v>
      </c>
    </row>
    <row r="9">
      <c r="C9">
        <f>D9*E9*(1-H9)*(1-I9)+D9*F9-G9</f>
        <v/>
      </c>
      <c r="D9" t="n">
        <v>13</v>
      </c>
      <c r="E9" t="n">
        <v>49</v>
      </c>
      <c r="F9" t="n">
        <v>8</v>
      </c>
      <c r="G9" t="n">
        <v>3</v>
      </c>
      <c r="H9" t="n">
        <v>0.1</v>
      </c>
      <c r="I9" t="n">
        <v>0.03</v>
      </c>
    </row>
    <row r="10">
      <c r="C10">
        <f>D10*E10*(1-H10)*(1-I10)+D10*F10-G10</f>
        <v/>
      </c>
      <c r="D10" t="n">
        <v>14</v>
      </c>
      <c r="E10" t="n">
        <v>50</v>
      </c>
      <c r="F10" t="n">
        <v>8</v>
      </c>
      <c r="G10" t="n">
        <v>3</v>
      </c>
      <c r="H10" t="n">
        <v>0.1</v>
      </c>
      <c r="I10" t="n">
        <v>0.03</v>
      </c>
    </row>
    <row r="11">
      <c r="C11">
        <f>D11*E11*(1-H11)*(1-I11)+D11*F11-G11</f>
        <v/>
      </c>
      <c r="D11" t="n">
        <v>15</v>
      </c>
      <c r="E11" t="n">
        <v>51</v>
      </c>
      <c r="F11" t="n">
        <v>8</v>
      </c>
      <c r="G11" t="n">
        <v>3</v>
      </c>
      <c r="H11" t="n">
        <v>0.1</v>
      </c>
      <c r="I11" t="n">
        <v>0.03</v>
      </c>
    </row>
    <row r="12">
      <c r="C12">
        <f>D12*E12*(1-H12)*(1-I12)+D12*F12-G12</f>
        <v/>
      </c>
      <c r="D12" t="n">
        <v>16</v>
      </c>
      <c r="E12" t="n">
        <v>52</v>
      </c>
      <c r="F12" t="n">
        <v>8</v>
      </c>
      <c r="G12" t="n">
        <v>3</v>
      </c>
      <c r="H12" t="n">
        <v>0.1</v>
      </c>
      <c r="I12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AZ12"/>
  <sheetViews>
    <sheetView workbookViewId="0">
      <selection activeCell="A1" sqref="A1"/>
    </sheetView>
  </sheetViews>
  <sheetFormatPr baseColWidth="8" defaultRowHeight="15"/>
  <sheetData>
    <row r="2">
      <c r="AZ2">
        <f>E10*F10*(1-I10)*(1-C10)-E10*G10-H10</f>
        <v/>
      </c>
    </row>
    <row r="3">
      <c r="AZ3">
        <f>E11*F11*(1-I11)*(1-C11)-E11*G11-H11</f>
        <v/>
      </c>
    </row>
    <row r="4">
      <c r="C4" t="inlineStr">
        <is>
          <t>Tax Rate</t>
        </is>
      </c>
      <c r="D4" t="inlineStr">
        <is>
          <t>Net Profit</t>
        </is>
      </c>
      <c r="E4" t="inlineStr">
        <is>
          <t>Units</t>
        </is>
      </c>
      <c r="F4" t="inlineStr">
        <is>
          <t>Unit Price</t>
        </is>
      </c>
      <c r="G4" t="inlineStr">
        <is>
          <t>Unit Cost</t>
        </is>
      </c>
      <c r="H4" t="inlineStr">
        <is>
          <t>Shipping</t>
        </is>
      </c>
      <c r="I4" t="inlineStr">
        <is>
          <t>Discount Rate</t>
        </is>
      </c>
      <c r="AZ4">
        <f>E12*F12*(1-I12)*(1-C12)-E12*G12-H12</f>
        <v/>
      </c>
    </row>
    <row r="5">
      <c r="AZ5">
        <f>E7*F7*(1-I7)*(1-C7)-E7*G7-H7</f>
        <v/>
      </c>
    </row>
    <row r="6">
      <c r="AZ6">
        <f>E8*F8*(1-I8)*(1-C8)-E8*G8-H8</f>
        <v/>
      </c>
    </row>
    <row r="7">
      <c r="C7" t="n">
        <v>0.03</v>
      </c>
      <c r="D7">
        <f>E7*G7*(1-I7)*(1-C7)-E7*G7-H7</f>
        <v/>
      </c>
      <c r="E7" t="n">
        <v>11</v>
      </c>
      <c r="F7" t="n">
        <v>47</v>
      </c>
      <c r="G7" t="n">
        <v>8</v>
      </c>
      <c r="H7" t="n">
        <v>3</v>
      </c>
      <c r="I7" t="n">
        <v>0.1</v>
      </c>
      <c r="AZ7">
        <f>E9*F9*(1-I9)*(1-C9)-E9*G9-H9</f>
        <v/>
      </c>
    </row>
    <row r="8">
      <c r="C8" t="n">
        <v>0.03</v>
      </c>
      <c r="D8">
        <f>E8*G8*(1-I8)*(1-C8)-E8*G8-H8</f>
        <v/>
      </c>
      <c r="E8" t="n">
        <v>12</v>
      </c>
      <c r="F8" t="n">
        <v>48</v>
      </c>
      <c r="G8" t="n">
        <v>8</v>
      </c>
      <c r="H8" t="n">
        <v>3</v>
      </c>
      <c r="I8" t="n">
        <v>0.1</v>
      </c>
    </row>
    <row r="9">
      <c r="C9" t="n">
        <v>0.03</v>
      </c>
      <c r="D9">
        <f>E9*G9*(1-I9)*(1-C9)-E9*G9-H9</f>
        <v/>
      </c>
      <c r="E9" t="n">
        <v>13</v>
      </c>
      <c r="F9" t="n">
        <v>49</v>
      </c>
      <c r="G9" t="n">
        <v>8</v>
      </c>
      <c r="H9" t="n">
        <v>3</v>
      </c>
      <c r="I9" t="n">
        <v>0.1</v>
      </c>
    </row>
    <row r="10">
      <c r="C10" t="n">
        <v>0.03</v>
      </c>
      <c r="D10">
        <f>E10*G10*(1-I10)*(1-C10)-E10*G10-H10</f>
        <v/>
      </c>
      <c r="E10" t="n">
        <v>14</v>
      </c>
      <c r="F10" t="n">
        <v>50</v>
      </c>
      <c r="G10" t="n">
        <v>8</v>
      </c>
      <c r="H10" t="n">
        <v>3</v>
      </c>
      <c r="I10" t="n">
        <v>0.1</v>
      </c>
    </row>
    <row r="11">
      <c r="C11" t="n">
        <v>0.03</v>
      </c>
      <c r="D11">
        <f>E11*G11*(1-I11)*(1-C11)-E11*G11-H11</f>
        <v/>
      </c>
      <c r="E11" t="n">
        <v>15</v>
      </c>
      <c r="F11" t="n">
        <v>51</v>
      </c>
      <c r="G11" t="n">
        <v>8</v>
      </c>
      <c r="H11" t="n">
        <v>3</v>
      </c>
      <c r="I11" t="n">
        <v>0.1</v>
      </c>
    </row>
    <row r="12">
      <c r="C12" t="n">
        <v>0.03</v>
      </c>
      <c r="D12">
        <f>E12*G12*(1-I12)*(1-C12)-E12*G12-H12</f>
        <v/>
      </c>
      <c r="E12" t="n">
        <v>16</v>
      </c>
      <c r="F12" t="n">
        <v>52</v>
      </c>
      <c r="G12" t="n">
        <v>8</v>
      </c>
      <c r="H12" t="n">
        <v>3</v>
      </c>
      <c r="I1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2:AZ12"/>
  <sheetViews>
    <sheetView workbookViewId="0">
      <selection activeCell="A1" sqref="A1"/>
    </sheetView>
  </sheetViews>
  <sheetFormatPr baseColWidth="8" defaultRowHeight="15"/>
  <sheetData>
    <row r="2">
      <c r="AZ2">
        <f>F10*G10*(1-C10)*(1-D10)-F10*H10-I10</f>
        <v/>
      </c>
    </row>
    <row r="3">
      <c r="AZ3">
        <f>F11*G11*(1-C11)*(1-D11)-F11*H11-I11</f>
        <v/>
      </c>
    </row>
    <row r="4">
      <c r="C4" t="inlineStr">
        <is>
          <t>Discount Rate</t>
        </is>
      </c>
      <c r="D4" t="inlineStr">
        <is>
          <t>Tax Rate</t>
        </is>
      </c>
      <c r="E4" t="inlineStr">
        <is>
          <t>Net Profit</t>
        </is>
      </c>
      <c r="F4" t="inlineStr">
        <is>
          <t>Units</t>
        </is>
      </c>
      <c r="G4" t="inlineStr">
        <is>
          <t>Unit Price</t>
        </is>
      </c>
      <c r="H4" t="inlineStr">
        <is>
          <t>Unit Cost</t>
        </is>
      </c>
      <c r="I4" t="inlineStr">
        <is>
          <t>Shipping</t>
        </is>
      </c>
      <c r="AZ4">
        <f>F12*G12*(1-C12)*(1-D12)-F12*H12-I12</f>
        <v/>
      </c>
    </row>
    <row r="5">
      <c r="AZ5">
        <f>F7*G7*(1-C7)*(1-D7)-F7*H7-I7</f>
        <v/>
      </c>
    </row>
    <row r="6">
      <c r="AZ6">
        <f>F8*G8*(1-C8)*(1-D8)-F8*H8-I8</f>
        <v/>
      </c>
    </row>
    <row r="7">
      <c r="C7" t="n">
        <v>0.1</v>
      </c>
      <c r="D7" t="n">
        <v>0.03</v>
      </c>
      <c r="E7">
        <f>(F7*G7*(1-C7)*(1-D7)-F7*H7-I7)*1.19</f>
        <v/>
      </c>
      <c r="F7" t="n">
        <v>11</v>
      </c>
      <c r="G7" t="n">
        <v>47</v>
      </c>
      <c r="H7" t="n">
        <v>8</v>
      </c>
      <c r="I7" t="n">
        <v>3</v>
      </c>
      <c r="AZ7">
        <f>F9*G9*(1-C9)*(1-D9)-F9*H9-I9</f>
        <v/>
      </c>
    </row>
    <row r="8">
      <c r="C8" t="n">
        <v>0.1</v>
      </c>
      <c r="D8" t="n">
        <v>0.03</v>
      </c>
      <c r="E8">
        <f>(F8*G8*(1-C8)*(1-D8)-F8*H8-I8)*1.19</f>
        <v/>
      </c>
      <c r="F8" t="n">
        <v>12</v>
      </c>
      <c r="G8" t="n">
        <v>48</v>
      </c>
      <c r="H8" t="n">
        <v>8</v>
      </c>
      <c r="I8" t="n">
        <v>3</v>
      </c>
    </row>
    <row r="9">
      <c r="C9" t="n">
        <v>0.1</v>
      </c>
      <c r="D9" t="n">
        <v>0.03</v>
      </c>
      <c r="E9">
        <f>(F9*G9*(1-C9)*(1-D9)-F9*H9-I9)*1.19</f>
        <v/>
      </c>
      <c r="F9" t="n">
        <v>13</v>
      </c>
      <c r="G9" t="n">
        <v>49</v>
      </c>
      <c r="H9" t="n">
        <v>8</v>
      </c>
      <c r="I9" t="n">
        <v>3</v>
      </c>
    </row>
    <row r="10">
      <c r="C10" t="n">
        <v>0.1</v>
      </c>
      <c r="D10" t="n">
        <v>0.03</v>
      </c>
      <c r="E10">
        <f>(F10*G10*(1-C10)*(1-D10)-F10*H10-I10)*1.19</f>
        <v/>
      </c>
      <c r="F10" t="n">
        <v>14</v>
      </c>
      <c r="G10" t="n">
        <v>50</v>
      </c>
      <c r="H10" t="n">
        <v>8</v>
      </c>
      <c r="I10" t="n">
        <v>3</v>
      </c>
    </row>
    <row r="11">
      <c r="C11" t="n">
        <v>0.1</v>
      </c>
      <c r="D11" t="n">
        <v>0.03</v>
      </c>
      <c r="E11">
        <f>(F11*G11*(1-C11)*(1-D11)-F11*H11-I11)*1.19</f>
        <v/>
      </c>
      <c r="F11" t="n">
        <v>15</v>
      </c>
      <c r="G11" t="n">
        <v>51</v>
      </c>
      <c r="H11" t="n">
        <v>8</v>
      </c>
      <c r="I11" t="n">
        <v>3</v>
      </c>
    </row>
    <row r="12">
      <c r="C12" t="n">
        <v>0.1</v>
      </c>
      <c r="D12" t="n">
        <v>0.03</v>
      </c>
      <c r="E12">
        <f>(F12*G12*(1-C12)*(1-D12)-F12*H12-I12)*1.19</f>
        <v/>
      </c>
      <c r="F12" t="n">
        <v>16</v>
      </c>
      <c r="G12" t="n">
        <v>52</v>
      </c>
      <c r="H12" t="n">
        <v>8</v>
      </c>
      <c r="I1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4:P18"/>
  <sheetViews>
    <sheetView workbookViewId="0">
      <selection activeCell="A1" sqref="A1"/>
    </sheetView>
  </sheetViews>
  <sheetFormatPr baseColWidth="8" defaultRowHeight="15"/>
  <sheetData>
    <row r="4">
      <c r="C4" t="inlineStr">
        <is>
          <t>Shipping</t>
        </is>
      </c>
      <c r="D4" t="inlineStr">
        <is>
          <t>Discount Rate</t>
        </is>
      </c>
      <c r="E4" t="inlineStr">
        <is>
          <t>Tax Rate</t>
        </is>
      </c>
      <c r="F4" t="inlineStr">
        <is>
          <t>Net Profit</t>
        </is>
      </c>
      <c r="G4" t="inlineStr">
        <is>
          <t>Units</t>
        </is>
      </c>
      <c r="H4" t="inlineStr">
        <is>
          <t>Unit Price</t>
        </is>
      </c>
      <c r="I4" t="inlineStr">
        <is>
          <t>Unit Cost</t>
        </is>
      </c>
    </row>
    <row r="7">
      <c r="C7" t="n">
        <v>3</v>
      </c>
      <c r="D7" t="n">
        <v>0.1</v>
      </c>
      <c r="E7" t="n">
        <v>0.03</v>
      </c>
      <c r="F7">
        <f>G7*H7*(1-D7)*(1-E7)*0.73-G7*I7-C7</f>
        <v/>
      </c>
      <c r="G7" t="n">
        <v>11</v>
      </c>
      <c r="H7" t="n">
        <v>47</v>
      </c>
      <c r="I7" t="n">
        <v>8</v>
      </c>
    </row>
    <row r="8">
      <c r="C8" t="n">
        <v>3</v>
      </c>
      <c r="D8" t="n">
        <v>0.1</v>
      </c>
      <c r="E8" t="n">
        <v>0.03</v>
      </c>
      <c r="F8">
        <f>G8*H8*(1-D8)*(1-E8)*0.73-G8*I8-C8</f>
        <v/>
      </c>
      <c r="G8" t="n">
        <v>12</v>
      </c>
      <c r="H8" t="n">
        <v>48</v>
      </c>
      <c r="I8" t="n">
        <v>8</v>
      </c>
    </row>
    <row r="9">
      <c r="C9" t="n">
        <v>3</v>
      </c>
      <c r="D9" t="n">
        <v>0.1</v>
      </c>
      <c r="E9" t="n">
        <v>0.03</v>
      </c>
      <c r="F9">
        <f>G9*H9*(1-D9)*(1-E9)*0.73-G9*I9-C9</f>
        <v/>
      </c>
      <c r="G9" t="n">
        <v>13</v>
      </c>
      <c r="H9" t="n">
        <v>49</v>
      </c>
      <c r="I9" t="n">
        <v>8</v>
      </c>
    </row>
    <row r="10">
      <c r="C10" t="n">
        <v>3</v>
      </c>
      <c r="D10" t="n">
        <v>0.1</v>
      </c>
      <c r="E10" t="n">
        <v>0.03</v>
      </c>
      <c r="F10">
        <f>G10*H10*(1-D10)*(1-E10)*0.73-G10*I10-C10</f>
        <v/>
      </c>
      <c r="G10" t="n">
        <v>14</v>
      </c>
      <c r="H10" t="n">
        <v>50</v>
      </c>
      <c r="I10" t="n">
        <v>8</v>
      </c>
    </row>
    <row r="11">
      <c r="C11" t="n">
        <v>3</v>
      </c>
      <c r="D11" t="n">
        <v>0.1</v>
      </c>
      <c r="E11" t="n">
        <v>0.03</v>
      </c>
      <c r="F11">
        <f>G11*H11*(1-D11)*(1-E11)*0.73-G11*I11-C11</f>
        <v/>
      </c>
      <c r="G11" t="n">
        <v>15</v>
      </c>
      <c r="H11" t="n">
        <v>51</v>
      </c>
      <c r="I11" t="n">
        <v>8</v>
      </c>
    </row>
    <row r="12">
      <c r="C12" t="n">
        <v>3</v>
      </c>
      <c r="D12" t="n">
        <v>0.1</v>
      </c>
      <c r="E12" t="n">
        <v>0.03</v>
      </c>
      <c r="F12">
        <f>G12*H12*(1-D12)*(1-E12)*0.73-G12*I12-C12</f>
        <v/>
      </c>
      <c r="G12" t="n">
        <v>16</v>
      </c>
      <c r="H12" t="n">
        <v>52</v>
      </c>
      <c r="I12" t="n">
        <v>8</v>
      </c>
    </row>
    <row r="18">
      <c r="P18" t="inlineStr">
        <is>
          <t>Contract: revenue share is 0.73.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2:AZ12"/>
  <sheetViews>
    <sheetView workbookViewId="0">
      <selection activeCell="A1" sqref="A1"/>
    </sheetView>
  </sheetViews>
  <sheetFormatPr baseColWidth="8" defaultRowHeight="15"/>
  <sheetData>
    <row r="2">
      <c r="AZ2">
        <f>H10*I10*(1-E10)*(1-F10)-H10*C10-D10</f>
        <v/>
      </c>
    </row>
    <row r="3">
      <c r="AZ3">
        <f>H11*I11*(1-E11)*(1-F11)-H11*C11-D11</f>
        <v/>
      </c>
    </row>
    <row r="4">
      <c r="C4" t="inlineStr">
        <is>
          <t>Unit Cost</t>
        </is>
      </c>
      <c r="D4" t="inlineStr">
        <is>
          <t>Shipping</t>
        </is>
      </c>
      <c r="E4" t="inlineStr">
        <is>
          <t>Discount Rate</t>
        </is>
      </c>
      <c r="F4" t="inlineStr">
        <is>
          <t>Tax Rate</t>
        </is>
      </c>
      <c r="G4" t="inlineStr">
        <is>
          <t>Net Profit</t>
        </is>
      </c>
      <c r="H4" t="inlineStr">
        <is>
          <t>Units</t>
        </is>
      </c>
      <c r="I4" t="inlineStr">
        <is>
          <t>Unit Price</t>
        </is>
      </c>
      <c r="AZ4">
        <f>H12*I12*(1-E12)*(1-F12)-H12*C12-D12</f>
        <v/>
      </c>
    </row>
    <row r="5">
      <c r="AZ5">
        <f>H7*I7*(1-E7)*(1-F7)-H7*C7-D7</f>
        <v/>
      </c>
    </row>
    <row r="6">
      <c r="AZ6">
        <f>H8*I8*(1-E8)*(1-F8)-H8*C8-D8</f>
        <v/>
      </c>
    </row>
    <row r="7">
      <c r="C7" t="n">
        <v>8</v>
      </c>
      <c r="D7" t="n">
        <v>3</v>
      </c>
      <c r="E7" t="n">
        <v>0.1</v>
      </c>
      <c r="F7" t="n">
        <v>0.03</v>
      </c>
      <c r="G7">
        <f>H7*I7*(1-E7)*(1-F7)*0.73-H7*C7-D7</f>
        <v/>
      </c>
      <c r="H7" t="n">
        <v>11</v>
      </c>
      <c r="I7" t="n">
        <v>47</v>
      </c>
      <c r="AZ7">
        <f>H9*I9*(1-E9)*(1-F9)-H9*C9-D9</f>
        <v/>
      </c>
    </row>
    <row r="8">
      <c r="C8" t="n">
        <v>8</v>
      </c>
      <c r="D8" t="n">
        <v>3</v>
      </c>
      <c r="E8" t="n">
        <v>0.1</v>
      </c>
      <c r="F8" t="n">
        <v>0.03</v>
      </c>
      <c r="G8">
        <f>H8*I8*(1-E8)*(1-F8)*0.73-H8*C8-D8</f>
        <v/>
      </c>
      <c r="H8" t="n">
        <v>12</v>
      </c>
      <c r="I8" t="n">
        <v>48</v>
      </c>
    </row>
    <row r="9">
      <c r="C9" t="n">
        <v>8</v>
      </c>
      <c r="D9" t="n">
        <v>3</v>
      </c>
      <c r="E9" t="n">
        <v>0.1</v>
      </c>
      <c r="F9" t="n">
        <v>0.03</v>
      </c>
      <c r="G9">
        <f>H9*I9*(1-E9)*(1-F9)*0.73-H9*C9-D9</f>
        <v/>
      </c>
      <c r="H9" t="n">
        <v>13</v>
      </c>
      <c r="I9" t="n">
        <v>49</v>
      </c>
    </row>
    <row r="10">
      <c r="C10" t="n">
        <v>8</v>
      </c>
      <c r="D10" t="n">
        <v>3</v>
      </c>
      <c r="E10" t="n">
        <v>0.1</v>
      </c>
      <c r="F10" t="n">
        <v>0.03</v>
      </c>
      <c r="G10">
        <f>H10*I10*(1-E10)*(1-F10)*0.73-H10*C10-D10</f>
        <v/>
      </c>
      <c r="H10" t="n">
        <v>14</v>
      </c>
      <c r="I10" t="n">
        <v>50</v>
      </c>
    </row>
    <row r="11">
      <c r="C11" t="n">
        <v>8</v>
      </c>
      <c r="D11" t="n">
        <v>3</v>
      </c>
      <c r="E11" t="n">
        <v>0.1</v>
      </c>
      <c r="F11" t="n">
        <v>0.03</v>
      </c>
      <c r="G11">
        <f>H11*I11*(1-E11)*(1-F11)*0.73-H11*C11-D11</f>
        <v/>
      </c>
      <c r="H11" t="n">
        <v>15</v>
      </c>
      <c r="I11" t="n">
        <v>51</v>
      </c>
    </row>
    <row r="12">
      <c r="C12" t="n">
        <v>8</v>
      </c>
      <c r="D12" t="n">
        <v>3</v>
      </c>
      <c r="E12" t="n">
        <v>0.1</v>
      </c>
      <c r="F12" t="n">
        <v>0.03</v>
      </c>
      <c r="G12">
        <f>H12*I12*(1-E12)*(1-F12)*0.73-H12*C12-D12</f>
        <v/>
      </c>
      <c r="H12" t="n">
        <v>16</v>
      </c>
      <c r="I12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4:P18"/>
  <sheetViews>
    <sheetView workbookViewId="0">
      <selection activeCell="A1" sqref="A1"/>
    </sheetView>
  </sheetViews>
  <sheetFormatPr baseColWidth="8" defaultRowHeight="15"/>
  <sheetData>
    <row r="4">
      <c r="C4" t="inlineStr">
        <is>
          <t>Unit Price</t>
        </is>
      </c>
      <c r="D4" t="inlineStr">
        <is>
          <t>Unit Cost</t>
        </is>
      </c>
      <c r="E4" t="inlineStr">
        <is>
          <t>Shipping</t>
        </is>
      </c>
      <c r="F4" t="inlineStr">
        <is>
          <t>Discount Rate</t>
        </is>
      </c>
      <c r="G4" t="inlineStr">
        <is>
          <t>Tax Rate</t>
        </is>
      </c>
      <c r="H4" t="inlineStr">
        <is>
          <t>Net Profit</t>
        </is>
      </c>
      <c r="I4" t="inlineStr">
        <is>
          <t>Units</t>
        </is>
      </c>
    </row>
    <row r="7">
      <c r="C7" t="n">
        <v>47</v>
      </c>
      <c r="D7" t="n">
        <v>8</v>
      </c>
      <c r="E7" t="n">
        <v>3</v>
      </c>
      <c r="F7" t="n">
        <v>0.1</v>
      </c>
      <c r="G7" t="n">
        <v>0.03</v>
      </c>
      <c r="H7">
        <f>(I7*C7*(1-F7)*(1-G7)-I7*D7-E7)+17</f>
        <v/>
      </c>
      <c r="I7" t="n">
        <v>11</v>
      </c>
    </row>
    <row r="8">
      <c r="C8" t="n">
        <v>48</v>
      </c>
      <c r="D8" t="n">
        <v>8</v>
      </c>
      <c r="E8" t="n">
        <v>3</v>
      </c>
      <c r="F8" t="n">
        <v>0.1</v>
      </c>
      <c r="G8" t="n">
        <v>0.03</v>
      </c>
      <c r="H8">
        <f>(I8*C8*(1-F8)*(1-G8)-I8*D8-E8)+17</f>
        <v/>
      </c>
      <c r="I8" t="n">
        <v>12</v>
      </c>
    </row>
    <row r="9">
      <c r="C9" t="n">
        <v>49</v>
      </c>
      <c r="D9" t="n">
        <v>8</v>
      </c>
      <c r="E9" t="n">
        <v>3</v>
      </c>
      <c r="F9" t="n">
        <v>0.1</v>
      </c>
      <c r="G9" t="n">
        <v>0.03</v>
      </c>
      <c r="H9">
        <f>(I9*C9*(1-F9)*(1-G9)-I9*D9-E9)+17</f>
        <v/>
      </c>
      <c r="I9" t="n">
        <v>13</v>
      </c>
    </row>
    <row r="10">
      <c r="C10" t="n">
        <v>50</v>
      </c>
      <c r="D10" t="n">
        <v>8</v>
      </c>
      <c r="E10" t="n">
        <v>3</v>
      </c>
      <c r="F10" t="n">
        <v>0.1</v>
      </c>
      <c r="G10" t="n">
        <v>0.03</v>
      </c>
      <c r="H10">
        <f>(I10*C10*(1-F10)*(1-G10)-I10*D10-E10)+17</f>
        <v/>
      </c>
      <c r="I10" t="n">
        <v>14</v>
      </c>
    </row>
    <row r="11">
      <c r="C11" t="n">
        <v>51</v>
      </c>
      <c r="D11" t="n">
        <v>8</v>
      </c>
      <c r="E11" t="n">
        <v>3</v>
      </c>
      <c r="F11" t="n">
        <v>0.1</v>
      </c>
      <c r="G11" t="n">
        <v>0.03</v>
      </c>
      <c r="H11">
        <f>(I11*C11*(1-F11)*(1-G11)-I11*D11-E11)+17</f>
        <v/>
      </c>
      <c r="I11" t="n">
        <v>15</v>
      </c>
    </row>
    <row r="12">
      <c r="C12" t="n">
        <v>52</v>
      </c>
      <c r="D12" t="n">
        <v>8</v>
      </c>
      <c r="E12" t="n">
        <v>3</v>
      </c>
      <c r="F12" t="n">
        <v>0.1</v>
      </c>
      <c r="G12" t="n">
        <v>0.03</v>
      </c>
      <c r="H12">
        <f>(I12*C12*(1-F12)*(1-G12)-I12*D12-E12)+17</f>
        <v/>
      </c>
      <c r="I12" t="n">
        <v>16</v>
      </c>
    </row>
    <row r="18">
      <c r="P18" t="inlineStr">
        <is>
          <t>Adjustment: add 17 to each record.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2:AZ12"/>
  <sheetViews>
    <sheetView workbookViewId="0">
      <selection activeCell="A1" sqref="A1"/>
    </sheetView>
  </sheetViews>
  <sheetFormatPr baseColWidth="8" defaultRowHeight="15"/>
  <sheetData>
    <row r="2">
      <c r="AZ2">
        <f>C10*D10*(1-G10)*(1-H10)-C10*E10-F10</f>
        <v/>
      </c>
    </row>
    <row r="3">
      <c r="AZ3">
        <f>C11*D11*(1-G11)*(1-H11)-C11*E11-F11</f>
        <v/>
      </c>
    </row>
    <row r="4">
      <c r="C4" t="inlineStr">
        <is>
          <t>Units</t>
        </is>
      </c>
      <c r="D4" t="inlineStr">
        <is>
          <t>Unit Price</t>
        </is>
      </c>
      <c r="E4" t="inlineStr">
        <is>
          <t>Unit Cost</t>
        </is>
      </c>
      <c r="F4" t="inlineStr">
        <is>
          <t>Shipping</t>
        </is>
      </c>
      <c r="G4" t="inlineStr">
        <is>
          <t>Discount Rate</t>
        </is>
      </c>
      <c r="H4" t="inlineStr">
        <is>
          <t>Tax Rate</t>
        </is>
      </c>
      <c r="I4" t="inlineStr">
        <is>
          <t>Net Profit</t>
        </is>
      </c>
      <c r="AZ4">
        <f>C12*D12*(1-G12)*(1-H12)-C12*E12-F12</f>
        <v/>
      </c>
    </row>
    <row r="5">
      <c r="AZ5">
        <f>C7*D7*(1-G7)*(1-H7)-C7*E7-F7</f>
        <v/>
      </c>
    </row>
    <row r="6">
      <c r="AZ6">
        <f>C8*D8*(1-G8)*(1-H8)-C8*E8-F8</f>
        <v/>
      </c>
    </row>
    <row r="7">
      <c r="C7" t="n">
        <v>11</v>
      </c>
      <c r="D7" t="n">
        <v>47</v>
      </c>
      <c r="E7" t="n">
        <v>8</v>
      </c>
      <c r="F7" t="n">
        <v>3</v>
      </c>
      <c r="G7" t="n">
        <v>0.1</v>
      </c>
      <c r="H7" t="n">
        <v>0.03</v>
      </c>
      <c r="I7">
        <f>(C7*D7*(1-G7)*(1-H7)-C7*E7-F7)+17</f>
        <v/>
      </c>
      <c r="AZ7">
        <f>C9*D9*(1-G9)*(1-H9)-C9*E9-F9</f>
        <v/>
      </c>
    </row>
    <row r="8">
      <c r="C8" t="n">
        <v>12</v>
      </c>
      <c r="D8" t="n">
        <v>48</v>
      </c>
      <c r="E8" t="n">
        <v>8</v>
      </c>
      <c r="F8" t="n">
        <v>3</v>
      </c>
      <c r="G8" t="n">
        <v>0.1</v>
      </c>
      <c r="H8" t="n">
        <v>0.03</v>
      </c>
      <c r="I8">
        <f>(C8*D8*(1-G8)*(1-H8)-C8*E8-F8)+17</f>
        <v/>
      </c>
    </row>
    <row r="9">
      <c r="C9" t="n">
        <v>13</v>
      </c>
      <c r="D9" t="n">
        <v>49</v>
      </c>
      <c r="E9" t="n">
        <v>8</v>
      </c>
      <c r="F9" t="n">
        <v>3</v>
      </c>
      <c r="G9" t="n">
        <v>0.1</v>
      </c>
      <c r="H9" t="n">
        <v>0.03</v>
      </c>
      <c r="I9">
        <f>(C9*D9*(1-G9)*(1-H9)-C9*E9-F9)+17</f>
        <v/>
      </c>
    </row>
    <row r="10">
      <c r="C10" t="n">
        <v>14</v>
      </c>
      <c r="D10" t="n">
        <v>50</v>
      </c>
      <c r="E10" t="n">
        <v>8</v>
      </c>
      <c r="F10" t="n">
        <v>3</v>
      </c>
      <c r="G10" t="n">
        <v>0.1</v>
      </c>
      <c r="H10" t="n">
        <v>0.03</v>
      </c>
      <c r="I10">
        <f>(C10*D10*(1-G10)*(1-H10)-C10*E10-F10)+17</f>
        <v/>
      </c>
    </row>
    <row r="11">
      <c r="C11" t="n">
        <v>15</v>
      </c>
      <c r="D11" t="n">
        <v>51</v>
      </c>
      <c r="E11" t="n">
        <v>8</v>
      </c>
      <c r="F11" t="n">
        <v>3</v>
      </c>
      <c r="G11" t="n">
        <v>0.1</v>
      </c>
      <c r="H11" t="n">
        <v>0.03</v>
      </c>
      <c r="I11">
        <f>(C11*D11*(1-G11)*(1-H11)-C11*E11-F11)+17</f>
        <v/>
      </c>
    </row>
    <row r="12">
      <c r="C12" t="n">
        <v>16</v>
      </c>
      <c r="D12" t="n">
        <v>52</v>
      </c>
      <c r="E12" t="n">
        <v>8</v>
      </c>
      <c r="F12" t="n">
        <v>3</v>
      </c>
      <c r="G12" t="n">
        <v>0.1</v>
      </c>
      <c r="H12" t="n">
        <v>0.03</v>
      </c>
      <c r="I12">
        <f>(C12*D12*(1-G12)*(1-H12)-C12*E12-F12)+17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C4:P18"/>
  <sheetViews>
    <sheetView workbookViewId="0">
      <selection activeCell="A1" sqref="A1"/>
    </sheetView>
  </sheetViews>
  <sheetFormatPr baseColWidth="8" defaultRowHeight="15"/>
  <sheetData>
    <row r="4">
      <c r="C4" t="inlineStr">
        <is>
          <t>Net Profit</t>
        </is>
      </c>
      <c r="D4" t="inlineStr">
        <is>
          <t>Units</t>
        </is>
      </c>
      <c r="E4" t="inlineStr">
        <is>
          <t>Unit Price</t>
        </is>
      </c>
      <c r="F4" t="inlineStr">
        <is>
          <t>Unit Cost</t>
        </is>
      </c>
      <c r="G4" t="inlineStr">
        <is>
          <t>Shipping</t>
        </is>
      </c>
      <c r="H4" t="inlineStr">
        <is>
          <t>Discount Rate</t>
        </is>
      </c>
      <c r="I4" t="inlineStr">
        <is>
          <t>Tax Rate</t>
        </is>
      </c>
    </row>
    <row r="7">
      <c r="C7">
        <f>D7*E7*(1-H7)*(1-I7)+D7*F7-G7</f>
        <v/>
      </c>
      <c r="D7" t="n">
        <v>11</v>
      </c>
      <c r="E7" t="n">
        <v>47</v>
      </c>
      <c r="F7" t="n">
        <v>8</v>
      </c>
      <c r="G7" t="n">
        <v>3</v>
      </c>
      <c r="H7" t="n">
        <v>0.1</v>
      </c>
      <c r="I7" t="n">
        <v>0.03</v>
      </c>
    </row>
    <row r="8">
      <c r="C8">
        <f>D8*E8*(1-H8)*(1-I8)+D8*F8-G8</f>
        <v/>
      </c>
      <c r="D8" t="n">
        <v>12</v>
      </c>
      <c r="E8" t="n">
        <v>48</v>
      </c>
      <c r="F8" t="n">
        <v>8</v>
      </c>
      <c r="G8" t="n">
        <v>3</v>
      </c>
      <c r="H8" t="n">
        <v>0.1</v>
      </c>
      <c r="I8" t="n">
        <v>0.03</v>
      </c>
    </row>
    <row r="9">
      <c r="C9">
        <f>D9*E9*(1-H9)*(1-I9)+D9*F9-G9</f>
        <v/>
      </c>
      <c r="D9" t="n">
        <v>13</v>
      </c>
      <c r="E9" t="n">
        <v>49</v>
      </c>
      <c r="F9" t="n">
        <v>8</v>
      </c>
      <c r="G9" t="n">
        <v>3</v>
      </c>
      <c r="H9" t="n">
        <v>0.1</v>
      </c>
      <c r="I9" t="n">
        <v>0.03</v>
      </c>
    </row>
    <row r="10">
      <c r="C10">
        <f>D10*E10*(1-H10)*(1-I10)+D10*F10-G10</f>
        <v/>
      </c>
      <c r="D10" t="n">
        <v>14</v>
      </c>
      <c r="E10" t="n">
        <v>50</v>
      </c>
      <c r="F10" t="n">
        <v>8</v>
      </c>
      <c r="G10" t="n">
        <v>3</v>
      </c>
      <c r="H10" t="n">
        <v>0.1</v>
      </c>
      <c r="I10" t="n">
        <v>0.03</v>
      </c>
    </row>
    <row r="11">
      <c r="C11">
        <f>D11*E11*(1-H11)*(1-I11)+D11*F11-G11</f>
        <v/>
      </c>
      <c r="D11" t="n">
        <v>15</v>
      </c>
      <c r="E11" t="n">
        <v>51</v>
      </c>
      <c r="F11" t="n">
        <v>8</v>
      </c>
      <c r="G11" t="n">
        <v>3</v>
      </c>
      <c r="H11" t="n">
        <v>0.1</v>
      </c>
      <c r="I11" t="n">
        <v>0.03</v>
      </c>
    </row>
    <row r="12">
      <c r="C12">
        <f>D12*E12*(1-H12)*(1-I12)+D12*F12-G12</f>
        <v/>
      </c>
      <c r="D12" t="n">
        <v>16</v>
      </c>
      <c r="E12" t="n">
        <v>52</v>
      </c>
      <c r="F12" t="n">
        <v>8</v>
      </c>
      <c r="G12" t="n">
        <v>3</v>
      </c>
      <c r="H12" t="n">
        <v>0.1</v>
      </c>
      <c r="I12" t="n">
        <v>0.03</v>
      </c>
    </row>
    <row r="18">
      <c r="P18" t="inlineStr">
        <is>
          <t>Net Profit equals Units times Unit Price plus Units times Unit Cost.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C4:O12"/>
  <sheetViews>
    <sheetView workbookViewId="0">
      <selection activeCell="A1" sqref="A1"/>
    </sheetView>
  </sheetViews>
  <sheetFormatPr baseColWidth="8" defaultRowHeight="15"/>
  <sheetData>
    <row r="4">
      <c r="C4" t="inlineStr">
        <is>
          <t>Tax Rate</t>
        </is>
      </c>
      <c r="D4" t="inlineStr">
        <is>
          <t>Net Profit</t>
        </is>
      </c>
      <c r="E4" t="inlineStr">
        <is>
          <t>Units</t>
        </is>
      </c>
      <c r="F4" t="inlineStr">
        <is>
          <t>Unit Price</t>
        </is>
      </c>
      <c r="G4" t="inlineStr">
        <is>
          <t>Unit Cost</t>
        </is>
      </c>
      <c r="H4" t="inlineStr">
        <is>
          <t>Shipping</t>
        </is>
      </c>
      <c r="I4" t="inlineStr">
        <is>
          <t>Discount Rate</t>
        </is>
      </c>
      <c r="O4" t="inlineStr">
        <is>
          <t>Units</t>
        </is>
      </c>
    </row>
    <row r="7">
      <c r="C7" t="n">
        <v>0.03</v>
      </c>
      <c r="D7">
        <f>E7*F7*(1-I7)*(1-C7)+E7*G7-H7</f>
        <v/>
      </c>
      <c r="E7" t="n">
        <v>11</v>
      </c>
      <c r="F7" t="n">
        <v>47</v>
      </c>
      <c r="G7" t="n">
        <v>8</v>
      </c>
      <c r="H7" t="n">
        <v>3</v>
      </c>
      <c r="I7" t="n">
        <v>0.1</v>
      </c>
    </row>
    <row r="8">
      <c r="C8" t="n">
        <v>0.03</v>
      </c>
      <c r="D8">
        <f>E8*F8*(1-I8)*(1-C8)+E8*G8-H8</f>
        <v/>
      </c>
      <c r="E8" t="n">
        <v>12</v>
      </c>
      <c r="F8" t="n">
        <v>48</v>
      </c>
      <c r="G8" t="n">
        <v>8</v>
      </c>
      <c r="H8" t="n">
        <v>3</v>
      </c>
      <c r="I8" t="n">
        <v>0.1</v>
      </c>
    </row>
    <row r="9">
      <c r="C9" t="n">
        <v>0.03</v>
      </c>
      <c r="D9">
        <f>E9*F9*(1-I9)*(1-C9)+E9*G9-H9</f>
        <v/>
      </c>
      <c r="E9" t="n">
        <v>13</v>
      </c>
      <c r="F9" t="n">
        <v>49</v>
      </c>
      <c r="G9" t="n">
        <v>8</v>
      </c>
      <c r="H9" t="n">
        <v>3</v>
      </c>
      <c r="I9" t="n">
        <v>0.1</v>
      </c>
    </row>
    <row r="10">
      <c r="C10" t="n">
        <v>0.03</v>
      </c>
      <c r="D10">
        <f>E10*F10*(1-I10)*(1-C10)+E10*G10-H10</f>
        <v/>
      </c>
      <c r="E10" t="n">
        <v>14</v>
      </c>
      <c r="F10" t="n">
        <v>50</v>
      </c>
      <c r="G10" t="n">
        <v>8</v>
      </c>
      <c r="H10" t="n">
        <v>3</v>
      </c>
      <c r="I10" t="n">
        <v>0.1</v>
      </c>
    </row>
    <row r="11">
      <c r="C11" t="n">
        <v>0.03</v>
      </c>
      <c r="D11">
        <f>E11*F11*(1-I11)*(1-C11)+E11*G11-H11</f>
        <v/>
      </c>
      <c r="E11" t="n">
        <v>15</v>
      </c>
      <c r="F11" t="n">
        <v>51</v>
      </c>
      <c r="G11" t="n">
        <v>8</v>
      </c>
      <c r="H11" t="n">
        <v>3</v>
      </c>
      <c r="I11" t="n">
        <v>0.1</v>
      </c>
    </row>
    <row r="12">
      <c r="C12" t="n">
        <v>0.03</v>
      </c>
      <c r="D12">
        <f>E12*F12*(1-I12)*(1-C12)+E12*G12-H12</f>
        <v/>
      </c>
      <c r="E12" t="n">
        <v>16</v>
      </c>
      <c r="F12" t="n">
        <v>52</v>
      </c>
      <c r="G12" t="n">
        <v>8</v>
      </c>
      <c r="H12" t="n">
        <v>3</v>
      </c>
      <c r="I12" t="n">
        <v>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C4:I12"/>
  <sheetViews>
    <sheetView workbookViewId="0">
      <selection activeCell="A1" sqref="A1"/>
    </sheetView>
  </sheetViews>
  <sheetFormatPr baseColWidth="8" defaultRowHeight="15"/>
  <sheetData>
    <row r="4">
      <c r="C4" t="inlineStr">
        <is>
          <t>Discount Rate</t>
        </is>
      </c>
      <c r="D4" t="inlineStr">
        <is>
          <t>Tax Rate</t>
        </is>
      </c>
      <c r="E4" t="inlineStr">
        <is>
          <t>Net Profit</t>
        </is>
      </c>
      <c r="F4" t="inlineStr">
        <is>
          <t>Units</t>
        </is>
      </c>
      <c r="G4" t="inlineStr">
        <is>
          <t>Unit Price</t>
        </is>
      </c>
      <c r="H4" t="inlineStr">
        <is>
          <t>Unit Cost</t>
        </is>
      </c>
      <c r="I4" t="inlineStr">
        <is>
          <t>Shipping</t>
        </is>
      </c>
    </row>
    <row r="7">
      <c r="C7" t="n">
        <v>0.1</v>
      </c>
      <c r="D7" t="n">
        <v>0.03</v>
      </c>
      <c r="E7">
        <f>F7*G7*(1-C7)*(1-D7)+F7*H7-I7</f>
        <v/>
      </c>
      <c r="F7" t="n">
        <v>11</v>
      </c>
      <c r="G7" t="n">
        <v>47</v>
      </c>
      <c r="H7" t="n">
        <v>8</v>
      </c>
      <c r="I7" t="n">
        <v>3</v>
      </c>
    </row>
    <row r="8">
      <c r="C8" t="n">
        <v>0.1</v>
      </c>
      <c r="D8" t="n">
        <v>0.03</v>
      </c>
      <c r="E8">
        <f>F8*G8*(1-C8)*(1-D8)+F8*H8-I8</f>
        <v/>
      </c>
      <c r="F8" t="n">
        <v>12</v>
      </c>
      <c r="G8" t="n">
        <v>48</v>
      </c>
      <c r="H8" t="n">
        <v>8</v>
      </c>
      <c r="I8" t="n">
        <v>3</v>
      </c>
    </row>
    <row r="9">
      <c r="C9" t="n">
        <v>0.1</v>
      </c>
      <c r="D9" t="n">
        <v>0.03</v>
      </c>
      <c r="E9">
        <f>F9*G9*(1-C9)*(1-D9)+F9*H9-I9</f>
        <v/>
      </c>
      <c r="F9" t="n">
        <v>13</v>
      </c>
      <c r="G9" t="n">
        <v>49</v>
      </c>
      <c r="H9" t="n">
        <v>8</v>
      </c>
      <c r="I9" t="n">
        <v>3</v>
      </c>
    </row>
    <row r="10">
      <c r="C10" t="n">
        <v>0.1</v>
      </c>
      <c r="D10" t="n">
        <v>0.03</v>
      </c>
      <c r="E10">
        <f>F10*G10*(1-C10)*(1-D10)+F10*H10-I10</f>
        <v/>
      </c>
      <c r="F10" t="n">
        <v>14</v>
      </c>
      <c r="G10" t="n">
        <v>50</v>
      </c>
      <c r="H10" t="n">
        <v>8</v>
      </c>
      <c r="I10" t="n">
        <v>3</v>
      </c>
    </row>
    <row r="11">
      <c r="C11" t="n">
        <v>0.1</v>
      </c>
      <c r="D11" t="n">
        <v>0.03</v>
      </c>
      <c r="E11">
        <f>F11*G11*(1-C11)*(1-D11)+F11*H11-I11</f>
        <v/>
      </c>
      <c r="F11" t="n">
        <v>15</v>
      </c>
      <c r="G11" t="n">
        <v>51</v>
      </c>
      <c r="H11" t="n">
        <v>8</v>
      </c>
      <c r="I11" t="n">
        <v>3</v>
      </c>
    </row>
    <row r="12">
      <c r="C12" t="n">
        <v>0.1</v>
      </c>
      <c r="D12" t="n">
        <v>0.03</v>
      </c>
      <c r="E12">
        <f>F12*G12*(1-C12)*(1-D12)+F12*H12-I12</f>
        <v/>
      </c>
      <c r="F12" t="n">
        <v>16</v>
      </c>
      <c r="G12" t="n">
        <v>52</v>
      </c>
      <c r="H12" t="n">
        <v>8</v>
      </c>
      <c r="I1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C4:I12"/>
  <sheetViews>
    <sheetView workbookViewId="0">
      <selection activeCell="A1" sqref="A1"/>
    </sheetView>
  </sheetViews>
  <sheetFormatPr baseColWidth="8" defaultRowHeight="15"/>
  <sheetData>
    <row r="4">
      <c r="C4" t="inlineStr">
        <is>
          <t>Shipping</t>
        </is>
      </c>
      <c r="D4" t="inlineStr">
        <is>
          <t>Discount Rate</t>
        </is>
      </c>
      <c r="E4" t="inlineStr">
        <is>
          <t>Tax Rate</t>
        </is>
      </c>
      <c r="F4" t="inlineStr">
        <is>
          <t>Net Profit</t>
        </is>
      </c>
      <c r="G4" t="inlineStr">
        <is>
          <t>Units</t>
        </is>
      </c>
      <c r="H4" t="inlineStr">
        <is>
          <t>Unit Price</t>
        </is>
      </c>
      <c r="I4" t="inlineStr">
        <is>
          <t>Unit Cost</t>
        </is>
      </c>
    </row>
    <row r="7">
      <c r="C7" t="n">
        <v>3</v>
      </c>
      <c r="D7" t="n">
        <v>0.1</v>
      </c>
      <c r="E7" t="n">
        <v>0.03</v>
      </c>
      <c r="F7">
        <f>G7*H7*(1-D7)*(1-E7)+G7*I7-C7</f>
        <v/>
      </c>
      <c r="G7">
        <f>SQRT(121)</f>
        <v/>
      </c>
      <c r="H7" t="n">
        <v>47</v>
      </c>
      <c r="I7" t="n">
        <v>8</v>
      </c>
    </row>
    <row r="8">
      <c r="C8" t="n">
        <v>3</v>
      </c>
      <c r="D8" t="n">
        <v>0.1</v>
      </c>
      <c r="E8" t="n">
        <v>0.03</v>
      </c>
      <c r="F8">
        <f>G8*H8*(1-D8)*(1-E8)+G8*I8-C8</f>
        <v/>
      </c>
      <c r="G8">
        <f>SQRT(121)</f>
        <v/>
      </c>
      <c r="H8" t="n">
        <v>48</v>
      </c>
      <c r="I8" t="n">
        <v>8</v>
      </c>
    </row>
    <row r="9">
      <c r="C9" t="n">
        <v>3</v>
      </c>
      <c r="D9" t="n">
        <v>0.1</v>
      </c>
      <c r="E9" t="n">
        <v>0.03</v>
      </c>
      <c r="F9">
        <f>G9*H9*(1-D9)*(1-E9)+G9*I9-C9</f>
        <v/>
      </c>
      <c r="G9">
        <f>SQRT(121)</f>
        <v/>
      </c>
      <c r="H9" t="n">
        <v>49</v>
      </c>
      <c r="I9" t="n">
        <v>8</v>
      </c>
    </row>
    <row r="10">
      <c r="C10" t="n">
        <v>3</v>
      </c>
      <c r="D10" t="n">
        <v>0.1</v>
      </c>
      <c r="E10" t="n">
        <v>0.03</v>
      </c>
      <c r="F10">
        <f>G10*H10*(1-D10)*(1-E10)+G10*I10-C10</f>
        <v/>
      </c>
      <c r="G10">
        <f>SQRT(121)</f>
        <v/>
      </c>
      <c r="H10" t="n">
        <v>50</v>
      </c>
      <c r="I10" t="n">
        <v>8</v>
      </c>
    </row>
    <row r="11">
      <c r="C11" t="n">
        <v>3</v>
      </c>
      <c r="D11" t="n">
        <v>0.1</v>
      </c>
      <c r="E11" t="n">
        <v>0.03</v>
      </c>
      <c r="F11">
        <f>G11*H11*(1-D11)*(1-E11)+G11*I11-C11</f>
        <v/>
      </c>
      <c r="G11">
        <f>SQRT(121)</f>
        <v/>
      </c>
      <c r="H11" t="n">
        <v>51</v>
      </c>
      <c r="I11" t="n">
        <v>8</v>
      </c>
    </row>
    <row r="12">
      <c r="C12" t="n">
        <v>3</v>
      </c>
      <c r="D12" t="n">
        <v>0.1</v>
      </c>
      <c r="E12" t="n">
        <v>0.03</v>
      </c>
      <c r="F12">
        <f>G12*H12*(1-D12)*(1-E12)+G12*I12-C12</f>
        <v/>
      </c>
      <c r="G12">
        <f>SQRT(121)</f>
        <v/>
      </c>
      <c r="H12" t="n">
        <v>52</v>
      </c>
      <c r="I12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C4:I12"/>
  <sheetViews>
    <sheetView workbookViewId="0">
      <selection activeCell="A1" sqref="A1"/>
    </sheetView>
  </sheetViews>
  <sheetFormatPr baseColWidth="8" defaultRowHeight="15"/>
  <sheetData>
    <row r="4">
      <c r="C4" t="inlineStr">
        <is>
          <t>Unit Cost</t>
        </is>
      </c>
      <c r="D4" t="inlineStr">
        <is>
          <t>Shipping</t>
        </is>
      </c>
      <c r="E4" t="inlineStr">
        <is>
          <t>Discount Rate</t>
        </is>
      </c>
      <c r="F4" t="inlineStr">
        <is>
          <t>Tax Rate</t>
        </is>
      </c>
      <c r="G4" t="inlineStr">
        <is>
          <t>Net Profit</t>
        </is>
      </c>
      <c r="H4" t="inlineStr">
        <is>
          <t>Units</t>
        </is>
      </c>
      <c r="I4" t="inlineStr">
        <is>
          <t>Unit Price</t>
        </is>
      </c>
    </row>
    <row r="7">
      <c r="C7" t="n">
        <v>8</v>
      </c>
      <c r="D7" t="n">
        <v>3</v>
      </c>
      <c r="E7" t="n">
        <v>1.2</v>
      </c>
      <c r="F7" t="n">
        <v>0.03</v>
      </c>
      <c r="G7">
        <f>H7*I7*(1-E7)*(1-F7)+H7*C7-D7</f>
        <v/>
      </c>
      <c r="H7" t="n">
        <v>11</v>
      </c>
      <c r="I7" t="n">
        <v>47</v>
      </c>
    </row>
    <row r="8">
      <c r="C8" t="n">
        <v>8</v>
      </c>
      <c r="D8" t="n">
        <v>3</v>
      </c>
      <c r="E8" t="n">
        <v>1.2</v>
      </c>
      <c r="F8" t="n">
        <v>0.03</v>
      </c>
      <c r="G8">
        <f>H8*I8*(1-E8)*(1-F8)+H8*C8-D8</f>
        <v/>
      </c>
      <c r="H8" t="n">
        <v>12</v>
      </c>
      <c r="I8" t="n">
        <v>48</v>
      </c>
    </row>
    <row r="9">
      <c r="C9" t="n">
        <v>8</v>
      </c>
      <c r="D9" t="n">
        <v>3</v>
      </c>
      <c r="E9" t="n">
        <v>1.2</v>
      </c>
      <c r="F9" t="n">
        <v>0.03</v>
      </c>
      <c r="G9">
        <f>H9*I9*(1-E9)*(1-F9)+H9*C9-D9</f>
        <v/>
      </c>
      <c r="H9" t="n">
        <v>13</v>
      </c>
      <c r="I9" t="n">
        <v>49</v>
      </c>
    </row>
    <row r="10">
      <c r="C10" t="n">
        <v>8</v>
      </c>
      <c r="D10" t="n">
        <v>3</v>
      </c>
      <c r="E10" t="n">
        <v>1.2</v>
      </c>
      <c r="F10" t="n">
        <v>0.03</v>
      </c>
      <c r="G10">
        <f>H10*I10*(1-E10)*(1-F10)+H10*C10-D10</f>
        <v/>
      </c>
      <c r="H10" t="n">
        <v>14</v>
      </c>
      <c r="I10" t="n">
        <v>50</v>
      </c>
    </row>
    <row r="11">
      <c r="C11" t="n">
        <v>8</v>
      </c>
      <c r="D11" t="n">
        <v>3</v>
      </c>
      <c r="E11" t="n">
        <v>1.2</v>
      </c>
      <c r="F11" t="n">
        <v>0.03</v>
      </c>
      <c r="G11">
        <f>H11*I11*(1-E11)*(1-F11)+H11*C11-D11</f>
        <v/>
      </c>
      <c r="H11" t="n">
        <v>15</v>
      </c>
      <c r="I11" t="n">
        <v>51</v>
      </c>
    </row>
    <row r="12">
      <c r="C12" t="n">
        <v>8</v>
      </c>
      <c r="D12" t="n">
        <v>3</v>
      </c>
      <c r="E12" t="n">
        <v>1.2</v>
      </c>
      <c r="F12" t="n">
        <v>0.03</v>
      </c>
      <c r="G12">
        <f>H12*I12*(1-E12)*(1-F12)+H12*C12-D12</f>
        <v/>
      </c>
      <c r="H12" t="n">
        <v>16</v>
      </c>
      <c r="I12" t="n">
        <v>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C4:I12"/>
  <sheetViews>
    <sheetView workbookViewId="0">
      <selection activeCell="A1" sqref="A1"/>
    </sheetView>
  </sheetViews>
  <sheetFormatPr baseColWidth="8" defaultRowHeight="15"/>
  <sheetData>
    <row r="4">
      <c r="C4" t="inlineStr">
        <is>
          <t>Unit Price</t>
        </is>
      </c>
      <c r="D4" t="inlineStr">
        <is>
          <t>Unit Cost</t>
        </is>
      </c>
      <c r="E4" t="inlineStr">
        <is>
          <t>Shipping</t>
        </is>
      </c>
      <c r="F4" t="inlineStr">
        <is>
          <t>Discount Rate</t>
        </is>
      </c>
      <c r="G4" t="inlineStr">
        <is>
          <t>Tax Rate</t>
        </is>
      </c>
      <c r="H4" t="inlineStr">
        <is>
          <t>Custom Metric</t>
        </is>
      </c>
      <c r="I4" t="inlineStr">
        <is>
          <t>Units</t>
        </is>
      </c>
    </row>
    <row r="7">
      <c r="C7" t="n">
        <v>47</v>
      </c>
      <c r="D7" t="n">
        <v>8</v>
      </c>
      <c r="E7" t="n">
        <v>3</v>
      </c>
      <c r="F7" t="n">
        <v>0.1</v>
      </c>
      <c r="G7" t="n">
        <v>0.03</v>
      </c>
      <c r="H7">
        <f>I7*C7*(1-F7)*(1-G7)+I7*D7-E7</f>
        <v/>
      </c>
      <c r="I7" t="n">
        <v>11</v>
      </c>
    </row>
    <row r="8">
      <c r="C8" t="n">
        <v>48</v>
      </c>
      <c r="D8" t="n">
        <v>8</v>
      </c>
      <c r="E8" t="n">
        <v>3</v>
      </c>
      <c r="F8" t="n">
        <v>0.1</v>
      </c>
      <c r="G8" t="n">
        <v>0.03</v>
      </c>
      <c r="H8">
        <f>I8*C8*(1-F8)*(1-G8)+I8*D8-E8</f>
        <v/>
      </c>
      <c r="I8" t="n">
        <v>12</v>
      </c>
    </row>
    <row r="9">
      <c r="C9" t="n">
        <v>49</v>
      </c>
      <c r="D9" t="n">
        <v>8</v>
      </c>
      <c r="E9" t="n">
        <v>3</v>
      </c>
      <c r="F9" t="n">
        <v>0.1</v>
      </c>
      <c r="G9" t="n">
        <v>0.03</v>
      </c>
      <c r="H9">
        <f>I9*C9*(1-F9)*(1-G9)+I9*D9-E9</f>
        <v/>
      </c>
      <c r="I9" t="n">
        <v>13</v>
      </c>
    </row>
    <row r="10">
      <c r="C10" t="n">
        <v>50</v>
      </c>
      <c r="D10" t="n">
        <v>8</v>
      </c>
      <c r="E10" t="n">
        <v>3</v>
      </c>
      <c r="F10" t="n">
        <v>0.1</v>
      </c>
      <c r="G10" t="n">
        <v>0.03</v>
      </c>
      <c r="H10">
        <f>I10*C10*(1-F10)*(1-G10)+I10*D10-E10</f>
        <v/>
      </c>
      <c r="I10" t="n">
        <v>14</v>
      </c>
    </row>
    <row r="11">
      <c r="C11" t="n">
        <v>51</v>
      </c>
      <c r="D11" t="n">
        <v>8</v>
      </c>
      <c r="E11" t="n">
        <v>3</v>
      </c>
      <c r="F11" t="n">
        <v>0.1</v>
      </c>
      <c r="G11" t="n">
        <v>0.03</v>
      </c>
      <c r="H11">
        <f>I11*C11*(1-F11)*(1-G11)+I11*D11-E11</f>
        <v/>
      </c>
      <c r="I11" t="n">
        <v>15</v>
      </c>
    </row>
    <row r="12">
      <c r="C12" t="n">
        <v>52</v>
      </c>
      <c r="D12" t="n">
        <v>8</v>
      </c>
      <c r="E12" t="n">
        <v>3</v>
      </c>
      <c r="F12" t="n">
        <v>0.1</v>
      </c>
      <c r="G12" t="n">
        <v>0.03</v>
      </c>
      <c r="H12">
        <f>I12*C12*(1-F12)*(1-G12)+I12*D12-E12</f>
        <v/>
      </c>
      <c r="I12" t="n">
        <v>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9:K18"/>
  <sheetViews>
    <sheetView workbookViewId="0">
      <selection activeCell="A1" sqref="A1"/>
    </sheetView>
  </sheetViews>
  <sheetFormatPr baseColWidth="8" defaultRowHeight="15"/>
  <sheetData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5">
      <c r="B15" t="inlineStr">
        <is>
          <t>Principal Repayment</t>
        </is>
      </c>
      <c r="C15" t="inlineStr">
        <is>
          <t>USD</t>
        </is>
      </c>
      <c r="F15">
        <f>PPMT('c14_Parameters'!G2,1,6,900)</f>
        <v/>
      </c>
      <c r="G15">
        <f>PPMT('c14_Parameters'!G2,2,6,900)</f>
        <v/>
      </c>
      <c r="H15">
        <f>PPMT('c14_Parameters'!G2,3,6,900)</f>
        <v/>
      </c>
      <c r="I15">
        <f>PPMT('c14_Parameters'!G2,4,6,900)</f>
        <v/>
      </c>
      <c r="J15">
        <f>PPMT('c14_Parameters'!G2,5,6,900)</f>
        <v/>
      </c>
      <c r="K15">
        <f>PPMT('c14_Parameters'!G2,6,6,900)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8">
      <c r="B18" t="inlineStr">
        <is>
          <t>Closing Balance</t>
        </is>
      </c>
      <c r="C18" t="inlineStr">
        <is>
          <t>USD</t>
        </is>
      </c>
      <c r="F18">
        <f>SUM(F9,F12,F15)</f>
        <v/>
      </c>
      <c r="G18">
        <f>SUM(G9,G12,G15)</f>
        <v/>
      </c>
      <c r="H18">
        <f>SUM(H9,H12,H15)</f>
        <v/>
      </c>
      <c r="I18">
        <f>SUM(I9,I12,I15)</f>
        <v/>
      </c>
      <c r="J18">
        <f>SUM(J9,J12,J15)</f>
        <v/>
      </c>
      <c r="K18">
        <f>SUM(K9,K12,K15)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AZ18"/>
  <sheetViews>
    <sheetView workbookViewId="0">
      <selection activeCell="A1" sqref="A1"/>
    </sheetView>
  </sheetViews>
  <sheetFormatPr baseColWidth="8" defaultRowHeight="15"/>
  <sheetData>
    <row r="2">
      <c r="AZ2">
        <f>SUM(G9,G12,G15)</f>
        <v/>
      </c>
    </row>
    <row r="3">
      <c r="AZ3">
        <f>SUM(H9,H12,H15)</f>
        <v/>
      </c>
    </row>
    <row r="4">
      <c r="AZ4">
        <f>SUM(I9,I12,I15)</f>
        <v/>
      </c>
    </row>
    <row r="5">
      <c r="AZ5">
        <f>SUM(J9,J12,J15)</f>
        <v/>
      </c>
    </row>
    <row r="6">
      <c r="AZ6">
        <f>SUM(K9,K12,K15)</f>
        <v/>
      </c>
    </row>
    <row r="7">
      <c r="AZ7">
        <f>SUM(L9,L12,L15)</f>
        <v/>
      </c>
    </row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5">
      <c r="B15" t="inlineStr">
        <is>
          <t>Principal Repayment</t>
        </is>
      </c>
      <c r="C15" t="inlineStr">
        <is>
          <t>USD</t>
        </is>
      </c>
      <c r="G15">
        <f>PPMT('c15_Parameters'!G2,1,6,900)</f>
        <v/>
      </c>
      <c r="H15">
        <f>PPMT('c15_Parameters'!G2,2,6,900)</f>
        <v/>
      </c>
      <c r="I15">
        <f>PPMT('c15_Parameters'!G2,3,6,900)</f>
        <v/>
      </c>
      <c r="J15">
        <f>PPMT('c15_Parameters'!G2,4,6,900)</f>
        <v/>
      </c>
      <c r="K15">
        <f>PPMT('c15_Parameters'!G2,5,6,900)</f>
        <v/>
      </c>
      <c r="L15">
        <f>PPMT('c15_Parameters'!G2,6,6,900)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8">
      <c r="B18" t="inlineStr">
        <is>
          <t>Closing Balance</t>
        </is>
      </c>
      <c r="C18" t="inlineStr">
        <is>
          <t>USD</t>
        </is>
      </c>
      <c r="G18">
        <f>G9+G12-G15</f>
        <v/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AZ18"/>
  <sheetViews>
    <sheetView workbookViewId="0">
      <selection activeCell="A1" sqref="A1"/>
    </sheetView>
  </sheetViews>
  <sheetFormatPr baseColWidth="8" defaultRowHeight="15"/>
  <sheetData>
    <row r="2">
      <c r="AZ2">
        <f>SUM(H9,H12,H15)</f>
        <v/>
      </c>
    </row>
    <row r="3">
      <c r="AZ3">
        <f>SUM(I9,I12,I15)</f>
        <v/>
      </c>
    </row>
    <row r="4">
      <c r="AZ4">
        <f>SUM(J9,J12,J15)</f>
        <v/>
      </c>
    </row>
    <row r="5">
      <c r="AZ5">
        <f>SUM(K9,K12,K15)</f>
        <v/>
      </c>
    </row>
    <row r="6">
      <c r="AZ6">
        <f>SUM(L9,L12,L15)</f>
        <v/>
      </c>
    </row>
    <row r="7">
      <c r="AZ7">
        <f>SUM(M9,M12,M15)</f>
        <v/>
      </c>
    </row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5">
      <c r="B15" t="inlineStr">
        <is>
          <t>Principal Repayment</t>
        </is>
      </c>
      <c r="C15" t="inlineStr">
        <is>
          <t>USD</t>
        </is>
      </c>
      <c r="H15">
        <f>PPMT('c16_Parameters'!G2,1,6,900)</f>
        <v/>
      </c>
      <c r="I15">
        <f>PPMT('c16_Parameters'!G2,2,6,900)</f>
        <v/>
      </c>
      <c r="J15">
        <f>PPMT('c16_Parameters'!G2,3,6,900)</f>
        <v/>
      </c>
      <c r="K15">
        <f>PPMT('c16_Parameters'!G2,4,6,900)</f>
        <v/>
      </c>
      <c r="L15">
        <f>PPMT('c16_Parameters'!G2,5,6,900)</f>
        <v/>
      </c>
      <c r="M15">
        <f>PPMT('c16_Parameters'!G2,6,6,900)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8">
      <c r="B18" t="inlineStr">
        <is>
          <t>Closing Balance</t>
        </is>
      </c>
      <c r="C18" t="inlineStr">
        <is>
          <t>USD</t>
        </is>
      </c>
      <c r="H18">
        <f>H9+H12+H16</f>
        <v/>
      </c>
      <c r="I18">
        <f>I9+I12+I16</f>
        <v/>
      </c>
      <c r="J18">
        <f>J9+J12+J16</f>
        <v/>
      </c>
      <c r="K18">
        <f>K9+K12+K16</f>
        <v/>
      </c>
      <c r="L18">
        <f>L9+L12+L16</f>
        <v/>
      </c>
      <c r="M18">
        <f>M9+M12+M16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AZ18"/>
  <sheetViews>
    <sheetView workbookViewId="0">
      <selection activeCell="A1" sqref="A1"/>
    </sheetView>
  </sheetViews>
  <sheetFormatPr baseColWidth="8" defaultRowHeight="15"/>
  <sheetData>
    <row r="2">
      <c r="AZ2">
        <f>SUM(F9,F12,F15)</f>
        <v/>
      </c>
    </row>
    <row r="3">
      <c r="AZ3">
        <f>SUM(G9,G12,G15)</f>
        <v/>
      </c>
    </row>
    <row r="4">
      <c r="AZ4">
        <f>SUM(H9,H12,H15)</f>
        <v/>
      </c>
    </row>
    <row r="5">
      <c r="AZ5">
        <f>SUM(I9,I12,I15)</f>
        <v/>
      </c>
    </row>
    <row r="6">
      <c r="AZ6">
        <f>SUM(J9,J12,J15)</f>
        <v/>
      </c>
    </row>
    <row r="7">
      <c r="AZ7">
        <f>SUM(K9,K12,K15)</f>
        <v/>
      </c>
    </row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5">
      <c r="B15" t="inlineStr">
        <is>
          <t>Principal Repayment</t>
        </is>
      </c>
      <c r="C15" t="inlineStr">
        <is>
          <t>USD</t>
        </is>
      </c>
      <c r="F15">
        <f>PPMT('c17_Parameters'!G2,1,6,900)</f>
        <v/>
      </c>
      <c r="G15">
        <f>PPMT('c17_Parameters'!G2,2,6,900)</f>
        <v/>
      </c>
      <c r="H15">
        <f>PPMT('c17_Parameters'!G2,3,6,900)</f>
        <v/>
      </c>
      <c r="I15">
        <f>PPMT('c17_Parameters'!G2,4,6,900)</f>
        <v/>
      </c>
      <c r="J15">
        <f>PPMT('c17_Parameters'!G2,5,6,900)</f>
        <v/>
      </c>
      <c r="K15">
        <f>PPMT('c17_Parameters'!G2,6,6,900)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8">
      <c r="B18" t="inlineStr">
        <is>
          <t>Closing Balance</t>
        </is>
      </c>
      <c r="C18" t="inlineStr">
        <is>
          <t>USD</t>
        </is>
      </c>
      <c r="F18">
        <f>(SUM(F9,F12,F15))*1.19</f>
        <v/>
      </c>
      <c r="G18">
        <f>(SUM(G9,G12,G15))*1.19</f>
        <v/>
      </c>
      <c r="H18">
        <f>(SUM(H9,H12,H15))*1.19</f>
        <v/>
      </c>
      <c r="I18">
        <f>(SUM(I9,I12,I15))*1.19</f>
        <v/>
      </c>
      <c r="J18">
        <f>(SUM(J9,J12,J15))*1.19</f>
        <v/>
      </c>
      <c r="K18">
        <f>(SUM(K9,K12,K15))*1.19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9:L22"/>
  <sheetViews>
    <sheetView workbookViewId="0">
      <selection activeCell="A1" sqref="A1"/>
    </sheetView>
  </sheetViews>
  <sheetFormatPr baseColWidth="8" defaultRowHeight="15"/>
  <sheetData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5">
      <c r="B15" t="inlineStr">
        <is>
          <t>Principal Repayment</t>
        </is>
      </c>
      <c r="C15" t="inlineStr">
        <is>
          <t>USD</t>
        </is>
      </c>
      <c r="G15">
        <f>PPMT('c18_Parameters'!G2,1,6,900)</f>
        <v/>
      </c>
      <c r="H15">
        <f>PPMT('c18_Parameters'!G2,2,6,900)</f>
        <v/>
      </c>
      <c r="I15">
        <f>PPMT('c18_Parameters'!G2,3,6,900)</f>
        <v/>
      </c>
      <c r="J15">
        <f>PPMT('c18_Parameters'!G2,4,6,900)</f>
        <v/>
      </c>
      <c r="K15">
        <f>PPMT('c18_Parameters'!G2,5,6,900)</f>
        <v/>
      </c>
      <c r="L15">
        <f>PPMT('c18_Parameters'!G2,6,6,900)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8">
      <c r="B18" t="inlineStr">
        <is>
          <t>Closing Balance</t>
        </is>
      </c>
      <c r="C18" t="inlineStr">
        <is>
          <t>USD</t>
        </is>
      </c>
      <c r="G18">
        <f>(SUM(G9,G12,G15))+17</f>
        <v/>
      </c>
      <c r="H18">
        <f>(SUM(H9,H12,H15))+17</f>
        <v/>
      </c>
      <c r="I18">
        <f>(SUM(I9,I12,I15))+17</f>
        <v/>
      </c>
      <c r="J18">
        <f>(SUM(J9,J12,J15))+17</f>
        <v/>
      </c>
      <c r="K18">
        <f>(SUM(K9,K12,K15))+17</f>
        <v/>
      </c>
      <c r="L18">
        <f>(SUM(L9,L12,L15))+17</f>
        <v/>
      </c>
    </row>
    <row r="22">
      <c r="B22" t="inlineStr">
        <is>
          <t>Adjustment: add 17 to each period.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AZ18"/>
  <sheetViews>
    <sheetView workbookViewId="0">
      <selection activeCell="A1" sqref="A1"/>
    </sheetView>
  </sheetViews>
  <sheetFormatPr baseColWidth="8" defaultRowHeight="15"/>
  <sheetData>
    <row r="2">
      <c r="AZ2">
        <f>SUM(H9,H12,H15)</f>
        <v/>
      </c>
    </row>
    <row r="3">
      <c r="AZ3">
        <f>SUM(I9,I12,I15)</f>
        <v/>
      </c>
    </row>
    <row r="4">
      <c r="AZ4">
        <f>SUM(J9,J12,J15)</f>
        <v/>
      </c>
    </row>
    <row r="5">
      <c r="AZ5">
        <f>SUM(K9,K12,K15)</f>
        <v/>
      </c>
    </row>
    <row r="6">
      <c r="AZ6">
        <f>SUM(L9,L12,L15)</f>
        <v/>
      </c>
    </row>
    <row r="7">
      <c r="AZ7">
        <f>SUM(M9,M12,M15)</f>
        <v/>
      </c>
    </row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5">
      <c r="B15" t="inlineStr">
        <is>
          <t>Principal Repayment</t>
        </is>
      </c>
      <c r="C15" t="inlineStr">
        <is>
          <t>USD</t>
        </is>
      </c>
      <c r="H15">
        <f>PPMT('c19_Parameters'!G2,1,6,900)</f>
        <v/>
      </c>
      <c r="I15">
        <f>PPMT('c19_Parameters'!G2,2,6,900)</f>
        <v/>
      </c>
      <c r="J15">
        <f>PPMT('c19_Parameters'!G2,3,6,900)</f>
        <v/>
      </c>
      <c r="K15">
        <f>PPMT('c19_Parameters'!G2,4,6,900)</f>
        <v/>
      </c>
      <c r="L15">
        <f>PPMT('c19_Parameters'!G2,5,6,900)</f>
        <v/>
      </c>
      <c r="M15">
        <f>PPMT('c19_Parameters'!G2,6,6,900)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8">
      <c r="B18" t="inlineStr">
        <is>
          <t>Closing Balance</t>
        </is>
      </c>
      <c r="C18" t="inlineStr">
        <is>
          <t>USD</t>
        </is>
      </c>
      <c r="H18">
        <f>(SUM(H9,H12,H15))+17</f>
        <v/>
      </c>
      <c r="I18">
        <f>(SUM(I9,I12,I15))+17</f>
        <v/>
      </c>
      <c r="J18">
        <f>(SUM(J9,J12,J15))+17</f>
        <v/>
      </c>
      <c r="K18">
        <f>(SUM(K9,K12,K15))+17</f>
        <v/>
      </c>
      <c r="L18">
        <f>(SUM(L9,L12,L15))+17</f>
        <v/>
      </c>
      <c r="M18">
        <f>(SUM(M9,M12,M15))+17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9:K18"/>
  <sheetViews>
    <sheetView workbookViewId="0">
      <selection activeCell="A1" sqref="A1"/>
    </sheetView>
  </sheetViews>
  <sheetFormatPr baseColWidth="8" defaultRowHeight="15"/>
  <sheetData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5">
      <c r="B15" t="inlineStr">
        <is>
          <t>Principal Repayment</t>
        </is>
      </c>
      <c r="C15" t="inlineStr">
        <is>
          <t>USD</t>
        </is>
      </c>
      <c r="F15">
        <f>-PPMT('c20_Parameters'!G2,1,6,900)</f>
        <v/>
      </c>
      <c r="G15">
        <f>-PPMT('c20_Parameters'!G2,2,6,900)</f>
        <v/>
      </c>
      <c r="H15">
        <f>-PPMT('c20_Parameters'!G2,3,6,900)</f>
        <v/>
      </c>
      <c r="I15">
        <f>-PPMT('c20_Parameters'!G2,4,6,900)</f>
        <v/>
      </c>
      <c r="J15">
        <f>-PPMT('c20_Parameters'!G2,5,6,900)</f>
        <v/>
      </c>
      <c r="K15">
        <f>-PPMT('c20_Parameters'!G2,6,6,900)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8">
      <c r="B18" t="inlineStr">
        <is>
          <t>Closing Balance</t>
        </is>
      </c>
      <c r="C18" t="inlineStr">
        <is>
          <t>USD</t>
        </is>
      </c>
      <c r="F18">
        <f>SUM(F9,F12,F15)</f>
        <v/>
      </c>
      <c r="G18">
        <f>SUM(G9,G12,G15)</f>
        <v/>
      </c>
      <c r="H18">
        <f>SUM(H9,H12,H15)</f>
        <v/>
      </c>
      <c r="I18">
        <f>SUM(I9,I12,I15)</f>
        <v/>
      </c>
      <c r="J18">
        <f>SUM(J9,J12,J15)</f>
        <v/>
      </c>
      <c r="K18">
        <f>SUM(K9,K12,K15)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9:L25"/>
  <sheetViews>
    <sheetView workbookViewId="0">
      <selection activeCell="A1" sqref="A1"/>
    </sheetView>
  </sheetViews>
  <sheetFormatPr baseColWidth="8" defaultRowHeight="15"/>
  <sheetData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5">
      <c r="B15" t="inlineStr">
        <is>
          <t>Principal Repayment</t>
        </is>
      </c>
      <c r="C15" t="inlineStr">
        <is>
          <t>USD</t>
        </is>
      </c>
      <c r="G15">
        <f>PPMT('c21_Parameters'!G2,1,6,900)</f>
        <v/>
      </c>
      <c r="H15">
        <f>PPMT('c21_Parameters'!G2,2,6,900)</f>
        <v/>
      </c>
      <c r="I15">
        <f>PPMT('c21_Parameters'!G2,3,6,900)</f>
        <v/>
      </c>
      <c r="J15">
        <f>PPMT('c21_Parameters'!G2,4,6,900)</f>
        <v/>
      </c>
      <c r="K15">
        <f>PPMT('c21_Parameters'!G2,5,6,900)</f>
        <v/>
      </c>
      <c r="L15">
        <f>PPMT('c21_Parameters'!G2,6,6,900)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8">
      <c r="B18" t="inlineStr">
        <is>
          <t>Closing Balance</t>
        </is>
      </c>
      <c r="C18" t="inlineStr">
        <is>
          <t>USD</t>
        </is>
      </c>
      <c r="G18">
        <f>G9+G12-G15</f>
        <v/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</row>
    <row r="25">
      <c r="B25" t="inlineStr">
        <is>
          <t>Drawdowns</t>
        </is>
      </c>
      <c r="C25" t="inlineStr">
        <is>
          <t>USD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9:M18"/>
  <sheetViews>
    <sheetView workbookViewId="0">
      <selection activeCell="A1" sqref="A1"/>
    </sheetView>
  </sheetViews>
  <sheetFormatPr baseColWidth="8" defaultRowHeight="15"/>
  <sheetData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5">
      <c r="B15" t="inlineStr">
        <is>
          <t>Principal Repayment</t>
        </is>
      </c>
      <c r="C15" t="inlineStr">
        <is>
          <t>USD</t>
        </is>
      </c>
      <c r="H15">
        <f>PPMT('c22_Parameters'!G2,1,6,900)</f>
        <v/>
      </c>
      <c r="I15">
        <f>PPMT('c22_Parameters'!G2,2,6,900)</f>
        <v/>
      </c>
      <c r="J15">
        <f>PPMT('c22_Parameters'!G2,3,6,900)</f>
        <v/>
      </c>
      <c r="K15">
        <f>PPMT('c22_Parameters'!G2,4,6,900)</f>
        <v/>
      </c>
      <c r="L15">
        <f>PPMT('c22_Parameters'!G2,5,6,900)</f>
        <v/>
      </c>
      <c r="M15">
        <f>PPMT('c22_Parameters'!G2,6,6,900)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8">
      <c r="B18" t="inlineStr">
        <is>
          <t>Closing Balance</t>
        </is>
      </c>
      <c r="C18" t="inlineStr">
        <is>
          <t>USD</t>
        </is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  <c r="M18">
        <f>M9+M12-M15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9:K22"/>
  <sheetViews>
    <sheetView workbookViewId="0">
      <selection activeCell="A1" sqref="A1"/>
    </sheetView>
  </sheetViews>
  <sheetFormatPr baseColWidth="8" defaultRowHeight="15"/>
  <sheetData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5">
      <c r="B15" t="inlineStr">
        <is>
          <t>Principal Repayment</t>
        </is>
      </c>
      <c r="C15" t="inlineStr">
        <is>
          <t>USD</t>
        </is>
      </c>
      <c r="F15">
        <f>PPMT('c23_Parameters'!G2,1,6,900)</f>
        <v/>
      </c>
      <c r="G15">
        <f>PPMT('c23_Parameters'!G2,2,6,900)</f>
        <v/>
      </c>
      <c r="H15">
        <f>PPMT('c23_Parameters'!G2,3,6,900)</f>
        <v/>
      </c>
      <c r="I15">
        <f>PPMT('c23_Parameters'!G2,4,6,900)</f>
        <v/>
      </c>
      <c r="J15">
        <f>PPMT('c23_Parameters'!G2,5,6,900)</f>
        <v/>
      </c>
      <c r="K15">
        <f>PPMT('c23_Parameters'!G2,6,6,900)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8">
      <c r="B18" t="inlineStr">
        <is>
          <t>Closing Balance</t>
        </is>
      </c>
      <c r="C18" t="inlineStr">
        <is>
          <t>USD</t>
        </is>
      </c>
      <c r="F18">
        <f>F9+F12-F15</f>
        <v/>
      </c>
      <c r="G18">
        <f>G9+G12-G15</f>
        <v/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</row>
    <row r="22">
      <c r="B22" t="inlineStr">
        <is>
          <t>Closing Balance subtracts Principal Repayment.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9:L18"/>
  <sheetViews>
    <sheetView workbookViewId="0">
      <selection activeCell="A1" sqref="A1"/>
    </sheetView>
  </sheetViews>
  <sheetFormatPr baseColWidth="8" defaultRowHeight="15"/>
  <sheetData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5">
      <c r="B15" t="inlineStr">
        <is>
          <t>Principal Repayment</t>
        </is>
      </c>
      <c r="C15" t="inlineStr">
        <is>
          <t>USD</t>
        </is>
      </c>
      <c r="G15">
        <f>-160</f>
        <v/>
      </c>
      <c r="H15">
        <f>-160</f>
        <v/>
      </c>
      <c r="I15">
        <f>-160</f>
        <v/>
      </c>
      <c r="J15">
        <f>-160</f>
        <v/>
      </c>
      <c r="K15">
        <f>-160</f>
        <v/>
      </c>
      <c r="L15">
        <f>-160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8">
      <c r="B18" t="inlineStr">
        <is>
          <t>Closing Balance</t>
        </is>
      </c>
      <c r="C18" t="inlineStr">
        <is>
          <t>USD</t>
        </is>
      </c>
      <c r="G18">
        <f>SUM(G9,G12,G15)</f>
        <v/>
      </c>
      <c r="H18">
        <f>SUM(H9,H12,H15)</f>
        <v/>
      </c>
      <c r="I18">
        <f>SUM(I9,I12,I15)</f>
        <v/>
      </c>
      <c r="J18">
        <f>SUM(J9,J12,J15)</f>
        <v/>
      </c>
      <c r="K18">
        <f>SUM(K9,K12,K15)</f>
        <v/>
      </c>
      <c r="L18">
        <f>SUM(L9,L12,L15)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9:M18"/>
  <sheetViews>
    <sheetView workbookViewId="0">
      <selection activeCell="A1" sqref="A1"/>
    </sheetView>
  </sheetViews>
  <sheetFormatPr baseColWidth="8" defaultRowHeight="15"/>
  <sheetData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5">
      <c r="B15" t="inlineStr">
        <is>
          <t>Principal Repayment</t>
        </is>
      </c>
      <c r="C15" t="inlineStr">
        <is>
          <t>USD</t>
        </is>
      </c>
      <c r="H15">
        <f>PPMT('c25_Parameters'!G2,1,6,900)</f>
        <v/>
      </c>
      <c r="I15">
        <f>PPMT('c25_Parameters'!G2,2,6,900)</f>
        <v/>
      </c>
      <c r="J15">
        <f>PPMT('c25_Parameters'!G2,3,6,900)</f>
        <v/>
      </c>
      <c r="K15">
        <f>PPMT('c25_Parameters'!G2,4,6,900)</f>
        <v/>
      </c>
      <c r="L15">
        <f>PPMT('c25_Parameters'!G2,5,6,900)</f>
        <v/>
      </c>
      <c r="M15">
        <f>PPMT('c25_Parameters'!G2,6,6,900)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8">
      <c r="B18" t="inlineStr">
        <is>
          <t>Closing Balance</t>
        </is>
      </c>
      <c r="C18" t="inlineStr">
        <is>
          <t>USD</t>
        </is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  <c r="M18">
        <f>M9+M12-M15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t="n">
        <v>0.04</v>
      </c>
      <c r="C2" t="n">
        <v>0.05</v>
      </c>
      <c r="E2" t="n">
        <v>1</v>
      </c>
      <c r="G2">
        <f>SQRT(0.0016)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2026-10-18T19:26:58Z</dcterms:created>
  <dcterms:modified xsi:type="dcterms:W3CDTF">2026-10-18T19:26:58Z</dcterms:modified>
</cp:coreProperties>
</file>