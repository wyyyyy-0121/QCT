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4845" yWindow="-21720" windowWidth="38640" windowHeight="21240" tabRatio="600" firstSheet="0" activeTab="2" autoFilterDateGrouping="1"/>
  </bookViews>
  <sheets>
    <sheet name="Description of variables" sheetId="1" state="visible" r:id="rId1"/>
    <sheet name="Offshore LCOE" sheetId="2" state="visible" r:id="rId2"/>
    <sheet name="CCGT LCOE calc" sheetId="3" state="visible" r:id="rId3"/>
    <sheet name="Deflators" sheetId="4" state="visible"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s>
  <definedNames>
    <definedName name="__123Graph_A" hidden="1">'[1]Model inputs'!#REF!</definedName>
    <definedName name="__123Graph_ACFSINDIV" hidden="1">[2]Data!#REF!</definedName>
    <definedName name="__123Graph_ACHGSPD1" hidden="1">'[3]CHGSPD19.FIN'!$B$10:$B$20</definedName>
    <definedName name="__123Graph_ACHGSPD2" hidden="1">'[3]CHGSPD19.FIN'!$E$11:$E$20</definedName>
    <definedName name="__123Graph_AEFF" hidden="1">'[4]T3 Page 1'!#REF!</definedName>
    <definedName name="__123Graph_AGR14PBF1" hidden="1">'[5]HIS19FIN(A)'!$AF$70:$AF$81</definedName>
    <definedName name="__123Graph_ALBFFIN" hidden="1">'[4]FC Page 1'!#REF!</definedName>
    <definedName name="__123Graph_ALBFFIN2" hidden="1">'[5]HIS19FIN(A)'!$K$59:$Q$59</definedName>
    <definedName name="__123Graph_ALBFHIC2" hidden="1">'[5]HIS19FIN(A)'!$D$59:$J$59</definedName>
    <definedName name="__123Graph_ALCB" hidden="1">'[5]HIS19FIN(A)'!$D$83:$I$83</definedName>
    <definedName name="__123Graph_ANACFIN" hidden="1">'[5]HIS19FIN(A)'!$K$97:$Q$97</definedName>
    <definedName name="__123Graph_ANACHIC" hidden="1">'[5]HIS19FIN(A)'!$D$97:$J$97</definedName>
    <definedName name="__123Graph_APIC" hidden="1">'[4]T3 Page 1'!#REF!</definedName>
    <definedName name="__123Graph_B" hidden="1">'[1]Model inputs'!#REF!</definedName>
    <definedName name="__123Graph_BCFSINDIV" hidden="1">[2]Data!#REF!</definedName>
    <definedName name="__123Graph_BCFSUK" hidden="1">[2]Data!#REF!</definedName>
    <definedName name="__123Graph_BCHGSPD1" hidden="1">'[3]CHGSPD19.FIN'!$H$10:$H$25</definedName>
    <definedName name="__123Graph_BCHGSPD2" hidden="1">'[3]CHGSPD19.FIN'!$I$11:$I$25</definedName>
    <definedName name="__123Graph_BEFF" hidden="1">'[4]T3 Page 1'!#REF!</definedName>
    <definedName name="__123Graph_BLBF" hidden="1">'[4]T3 Page 1'!#REF!</definedName>
    <definedName name="__123Graph_BLBFFIN" hidden="1">'[4]FC Page 1'!#REF!</definedName>
    <definedName name="__123Graph_BLCB" hidden="1">'[5]HIS19FIN(A)'!$D$79:$I$79</definedName>
    <definedName name="__123Graph_BPIC" hidden="1">'[4]T3 Page 1'!#REF!</definedName>
    <definedName name="__123Graph_CACT13BUD" hidden="1">'[4]FC Page 1'!#REF!</definedName>
    <definedName name="__123Graph_CCFSINDIV" hidden="1">[2]Data!#REF!</definedName>
    <definedName name="__123Graph_CCFSUK" hidden="1">[2]Data!#REF!</definedName>
    <definedName name="__123Graph_CEFF" hidden="1">'[4]T3 Page 1'!#REF!</definedName>
    <definedName name="__123Graph_CGR14PBF1" hidden="1">'[5]HIS19FIN(A)'!$AK$70:$AK$81</definedName>
    <definedName name="__123Graph_CLBF" hidden="1">'[4]T3 Page 1'!#REF!</definedName>
    <definedName name="__123Graph_CPIC" hidden="1">'[4]T3 Page 1'!#REF!</definedName>
    <definedName name="__123Graph_DACT13BUD" hidden="1">'[4]FC Page 1'!#REF!</definedName>
    <definedName name="__123Graph_DCFSINDIV" hidden="1">[2]Data!#REF!</definedName>
    <definedName name="__123Graph_DCFSUK" hidden="1">[2]Data!#REF!</definedName>
    <definedName name="__123Graph_DEFF" hidden="1">'[4]T3 Page 1'!#REF!</definedName>
    <definedName name="__123Graph_DGR14PBF1" hidden="1">'[5]HIS19FIN(A)'!$AH$70:$AH$81</definedName>
    <definedName name="__123Graph_DLBF" hidden="1">'[4]T3 Page 1'!#REF!</definedName>
    <definedName name="__123Graph_DPIC" hidden="1">'[4]T3 Page 1'!#REF!</definedName>
    <definedName name="__123Graph_EACT13BUD" hidden="1">'[4]FC Page 1'!#REF!</definedName>
    <definedName name="__123Graph_ECFSINDIV" hidden="1">[2]Data!#REF!</definedName>
    <definedName name="__123Graph_ECFSUK" hidden="1">[2]Data!#REF!</definedName>
    <definedName name="__123Graph_EEFF" hidden="1">'[4]T3 Page 1'!#REF!</definedName>
    <definedName name="__123Graph_EEFFHIC" hidden="1">'[4]FC Page 1'!#REF!</definedName>
    <definedName name="__123Graph_EGR14PBF1" hidden="1">'[5]HIS19FIN(A)'!$AG$67:$AG$67</definedName>
    <definedName name="__123Graph_ELBF" hidden="1">'[4]T3 Page 1'!#REF!</definedName>
    <definedName name="__123Graph_EPIC" hidden="1">'[4]T3 Page 1'!#REF!</definedName>
    <definedName name="__123Graph_FACT13BUD" hidden="1">'[4]FC Page 1'!#REF!</definedName>
    <definedName name="__123Graph_FCFSUK" hidden="1">[2]Data!#REF!</definedName>
    <definedName name="__123Graph_FEFF" hidden="1">'[4]T3 Page 1'!#REF!</definedName>
    <definedName name="__123Graph_FEFFHIC" hidden="1">'[4]FC Page 1'!#REF!</definedName>
    <definedName name="__123Graph_FGR14PBF1" hidden="1">'[5]HIS19FIN(A)'!$AH$67:$AH$67</definedName>
    <definedName name="__123Graph_FLBF" hidden="1">'[4]T3 Page 1'!#REF!</definedName>
    <definedName name="__123Graph_FPIC" hidden="1">'[4]T3 Page 1'!#REF!</definedName>
    <definedName name="__123Graph_LBL_ARESID" hidden="1">'[5]HIS19FIN(A)'!$R$3:$W$3</definedName>
    <definedName name="__123Graph_LBL_BRESID" hidden="1">'[5]HIS19FIN(A)'!$R$3:$W$3</definedName>
    <definedName name="__123Graph_XACTHIC" hidden="1">'[4]FC Page 1'!#REF!</definedName>
    <definedName name="__123Graph_XCHGSPD1" hidden="1">'[3]CHGSPD19.FIN'!$A$10:$A$25</definedName>
    <definedName name="__123Graph_XCHGSPD2" hidden="1">'[3]CHGSPD19.FIN'!$A$11:$A$25</definedName>
    <definedName name="__123Graph_XEFF" hidden="1">'[4]T3 Page 1'!#REF!</definedName>
    <definedName name="__123Graph_XGR14PBF1" hidden="1">'[5]HIS19FIN(A)'!$AL$70:$AL$81</definedName>
    <definedName name="__123Graph_XLBF" hidden="1">'[4]T3 Page 1'!#REF!</definedName>
    <definedName name="__123Graph_XLBFFIN2" hidden="1">'[5]HIS19FIN(A)'!$K$61:$Q$61</definedName>
    <definedName name="__123Graph_XLBFHIC" hidden="1">'[5]HIS19FIN(A)'!$D$61:$J$61</definedName>
    <definedName name="__123Graph_XLBFHIC2" hidden="1">'[5]HIS19FIN(A)'!$D$61:$J$61</definedName>
    <definedName name="__123Graph_XLCB" hidden="1">'[5]HIS19FIN(A)'!$D$79:$I$79</definedName>
    <definedName name="__123Graph_XNACFIN" hidden="1">'[5]HIS19FIN(A)'!$K$95:$Q$95</definedName>
    <definedName name="__123Graph_XNACHIC" hidden="1">'[5]HIS19FIN(A)'!$D$95:$J$95</definedName>
    <definedName name="__123Graph_XPIC" hidden="1">'[4]T3 Page 1'!#REF!</definedName>
    <definedName name="_1__123Graph_ACHART_15" hidden="1">[6]USGC!$B$34:$B$53</definedName>
    <definedName name="_10__123Graph_XCHART_15" hidden="1">[6]USGC!$A$34:$A$53</definedName>
    <definedName name="_2__123Graph_BCHART_10" hidden="1">[6]USGC!$L$34:$L$53</definedName>
    <definedName name="_3__123Graph_BCHART_13" hidden="1">[6]USGC!$R$34:$R$53</definedName>
    <definedName name="_4__123Graph_BCHART_15" hidden="1">[6]USGC!$C$34:$C$53</definedName>
    <definedName name="_5__123Graph_CCHART_10" hidden="1">[6]USGC!$F$34:$F$53</definedName>
    <definedName name="_6__123Graph_CCHART_13" hidden="1">[6]USGC!$O$34:$O$53</definedName>
    <definedName name="_7__123Graph_CCHART_15" hidden="1">[6]USGC!$D$34:$D$53</definedName>
    <definedName name="_8__123Graph_XCHART_10" hidden="1">[6]USGC!$A$34:$A$53</definedName>
    <definedName name="_9__123Graph_XCHART_13" hidden="1">[6]USGC!$A$34:$A$53</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Key1" hidden="1">#REF!</definedName>
    <definedName name="_Order1" hidden="1">255</definedName>
    <definedName name="_Order2" hidden="1">255</definedName>
    <definedName name="_Regression_Out" hidden="1">#REF!</definedName>
    <definedName name="_Regression_X" hidden="1">#REF!</definedName>
    <definedName name="_Regression_Y" hidden="1">#REF!</definedName>
    <definedName name="Alt_Chk_1_Hdg" hidden="1">[7]BS_Hist_TA!$B$1</definedName>
    <definedName name="Alt_Chk_14_Hdg" hidden="1">[7]BS_Fcast_TO!$B$1</definedName>
    <definedName name="Alt_Chk_15_Hdg" hidden="1">[7]Fcast_OP_TO!$C$117</definedName>
    <definedName name="Alt_Chk_2_Hdg" hidden="1">[7]BS_Hist_TO!$B$1</definedName>
    <definedName name="asdas" hidden="1">{#N/A,#N/A,FALSE,"TMCOMP96";#N/A,#N/A,FALSE,"MAT96";#N/A,#N/A,FALSE,"FANDA96";#N/A,#N/A,FALSE,"INTRAN96";#N/A,#N/A,FALSE,"NAA9697";#N/A,#N/A,FALSE,"ECWEBB";#N/A,#N/A,FALSE,"MFT96";#N/A,#N/A,FALSE,"CTrecon"}</definedName>
    <definedName name="ASDASFD" hidden="1">{#N/A,#N/A,FALSE,"TMCOMP96";#N/A,#N/A,FALSE,"MAT96";#N/A,#N/A,FALSE,"FANDA96";#N/A,#N/A,FALSE,"INTRAN96";#N/A,#N/A,FALSE,"NAA9697";#N/A,#N/A,FALSE,"ECWEBB";#N/A,#N/A,FALSE,"MFT96";#N/A,#N/A,FALSE,"CTrecon"}</definedName>
    <definedName name="ASDF" hidden="1">{#N/A,#N/A,FALSE,"TMCOMP96";#N/A,#N/A,FALSE,"MAT96";#N/A,#N/A,FALSE,"FANDA96";#N/A,#N/A,FALSE,"INTRAN96";#N/A,#N/A,FALSE,"NAA9697";#N/A,#N/A,FALSE,"ECWEBB";#N/A,#N/A,FALSE,"MFT96";#N/A,#N/A,FALSE,"CTrecon"}</definedName>
    <definedName name="ASDFA" hidden="1">{#N/A,#N/A,FALSE,"TMCOMP96";#N/A,#N/A,FALSE,"MAT96";#N/A,#N/A,FALSE,"FANDA96";#N/A,#N/A,FALSE,"INTRAN96";#N/A,#N/A,FALSE,"NAA9697";#N/A,#N/A,FALSE,"ECWEBB";#N/A,#N/A,FALSE,"MFT96";#N/A,#N/A,FALSE,"CTrecon"}</definedName>
    <definedName name="ASFD" hidden="1">{#N/A,#N/A,FALSE,"TMCOMP96";#N/A,#N/A,FALSE,"MAT96";#N/A,#N/A,FALSE,"FANDA96";#N/A,#N/A,FALSE,"INTRAN96";#N/A,#N/A,FALSE,"NAA9697";#N/A,#N/A,FALSE,"ECWEBB";#N/A,#N/A,FALSE,"MFT96";#N/A,#N/A,FALSE,"CTrecon"}</definedName>
    <definedName name="BLPH1" hidden="1">'[8]4.6 ten year bonds'!$A$4</definedName>
    <definedName name="BLPH2" hidden="1">'[8]4.6 ten year bonds'!$D$4</definedName>
    <definedName name="BLPH3" hidden="1">'[8]4.6 ten year bonds'!$G$4</definedName>
    <definedName name="BLPH4" hidden="1">'[8]4.6 ten year bonds'!$J$4</definedName>
    <definedName name="BLPH5" hidden="1">'[8]4.6 ten year bonds'!$M$4</definedName>
    <definedName name="BMGHIndex" hidden="1">"O"</definedName>
    <definedName name="Deflator_2010">Deflators!$C$70</definedName>
    <definedName name="Deflator_2011">Deflators!$C$71</definedName>
    <definedName name="Deflator_2012">Deflators!$C$72</definedName>
    <definedName name="Deflator_2013">Deflators!$C$73</definedName>
    <definedName name="Deflator_2014">Deflators!$C$74</definedName>
    <definedName name="Deflator_2015">Deflators!$C$75</definedName>
    <definedName name="Deflator_2016">Deflators!$C$76</definedName>
    <definedName name="Deflator_2017">Deflators!$C$77</definedName>
    <definedName name="Deflator_2018">Deflators!$C$78</definedName>
    <definedName name="dgsgf" hidden="1">{#N/A,#N/A,FALSE,"TMCOMP96";#N/A,#N/A,FALSE,"MAT96";#N/A,#N/A,FALSE,"FANDA96";#N/A,#N/A,FALSE,"INTRAN96";#N/A,#N/A,FALSE,"NAA9697";#N/A,#N/A,FALSE,"ECWEBB";#N/A,#N/A,FALSE,"MFT96";#N/A,#N/A,FALSE,"CTrecon"}</definedName>
    <definedName name="Distribution" hidden="1">#REF!</definedName>
    <definedName name="DME_LocalFile" hidden="1">"True"</definedName>
    <definedName name="Err_Chk_1_Hdg" hidden="1">[7]Fcast_OP_TO!$C$27</definedName>
    <definedName name="Err_Chk_11_Hdg" hidden="1">[7]IS_Fcast_TO!$B$1</definedName>
    <definedName name="Err_Chk_13_Hdg" hidden="1">[7]BS_Fcast_TO!$B$1</definedName>
    <definedName name="Err_Chk_14_Hdg" hidden="1">[7]CFS_Fcast_TO!$B$1</definedName>
    <definedName name="Err_Chk_15_Hdg" hidden="1">[7]Fcast_OP_TO!$C$117</definedName>
    <definedName name="Err_Chk_2_Hdg" hidden="1">[7]Fcast_OP_TO!$C$44</definedName>
    <definedName name="Err_Chk_3_Hdg" hidden="1">[7]Fcast_OP_TO!$C$64</definedName>
    <definedName name="Err_Chk_4_Hdg" hidden="1">[7]Fcast_OP_TO!$C$76</definedName>
    <definedName name="ExtraProfiles" hidden="1">#REF!</definedName>
    <definedName name="FDDD" hidden="1">{#N/A,#N/A,FALSE,"TMCOMP96";#N/A,#N/A,FALSE,"MAT96";#N/A,#N/A,FALSE,"FANDA96";#N/A,#N/A,FALSE,"INTRAN96";#N/A,#N/A,FALSE,"NAA9697";#N/A,#N/A,FALSE,"ECWEBB";#N/A,#N/A,FALSE,"MFT96";#N/A,#N/A,FALSE,"CTrecon"}</definedName>
    <definedName name="fg" hidden="1">{#N/A,#N/A,FALSE,"TMCOMP96";#N/A,#N/A,FALSE,"MAT96";#N/A,#N/A,FALSE,"FANDA96";#N/A,#N/A,FALSE,"INTRAN96";#N/A,#N/A,FALSE,"NAA9697";#N/A,#N/A,FALSE,"ECWEBB";#N/A,#N/A,FALSE,"MFT96";#N/A,#N/A,FALSE,"CTrecon"}</definedName>
    <definedName name="fgfd" hidden="1">{#N/A,#N/A,FALSE,"TMCOMP96";#N/A,#N/A,FALSE,"MAT96";#N/A,#N/A,FALSE,"FANDA96";#N/A,#N/A,FALSE,"INTRAN96";#N/A,#N/A,FALSE,"NAA9697";#N/A,#N/A,FALSE,"ECWEBB";#N/A,#N/A,FALSE,"MFT96";#N/A,#N/A,FALSE,"CTrecon"}</definedName>
    <definedName name="ghj" hidden="1">{#N/A,#N/A,FALSE,"TMCOMP96";#N/A,#N/A,FALSE,"MAT96";#N/A,#N/A,FALSE,"FANDA96";#N/A,#N/A,FALSE,"INTRAN96";#N/A,#N/A,FALSE,"NAA9697";#N/A,#N/A,FALSE,"ECWEBB";#N/A,#N/A,FALSE,"MFT96";#N/A,#N/A,FALSE,"CTrecon"}</definedName>
    <definedName name="Graph1" hidden="1">'[1]Model inputs'!#REF!</definedName>
    <definedName name="Graph2" hidden="1">[2]Data!#REF!</definedName>
    <definedName name="Graph3" hidden="1">'[4]T3 Page 1'!#REF!</definedName>
    <definedName name="Graph4" hidden="1">'[4]FC Page 1'!#REF!</definedName>
    <definedName name="Graph5" hidden="1">'[4]T3 Page 1'!#REF!</definedName>
    <definedName name="Graph6" hidden="1">'[1]Model inputs'!#REF!</definedName>
    <definedName name="Graph7" hidden="1">[2]Data!#REF!</definedName>
    <definedName name="Graph8" hidden="1">[2]Data!#REF!</definedName>
    <definedName name="Header1" hidden="1">IF(COUNTA(#REF!)=0,0,INDEX(#REF!,MATCH(ROW(#REF!),#REF!,TRUE)))+1</definedName>
    <definedName name="Header2" hidden="1">#N/A</definedName>
    <definedName name="Header3Find" hidden="1">#N/A</definedName>
    <definedName name="HL_Alt_Chk_1" hidden="1">[7]BS_Hist_TA!$H$73</definedName>
    <definedName name="HL_Alt_Chk_14" hidden="1">[7]BS_Fcast_TO!$I$72</definedName>
    <definedName name="HL_Alt_Chk_15" hidden="1">[7]Fcast_OP_TO!$I$138</definedName>
    <definedName name="HL_Alt_Chk_2" hidden="1">[7]BS_Hist_TO!$H$74</definedName>
    <definedName name="HL_Err_Chk_1" hidden="1">[7]Fcast_OP_TO!$I$42</definedName>
    <definedName name="HL_Err_Chk_11" hidden="1">[7]IS_Fcast_TO!$I$41</definedName>
    <definedName name="HL_Err_Chk_13" hidden="1">[7]BS_Fcast_TO!$I$70</definedName>
    <definedName name="HL_Err_Chk_14" hidden="1">[7]CFS_Fcast_TO!$I$114</definedName>
    <definedName name="HL_Err_Chk_15" hidden="1">[7]Fcast_OP_TO!$I$136</definedName>
    <definedName name="HL_Err_Chk_2" hidden="1">[7]Fcast_OP_TO!$I$59</definedName>
    <definedName name="HL_Err_Chk_3" hidden="1">[7]Fcast_OP_TO!$I$74</definedName>
    <definedName name="HL_Err_Chk_4" hidden="1">[7]Fcast_OP_TO!$I$86</definedName>
    <definedName name="jhkgh" hidden="1">{#N/A,#N/A,FALSE,"TMCOMP96";#N/A,#N/A,FALSE,"MAT96";#N/A,#N/A,FALSE,"FANDA96";#N/A,#N/A,FALSE,"INTRAN96";#N/A,#N/A,FALSE,"NAA9697";#N/A,#N/A,FALSE,"ECWEBB";#N/A,#N/A,FALSE,"MFT96";#N/A,#N/A,FALSE,"CTrecon"}</definedName>
    <definedName name="jhkgh2" hidden="1">{#N/A,#N/A,FALSE,"TMCOMP96";#N/A,#N/A,FALSE,"MAT96";#N/A,#N/A,FALSE,"FANDA96";#N/A,#N/A,FALSE,"INTRAN96";#N/A,#N/A,FALSE,"NAA9697";#N/A,#N/A,FALSE,"ECWEBB";#N/A,#N/A,FALSE,"MFT96";#N/A,#N/A,FALSE,"CTrecon"}</definedName>
    <definedName name="NOCONFLICT" hidden="1">{#N/A,#N/A,FALSE,"TMCOMP96";#N/A,#N/A,FALSE,"MAT96";#N/A,#N/A,FALSE,"FANDA96";#N/A,#N/A,FALSE,"INTRAN96";#N/A,#N/A,FALSE,"NAA9697";#N/A,#N/A,FALSE,"ECWEBB";#N/A,#N/A,FALSE,"MFT96";#N/A,#N/A,FALSE,"CTrecon"}</definedName>
    <definedName name="Option2" hidden="1">{#N/A,#N/A,FALSE,"TMCOMP96";#N/A,#N/A,FALSE,"MAT96";#N/A,#N/A,FALSE,"FANDA96";#N/A,#N/A,FALSE,"INTRAN96";#N/A,#N/A,FALSE,"NAA9697";#N/A,#N/A,FALSE,"ECWEBB";#N/A,#N/A,FALSE,"MFT96";#N/A,#N/A,FALSE,"CTrecon"}</definedName>
    <definedName name="Pal_Workbook_GUID" hidden="1">"1LMS2U6TLKFBVGQISFA5FIYM"</definedName>
    <definedName name="Pop" hidden="1">[9]Population!#REF!</definedName>
    <definedName name="Population" hidden="1">#REF!</definedName>
    <definedName name="Profiles" hidden="1">#REF!</definedName>
    <definedName name="Projections" hidden="1">#REF!</definedName>
    <definedName name="Results" hidden="1">[10]UK99!$A$1:$A$1</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3000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sdf" hidden="1">{#N/A,#N/A,FALSE,"TMCOMP96";#N/A,#N/A,FALSE,"MAT96";#N/A,#N/A,FALSE,"FANDA96";#N/A,#N/A,FALSE,"INTRAN96";#N/A,#N/A,FALSE,"NAA9697";#N/A,#N/A,FALSE,"ECWEBB";#N/A,#N/A,FALSE,"MFT96";#N/A,#N/A,FALSE,"CTrecon"}</definedName>
    <definedName name="sdff" hidden="1">{#N/A,#N/A,FALSE,"TMCOMP96";#N/A,#N/A,FALSE,"MAT96";#N/A,#N/A,FALSE,"FANDA96";#N/A,#N/A,FALSE,"INTRAN96";#N/A,#N/A,FALSE,"NAA9697";#N/A,#N/A,FALSE,"ECWEBB";#N/A,#N/A,FALSE,"MFT96";#N/A,#N/A,FALSE,"CTrecon"}</definedName>
    <definedName name="sfad" hidden="1">{#N/A,#N/A,FALSE,"TMCOMP96";#N/A,#N/A,FALSE,"MAT96";#N/A,#N/A,FALSE,"FANDA96";#N/A,#N/A,FALSE,"INTRAN96";#N/A,#N/A,FALSE,"NAA9697";#N/A,#N/A,FALSE,"ECWEBB";#N/A,#N/A,FALSE,"MFT96";#N/A,#N/A,FALSE,"CTrecon"}</definedName>
    <definedName name="trggh" hidden="1">{#N/A,#N/A,FALSE,"TMCOMP96";#N/A,#N/A,FALSE,"MAT96";#N/A,#N/A,FALSE,"FANDA96";#N/A,#N/A,FALSE,"INTRAN96";#N/A,#N/A,FALSE,"NAA9697";#N/A,#N/A,FALSE,"ECWEBB";#N/A,#N/A,FALSE,"MFT96";#N/A,#N/A,FALSE,"CTrecon"}</definedName>
    <definedName name="wrn.TMCOMP." hidden="1">{#N/A,#N/A,FALSE,"TMCOMP96";#N/A,#N/A,FALSE,"MAT96";#N/A,#N/A,FALSE,"FANDA96";#N/A,#N/A,FALSE,"INTRAN96";#N/A,#N/A,FALSE,"NAA9697";#N/A,#N/A,FALSE,"ECWEBB";#N/A,#N/A,FALSE,"MFT96";#N/A,#N/A,FALSE,"CTrecon"}</definedName>
  </definedNames>
  <calcPr calcId="191028" calcMode="manual" fullCalcOnLoad="1"/>
</workbook>
</file>

<file path=xl/styles.xml><?xml version="1.0" encoding="utf-8"?>
<styleSheet xmlns="http://schemas.openxmlformats.org/spreadsheetml/2006/main">
  <numFmts count="5">
    <numFmt numFmtId="164" formatCode="0.0%"/>
    <numFmt numFmtId="165" formatCode="_-* #,##0.00_-;\-* #,##0.00_-;_-* &quot;-&quot;??_-;_-@_-"/>
    <numFmt numFmtId="166" formatCode="_-* #,##0_-;\-* #,##0_-;_-* &quot;-&quot;??_-;_-@_-"/>
    <numFmt numFmtId="167" formatCode="&quot;£&quot;#,##0.00"/>
    <numFmt numFmtId="168" formatCode="_-* #,##0.0_-;\-* #,##0.0_-;_-* &quot;-&quot;??_-;_-@_-"/>
  </numFmts>
  <fonts count="16">
    <font>
      <name val="Calibri"/>
      <family val="2"/>
      <color theme="1"/>
      <sz val="11"/>
      <scheme val="minor"/>
    </font>
    <font>
      <name val="Calibri"/>
      <family val="2"/>
      <b val="1"/>
      <color theme="3"/>
      <sz val="13"/>
      <scheme val="minor"/>
    </font>
    <font>
      <name val="Calibri"/>
      <family val="2"/>
      <b val="1"/>
      <color theme="3"/>
      <sz val="11"/>
      <scheme val="minor"/>
    </font>
    <font>
      <name val="Calibri"/>
      <family val="2"/>
      <color rgb="FF3F3F76"/>
      <sz val="11"/>
      <scheme val="minor"/>
    </font>
    <font>
      <name val="Calibri"/>
      <family val="2"/>
      <b val="1"/>
      <color theme="1"/>
      <sz val="11"/>
      <scheme val="minor"/>
    </font>
    <font>
      <name val="Calibri"/>
      <family val="2"/>
      <color rgb="FF00B0F0"/>
      <sz val="11"/>
      <scheme val="minor"/>
    </font>
    <font>
      <name val="Calibri"/>
      <family val="2"/>
      <color theme="1"/>
      <sz val="11"/>
      <scheme val="minor"/>
    </font>
    <font>
      <name val="Calibri"/>
      <family val="2"/>
      <b val="1"/>
      <color theme="0"/>
      <sz val="16"/>
      <scheme val="minor"/>
    </font>
    <font>
      <name val="Calibri"/>
      <family val="2"/>
      <i val="1"/>
      <color rgb="FF7F7F7F"/>
      <sz val="11"/>
      <scheme val="minor"/>
    </font>
    <font>
      <name val="Calibri"/>
      <family val="2"/>
      <sz val="8"/>
      <scheme val="minor"/>
    </font>
    <font>
      <name val="Calibri"/>
      <family val="2"/>
      <b val="1"/>
      <color theme="0"/>
      <sz val="13"/>
      <scheme val="minor"/>
    </font>
    <font>
      <name val="Calibri"/>
      <family val="2"/>
      <i val="1"/>
      <color theme="1"/>
      <sz val="11"/>
      <scheme val="minor"/>
    </font>
    <font>
      <name val="Calibri"/>
      <family val="2"/>
      <color theme="10"/>
      <sz val="11"/>
      <u val="single"/>
      <scheme val="minor"/>
    </font>
    <font>
      <name val="Calibri"/>
      <family val="2"/>
      <color rgb="FFFF0000"/>
      <sz val="11"/>
      <scheme val="minor"/>
    </font>
    <font>
      <name val="Calibri"/>
      <family val="2"/>
      <sz val="11"/>
      <scheme val="minor"/>
    </font>
    <font>
      <name val="Calibri"/>
      <family val="2"/>
      <b val="1"/>
      <color rgb="FFFF0000"/>
      <sz val="11"/>
      <scheme val="minor"/>
    </font>
  </fonts>
  <fills count="8">
    <fill>
      <patternFill/>
    </fill>
    <fill>
      <patternFill patternType="gray125"/>
    </fill>
    <fill>
      <patternFill patternType="solid">
        <fgColor rgb="FFFFCC99"/>
      </patternFill>
    </fill>
    <fill>
      <patternFill patternType="solid">
        <fgColor theme="4" tint="-0.249977111117893"/>
        <bgColor indexed="64"/>
      </patternFill>
    </fill>
    <fill>
      <patternFill patternType="solid">
        <fgColor theme="8" tint="0.5999938962981048"/>
        <bgColor indexed="64"/>
      </patternFill>
    </fill>
    <fill>
      <patternFill patternType="solid">
        <fgColor theme="8" tint="0.7999816888943144"/>
        <bgColor indexed="64"/>
      </patternFill>
    </fill>
    <fill>
      <patternFill patternType="solid">
        <fgColor theme="8"/>
        <bgColor indexed="64"/>
      </patternFill>
    </fill>
    <fill>
      <patternFill patternType="solid">
        <fgColor theme="9" tint="0.5999938962981048"/>
        <bgColor indexed="64"/>
      </patternFill>
    </fill>
  </fills>
  <borders count="9">
    <border>
      <left/>
      <right/>
      <top/>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right/>
      <top/>
      <bottom style="medium">
        <color indexed="64"/>
      </bottom>
      <diagonal/>
    </border>
    <border>
      <left/>
      <right style="medium">
        <color indexed="64"/>
      </right>
      <top/>
      <bottom style="medium">
        <color indexed="64"/>
      </bottom>
      <diagonal/>
    </border>
  </borders>
  <cellStyleXfs count="9">
    <xf numFmtId="0" fontId="6" fillId="0" borderId="0"/>
    <xf numFmtId="0" fontId="1" fillId="0" borderId="1"/>
    <xf numFmtId="0" fontId="2" fillId="0" borderId="2"/>
    <xf numFmtId="0" fontId="3" fillId="2" borderId="3"/>
    <xf numFmtId="14" fontId="5" fillId="0" borderId="0"/>
    <xf numFmtId="9" fontId="6" fillId="0" borderId="0"/>
    <xf numFmtId="43" fontId="6" fillId="0" borderId="0"/>
    <xf numFmtId="0" fontId="8" fillId="0" borderId="0"/>
    <xf numFmtId="0" fontId="12" fillId="0" borderId="0"/>
  </cellStyleXfs>
  <cellXfs count="78">
    <xf numFmtId="0" fontId="0" fillId="0" borderId="0" pivotButton="0" quotePrefix="0" xfId="0"/>
    <xf numFmtId="0" fontId="0" fillId="0" borderId="0" applyAlignment="1" pivotButton="0" quotePrefix="0" xfId="0">
      <alignment wrapText="1"/>
    </xf>
    <xf numFmtId="0" fontId="0" fillId="0" borderId="0" applyAlignment="1" pivotButton="0" quotePrefix="0" xfId="0">
      <alignment horizontal="left"/>
    </xf>
    <xf numFmtId="0" fontId="7" fillId="3" borderId="0" pivotButton="0" quotePrefix="0" xfId="0"/>
    <xf numFmtId="0" fontId="3" fillId="2" borderId="3" pivotButton="0" quotePrefix="0" xfId="3"/>
    <xf numFmtId="0" fontId="0" fillId="4" borderId="0" pivotButton="0" quotePrefix="0" xfId="0"/>
    <xf numFmtId="0" fontId="0" fillId="5" borderId="0" pivotButton="0" quotePrefix="0" xfId="0"/>
    <xf numFmtId="9" fontId="0" fillId="0" borderId="0" pivotButton="0" quotePrefix="0" xfId="5"/>
    <xf numFmtId="164" fontId="3" fillId="2" borderId="3" pivotButton="0" quotePrefix="0" xfId="3"/>
    <xf numFmtId="164" fontId="0" fillId="4" borderId="0" pivotButton="0" quotePrefix="0" xfId="0"/>
    <xf numFmtId="0" fontId="4" fillId="0" borderId="6" pivotButton="0" quotePrefix="0" xfId="0"/>
    <xf numFmtId="0" fontId="4" fillId="0" borderId="7" pivotButton="0" quotePrefix="0" xfId="0"/>
    <xf numFmtId="164" fontId="0" fillId="5" borderId="0" pivotButton="0" quotePrefix="0" xfId="5"/>
    <xf numFmtId="3" fontId="0" fillId="4" borderId="0" pivotButton="0" quotePrefix="0" xfId="0"/>
    <xf numFmtId="3" fontId="0" fillId="5" borderId="0" pivotButton="0" quotePrefix="0" xfId="0"/>
    <xf numFmtId="2" fontId="0" fillId="4" borderId="0" pivotButton="0" quotePrefix="0" xfId="0"/>
    <xf numFmtId="165" fontId="0" fillId="4" borderId="0" pivotButton="0" quotePrefix="0" xfId="6"/>
    <xf numFmtId="166" fontId="0" fillId="4" borderId="0" pivotButton="0" quotePrefix="0" xfId="6"/>
    <xf numFmtId="165" fontId="0" fillId="0" borderId="0" pivotButton="0" quotePrefix="0" xfId="6"/>
    <xf numFmtId="2" fontId="0" fillId="5" borderId="0" pivotButton="0" quotePrefix="0" xfId="6"/>
    <xf numFmtId="165" fontId="0" fillId="5" borderId="0" pivotButton="0" quotePrefix="0" xfId="0"/>
    <xf numFmtId="165" fontId="0" fillId="4" borderId="0" pivotButton="0" quotePrefix="0" xfId="0"/>
    <xf numFmtId="167" fontId="4" fillId="6" borderId="5" pivotButton="0" quotePrefix="0" xfId="0"/>
    <xf numFmtId="165" fontId="0" fillId="5" borderId="0" pivotButton="0" quotePrefix="0" xfId="6"/>
    <xf numFmtId="2" fontId="0" fillId="5" borderId="0" pivotButton="0" quotePrefix="0" xfId="0"/>
    <xf numFmtId="0" fontId="2" fillId="0" borderId="2" applyAlignment="1" pivotButton="0" quotePrefix="0" xfId="2">
      <alignment wrapText="1"/>
    </xf>
    <xf numFmtId="0" fontId="4" fillId="0" borderId="8" pivotButton="0" quotePrefix="0" xfId="0"/>
    <xf numFmtId="165" fontId="0" fillId="0" borderId="0" pivotButton="0" quotePrefix="0" xfId="6"/>
    <xf numFmtId="165" fontId="0" fillId="0" borderId="0" pivotButton="0" quotePrefix="0" xfId="0"/>
    <xf numFmtId="0" fontId="4" fillId="0" borderId="5" applyAlignment="1" pivotButton="0" quotePrefix="0" xfId="0">
      <alignment horizontal="center"/>
    </xf>
    <xf numFmtId="167" fontId="4" fillId="4" borderId="5" pivotButton="0" quotePrefix="0" xfId="0"/>
    <xf numFmtId="0" fontId="1" fillId="0" borderId="1" pivotButton="0" quotePrefix="0" xfId="1"/>
    <xf numFmtId="0" fontId="8" fillId="0" borderId="0" pivotButton="0" quotePrefix="0" xfId="7"/>
    <xf numFmtId="3" fontId="4" fillId="7" borderId="5" pivotButton="0" quotePrefix="0" xfId="0"/>
    <xf numFmtId="0" fontId="0" fillId="0" borderId="4" applyAlignment="1" pivotButton="0" quotePrefix="0" xfId="0">
      <alignment wrapText="1"/>
    </xf>
    <xf numFmtId="0" fontId="10" fillId="3" borderId="0" applyAlignment="1" pivotButton="0" quotePrefix="0" xfId="1">
      <alignment wrapText="1"/>
    </xf>
    <xf numFmtId="0" fontId="11" fillId="0" borderId="0" pivotButton="0" quotePrefix="0" xfId="0"/>
    <xf numFmtId="0" fontId="0" fillId="0" borderId="7" pivotButton="0" quotePrefix="0" xfId="0"/>
    <xf numFmtId="0" fontId="12" fillId="0" borderId="0" pivotButton="0" quotePrefix="0" xfId="8"/>
    <xf numFmtId="0" fontId="13" fillId="0" borderId="0" applyAlignment="1" pivotButton="0" quotePrefix="0" xfId="0">
      <alignment wrapText="1"/>
    </xf>
    <xf numFmtId="2" fontId="14" fillId="5" borderId="0" pivotButton="0" quotePrefix="0" xfId="6"/>
    <xf numFmtId="165" fontId="14" fillId="4" borderId="0" pivotButton="0" quotePrefix="0" xfId="6"/>
    <xf numFmtId="0" fontId="4" fillId="0" borderId="0" pivotButton="0" quotePrefix="0" xfId="0"/>
    <xf numFmtId="168" fontId="0" fillId="5" borderId="0" pivotButton="0" quotePrefix="0" xfId="0"/>
    <xf numFmtId="168" fontId="0" fillId="4" borderId="0" pivotButton="0" quotePrefix="0" xfId="0"/>
    <xf numFmtId="0" fontId="14" fillId="0" borderId="0" pivotButton="0" quotePrefix="0" xfId="0"/>
    <xf numFmtId="0" fontId="15" fillId="0" borderId="0" pivotButton="0" quotePrefix="0" xfId="0"/>
    <xf numFmtId="165" fontId="14" fillId="5" borderId="0" pivotButton="0" quotePrefix="0" xfId="0"/>
    <xf numFmtId="2" fontId="14" fillId="5" borderId="0" pivotButton="0" quotePrefix="0" xfId="0"/>
    <xf numFmtId="166" fontId="0" fillId="0" borderId="0" pivotButton="0" quotePrefix="0" xfId="6"/>
    <xf numFmtId="0" fontId="14" fillId="5" borderId="0" pivotButton="0" quotePrefix="0" xfId="0"/>
    <xf numFmtId="9" fontId="3" fillId="2" borderId="3" pivotButton="0" quotePrefix="0" xfId="3"/>
    <xf numFmtId="2" fontId="3" fillId="2" borderId="3" pivotButton="0" quotePrefix="0" xfId="3"/>
    <xf numFmtId="165" fontId="3" fillId="2" borderId="3" pivotButton="0" quotePrefix="0" xfId="3"/>
    <xf numFmtId="1" fontId="3" fillId="2" borderId="3" pivotButton="0" quotePrefix="0" xfId="3"/>
    <xf numFmtId="166" fontId="3" fillId="2" borderId="3" pivotButton="0" quotePrefix="0" xfId="6"/>
    <xf numFmtId="3" fontId="3" fillId="2" borderId="3" pivotButton="0" quotePrefix="0" xfId="3"/>
    <xf numFmtId="166" fontId="3" fillId="2" borderId="3" pivotButton="0" quotePrefix="0" xfId="3"/>
    <xf numFmtId="166" fontId="14" fillId="5" borderId="0" pivotButton="0" quotePrefix="0" xfId="6"/>
    <xf numFmtId="10" fontId="3" fillId="2" borderId="3" pivotButton="0" quotePrefix="0" xfId="3"/>
    <xf numFmtId="167" fontId="4" fillId="4" borderId="5" pivotButton="0" quotePrefix="0" xfId="0"/>
    <xf numFmtId="167" fontId="4" fillId="6" borderId="5" pivotButton="0" quotePrefix="0" xfId="0"/>
    <xf numFmtId="165" fontId="0" fillId="4" borderId="0" pivotButton="0" quotePrefix="0" xfId="6"/>
    <xf numFmtId="165" fontId="3" fillId="2" borderId="3" pivotButton="0" quotePrefix="0" xfId="3"/>
    <xf numFmtId="165" fontId="0" fillId="0" borderId="0" pivotButton="0" quotePrefix="0" xfId="6"/>
    <xf numFmtId="165" fontId="0" fillId="5" borderId="0" pivotButton="0" quotePrefix="0" xfId="0"/>
    <xf numFmtId="165" fontId="0" fillId="4" borderId="0" pivotButton="0" quotePrefix="0" xfId="0"/>
    <xf numFmtId="166" fontId="3" fillId="2" borderId="3" pivotButton="0" quotePrefix="0" xfId="3"/>
    <xf numFmtId="165" fontId="0" fillId="0" borderId="0" pivotButton="0" quotePrefix="0" xfId="0"/>
    <xf numFmtId="166" fontId="14" fillId="5" borderId="0" pivotButton="0" quotePrefix="0" xfId="6"/>
    <xf numFmtId="166" fontId="3" fillId="2" borderId="3" pivotButton="0" quotePrefix="0" xfId="6"/>
    <xf numFmtId="165" fontId="14" fillId="5" borderId="0" pivotButton="0" quotePrefix="0" xfId="0"/>
    <xf numFmtId="166" fontId="0" fillId="0" borderId="0" pivotButton="0" quotePrefix="0" xfId="6"/>
    <xf numFmtId="165" fontId="0" fillId="5" borderId="0" pivotButton="0" quotePrefix="0" xfId="6"/>
    <xf numFmtId="165" fontId="14" fillId="4" borderId="0" pivotButton="0" quotePrefix="0" xfId="6"/>
    <xf numFmtId="168" fontId="0" fillId="5" borderId="0" pivotButton="0" quotePrefix="0" xfId="0"/>
    <xf numFmtId="168" fontId="0" fillId="4" borderId="0" pivotButton="0" quotePrefix="0" xfId="0"/>
    <xf numFmtId="166" fontId="0" fillId="4" borderId="0" pivotButton="0" quotePrefix="0" xfId="6"/>
  </cellXfs>
  <cellStyles count="9">
    <cellStyle name="Normal" xfId="0" builtinId="0"/>
    <cellStyle name="Heading 2" xfId="1" builtinId="17"/>
    <cellStyle name="Heading 3" xfId="2" builtinId="18"/>
    <cellStyle name="Input" xfId="3" builtinId="20"/>
    <cellStyle name="documentation" xfId="4"/>
    <cellStyle name="Per cent" xfId="5" builtinId="5"/>
    <cellStyle name="Comma" xfId="6" builtinId="3"/>
    <cellStyle name="Explanatory Text" xfId="7" builtinId="53"/>
    <cellStyle name="Hyperlink" xfId="8"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externalLink" Target="/xl/externalLinks/externalLink2.xml" Id="rId6" /><Relationship Type="http://schemas.openxmlformats.org/officeDocument/2006/relationships/externalLink" Target="/xl/externalLinks/externalLink3.xml" Id="rId7" /><Relationship Type="http://schemas.openxmlformats.org/officeDocument/2006/relationships/externalLink" Target="/xl/externalLinks/externalLink4.xml" Id="rId8" /><Relationship Type="http://schemas.openxmlformats.org/officeDocument/2006/relationships/externalLink" Target="/xl/externalLinks/externalLink5.xml" Id="rId9" /><Relationship Type="http://schemas.openxmlformats.org/officeDocument/2006/relationships/externalLink" Target="/xl/externalLinks/externalLink6.xml" Id="rId10" /><Relationship Type="http://schemas.openxmlformats.org/officeDocument/2006/relationships/externalLink" Target="/xl/externalLinks/externalLink7.xml" Id="rId11" /><Relationship Type="http://schemas.openxmlformats.org/officeDocument/2006/relationships/externalLink" Target="/xl/externalLinks/externalLink8.xml" Id="rId12" /><Relationship Type="http://schemas.openxmlformats.org/officeDocument/2006/relationships/externalLink" Target="/xl/externalLinks/externalLink9.xml" Id="rId13" /><Relationship Type="http://schemas.openxmlformats.org/officeDocument/2006/relationships/externalLink" Target="/xl/externalLinks/externalLink10.xml" Id="rId14" /><Relationship Type="http://schemas.openxmlformats.org/officeDocument/2006/relationships/styles" Target="styles.xml" Id="rId15" /><Relationship Type="http://schemas.openxmlformats.org/officeDocument/2006/relationships/theme" Target="theme/theme1.xml" Id="rId16" /></Relationships>
</file>

<file path=xl/externalLinks/_rels/externalLink1.xml.rels><Relationships xmlns="http://schemas.openxmlformats.org/package/2006/relationships"><Relationship Type="http://schemas.openxmlformats.org/officeDocument/2006/relationships/externalLinkPath" Target="file:///\\WHPUSR03\msharma$\COMMON\99I2K\Group3\forecast\Pre%20Budget%20Reports\PBR%202006\Summer%20changes\CTPBR06L_original.xls" TargetMode="External" Id="rId1" /></Relationships>
</file>

<file path=xl/externalLinks/_rels/externalLink2.xml.rels><Relationships xmlns="http://schemas.openxmlformats.org/package/2006/relationships"><Relationship Type="http://schemas.openxmlformats.org/officeDocument/2006/relationships/externalLinkPath" Target="/Documents%20and%20Settings/senevij/Local%20Settings/Temporary%20Internet%20Files/OLK6D/FertAssChart.xls" TargetMode="External" Id="rId1" /></Relationships>
</file>

<file path=xl/externalLinks/_rels/externalLink3.xml.rels><Relationships xmlns="http://schemas.openxmlformats.org/package/2006/relationships"><Relationship Type="http://schemas.openxmlformats.org/officeDocument/2006/relationships/externalLinkPath" Target="http://budgetresponsibility.independent.gov.uk/forecast/hist20/CHSPD19.XLS" TargetMode="External" Id="rId1" /></Relationships>
</file>

<file path=xl/externalLinks/_rels/externalLink4.xml.rels><Relationships xmlns="http://schemas.openxmlformats.org/package/2006/relationships"><Relationship Type="http://schemas.openxmlformats.org/officeDocument/2006/relationships/externalLinkPath" Target="file:///\\WHPUSR03\msharma$\BM\Forecast\Bud05\PostBudget05_reconciled.xls" TargetMode="External" Id="rId1" /></Relationships>
</file>

<file path=xl/externalLinks/_rels/externalLink5.xml.rels><Relationships xmlns="http://schemas.openxmlformats.org/package/2006/relationships"><Relationship Type="http://schemas.openxmlformats.org/officeDocument/2006/relationships/externalLinkPath" Target="http://budgetresponsibility.independent.gov.uk/forecast/hist20/HIS19FIN.XLS" TargetMode="External" Id="rId1" /></Relationships>
</file>

<file path=xl/externalLinks/_rels/externalLink6.xml.rels><Relationships xmlns="http://schemas.openxmlformats.org/package/2006/relationships"><Relationship Type="http://schemas.openxmlformats.org/officeDocument/2006/relationships/externalLinkPath" Target="file:///\\Research-camb\mresearch\RPW\Winter%2004-05\Margins\MRGWinter04-05.XLS" TargetMode="External" Id="rId1" /></Relationships>
</file>

<file path=xl/externalLinks/_rels/externalLink7.xml.rels><Relationships xmlns="http://schemas.openxmlformats.org/package/2006/relationships"><Relationship Type="http://schemas.microsoft.com/office/2006/relationships/xlExternalLinkPath/xlPathMissing" Target="3.%20Business%20Planning%20Model%20Toolbox.xlsx" TargetMode="External" Id="rId1" /></Relationships>
</file>

<file path=xl/externalLinks/_rels/externalLink8.xml.rels><Relationships xmlns="http://schemas.openxmlformats.org/package/2006/relationships"><Relationship Type="http://schemas.openxmlformats.org/officeDocument/2006/relationships/externalLinkPath" Target="file:///\\oasisdata7\homedirs\Program%20Files\FileNET\IDM\Cache\2003012410152300001\all%20the%20charts.xls" TargetMode="External" Id="rId1" /></Relationships>
</file>

<file path=xl/externalLinks/_rels/externalLink9.xml.rels><Relationships xmlns="http://schemas.openxmlformats.org/package/2006/relationships"><Relationship Type="http://schemas.openxmlformats.org/officeDocument/2006/relationships/externalLinkPath" Target="/rkyv/CheckOut/Long-term%20model%202009%7bdb5-doc3966101-ma1-mi14%7d.xls" TargetMode="External" Id="rId1" /></Relationships>
</file>

<file path=xl/externalLinks/_rels/externalLink10.xml.rels><Relationships xmlns="http://schemas.openxmlformats.org/package/2006/relationships"><Relationship Type="http://schemas.microsoft.com/office/2006/relationships/xlExternalLinkPath/xlPathMissing" Target="UK99"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Model inputs"/>
      <sheetName val="Determinant analysis"/>
      <sheetName val="Model output"/>
      <sheetName val="CTA output"/>
      <sheetName val="Model growth rates"/>
      <sheetName val="HIC Total"/>
      <sheetName val="FIN Total"/>
      <sheetName val="Main calcs"/>
      <sheetName val="Summary"/>
      <sheetName val="Diagnostics"/>
      <sheetName val="CT on gains"/>
      <sheetName val="A9 summary"/>
      <sheetName val="GR regressions"/>
      <sheetName val="L-P regressions"/>
      <sheetName val="CTPBR06L_orig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Data"/>
      <sheetName val="EngChart"/>
      <sheetName val="WalChart"/>
      <sheetName val="ScoChart"/>
      <sheetName val="NIChart"/>
      <sheetName val="UKChart"/>
      <sheetName val="FertAssChart"/>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CHGSPD19.FIN"/>
    </sheetNames>
    <sheetDataSet>
      <sheetData sheetId="0" refreshError="1"/>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Macros"/>
      <sheetName val="External Inputs"/>
      <sheetName val="FAS Page 1"/>
      <sheetName val="FIN L-P regression"/>
      <sheetName val="HIC L-P regression"/>
      <sheetName val="FIN Rates"/>
      <sheetName val="Building Societies"/>
      <sheetName val="Rest of FIN"/>
      <sheetName val="FIN Total"/>
      <sheetName val="HIC Rates"/>
      <sheetName val="HIC Total"/>
      <sheetName val="FC Page 1"/>
      <sheetName val="T3 Page 1"/>
      <sheetName val="diff with last"/>
      <sheetName val="Repayments"/>
      <sheetName val="Budget 2005 measures"/>
      <sheetName val="PBR 2004 measures"/>
      <sheetName val="Previous Measures"/>
      <sheetName val="quarterly"/>
      <sheetName val="NG DATA"/>
      <sheetName val="NG HIC R7.3"/>
      <sheetName val="NG HIC R9.3"/>
      <sheetName val="NG FIN RA.3"/>
      <sheetName val="NG FIN RC.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HIS19FIN(A)"/>
    </sheetNames>
    <sheetDataSet>
      <sheetData sheetId="0" refreshError="1"/>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XXXXX"/>
      <sheetName val="Differences"/>
      <sheetName val="margus"/>
      <sheetName val="margasia"/>
      <sheetName val="margeur"/>
      <sheetName val="Graphics"/>
      <sheetName val="RPW Graphics"/>
      <sheetName val="USGC Chart 2"/>
      <sheetName val="USGC Chart 3"/>
      <sheetName val="USGC Chart"/>
      <sheetName val="Singapore Chart"/>
      <sheetName val="Rott - ARA Chart"/>
      <sheetName val="NYHB Resid vs Gas"/>
      <sheetName val="USGC Resid vs Gas"/>
      <sheetName val="Notional Cracking Margins Chart"/>
      <sheetName val="Comparison Graphs"/>
      <sheetName val="RPW Annual"/>
      <sheetName val="Chart3"/>
      <sheetName val="USGC"/>
      <sheetName val="NYHB"/>
      <sheetName val="Singapore"/>
      <sheetName val="Rotterdam - ARA Barges"/>
      <sheetName val="Prices in 3 Markets "/>
      <sheetName val="Price Comparison Charts"/>
      <sheetName val="Inter-Product in 3 Markets"/>
      <sheetName val="Crude Forecast"/>
      <sheetName val="FOB Med"/>
      <sheetName val="Chart1"/>
      <sheetName val="Y-T-D"/>
      <sheetName val="Y-T-D Daily"/>
      <sheetName val="Prices"/>
      <sheetName val="Mogas-Dist Margins"/>
      <sheetName val="NGLs"/>
      <sheetName val="Maya2"/>
      <sheetName val="Q5"/>
      <sheetName val="RPW_Graphics"/>
      <sheetName val="USGC_Chart_2"/>
      <sheetName val="USGC_Chart_3"/>
      <sheetName val="USGC_Chart"/>
      <sheetName val="Singapore_Chart"/>
      <sheetName val="Rott_-_ARA_Chart"/>
      <sheetName val="NYHB_Resid_vs_Gas"/>
      <sheetName val="USGC_Resid_vs_Gas"/>
      <sheetName val="Notional_Cracking_Margins_Chart"/>
      <sheetName val="Comparison_Graphs"/>
      <sheetName val="RPW_Annual"/>
      <sheetName val="Rotterdam_-_ARA_Barges"/>
      <sheetName val="Prices_in_3_Markets_"/>
      <sheetName val="Price_Comparison_Charts"/>
      <sheetName val="Inter-Product_in_3_Markets"/>
      <sheetName val="Crude_Forecast"/>
      <sheetName val="FOB_Med"/>
      <sheetName val="Y-T-D_Daily"/>
      <sheetName val="Mogas-Dist_Margins"/>
      <sheetName val="RPW_Graphics1"/>
      <sheetName val="USGC_Chart_21"/>
      <sheetName val="USGC_Chart_31"/>
      <sheetName val="USGC_Chart1"/>
      <sheetName val="Singapore_Chart1"/>
      <sheetName val="Rott_-_ARA_Chart1"/>
      <sheetName val="NYHB_Resid_vs_Gas1"/>
      <sheetName val="USGC_Resid_vs_Gas1"/>
      <sheetName val="Notional_Cracking_Margins_Char1"/>
      <sheetName val="Comparison_Graphs1"/>
      <sheetName val="RPW_Annual1"/>
      <sheetName val="Rotterdam_-_ARA_Barges1"/>
      <sheetName val="Prices_in_3_Markets_1"/>
      <sheetName val="Price_Comparison_Charts1"/>
      <sheetName val="Inter-Product_in_3_Markets1"/>
      <sheetName val="Crude_Forecast1"/>
      <sheetName val="FOB_Med1"/>
      <sheetName val="Y-T-D_Daily1"/>
      <sheetName val="Mogas-Dist_Margins1"/>
      <sheetName val="SUMMARY TABLE"/>
      <sheetName val="RPW_Graphics2"/>
      <sheetName val="USGC_Chart_22"/>
      <sheetName val="USGC_Chart_32"/>
      <sheetName val="USGC_Chart2"/>
      <sheetName val="Singapore_Chart2"/>
      <sheetName val="Rott_-_ARA_Chart2"/>
      <sheetName val="NYHB_Resid_vs_Gas2"/>
      <sheetName val="USGC_Resid_vs_Gas2"/>
      <sheetName val="Notional_Cracking_Margins_Char2"/>
      <sheetName val="Comparison_Graphs2"/>
      <sheetName val="RPW_Annual2"/>
      <sheetName val="Rotterdam_-_ARA_Barges2"/>
      <sheetName val="Prices_in_3_Markets_2"/>
      <sheetName val="Price_Comparison_Charts2"/>
      <sheetName val="Inter-Product_in_3_Markets2"/>
      <sheetName val="Crude_Forecast2"/>
      <sheetName val="FOB_Med2"/>
      <sheetName val="Y-T-D_Daily2"/>
      <sheetName val="Mogas-Dist_Margins2"/>
      <sheetName val="RPW_Graphics3"/>
      <sheetName val="USGC_Chart_23"/>
      <sheetName val="USGC_Chart_33"/>
      <sheetName val="USGC_Chart3"/>
      <sheetName val="Singapore_Chart3"/>
      <sheetName val="Rott_-_ARA_Chart3"/>
      <sheetName val="NYHB_Resid_vs_Gas3"/>
      <sheetName val="USGC_Resid_vs_Gas3"/>
      <sheetName val="Notional_Cracking_Margins_Char3"/>
      <sheetName val="Comparison_Graphs3"/>
      <sheetName val="RPW_Annual3"/>
      <sheetName val="Rotterdam_-_ARA_Barges3"/>
      <sheetName val="Prices_in_3_Markets_3"/>
      <sheetName val="Price_Comparison_Charts3"/>
      <sheetName val="Inter-Product_in_3_Markets3"/>
      <sheetName val="Crude_Forecast3"/>
      <sheetName val="FOB_Med3"/>
      <sheetName val="Y-T-D_Daily3"/>
      <sheetName val="Mogas-Dist_Margins3"/>
      <sheetName val="RPW_Graphics4"/>
      <sheetName val="USGC_Chart_24"/>
      <sheetName val="USGC_Chart_34"/>
      <sheetName val="USGC_Chart4"/>
      <sheetName val="Singapore_Chart4"/>
      <sheetName val="Rott_-_ARA_Chart4"/>
      <sheetName val="NYHB_Resid_vs_Gas4"/>
      <sheetName val="USGC_Resid_vs_Gas4"/>
      <sheetName val="Notional_Cracking_Margins_Char4"/>
      <sheetName val="Comparison_Graphs4"/>
      <sheetName val="RPW_Annual4"/>
      <sheetName val="Rotterdam_-_ARA_Barges4"/>
      <sheetName val="Prices_in_3_Markets_4"/>
      <sheetName val="Price_Comparison_Charts4"/>
      <sheetName val="Inter-Product_in_3_Markets4"/>
      <sheetName val="Crude_Forecast4"/>
      <sheetName val="FOB_Med4"/>
      <sheetName val="Y-T-D_Daily4"/>
      <sheetName val="Mogas-Dist_Margins4"/>
      <sheetName val="SUMMARY_TABLE"/>
      <sheetName val="Accuracy Calc"/>
      <sheetName val="Accuracy_Calc"/>
      <sheetName val="LKP_INDEX"/>
      <sheetName val="Data for lists"/>
      <sheetName val="Data_for_lists"/>
      <sheetName val="RPW_Graphics5"/>
      <sheetName val="USGC_Chart_25"/>
      <sheetName val="USGC_Chart_35"/>
      <sheetName val="USGC_Chart5"/>
      <sheetName val="Singapore_Chart5"/>
      <sheetName val="Rott_-_ARA_Chart5"/>
      <sheetName val="NYHB_Resid_vs_Gas5"/>
      <sheetName val="USGC_Resid_vs_Gas5"/>
      <sheetName val="Notional_Cracking_Margins_Char5"/>
      <sheetName val="Comparison_Graphs5"/>
      <sheetName val="RPW_Annual5"/>
      <sheetName val="Rotterdam_-_ARA_Barges5"/>
      <sheetName val="Prices_in_3_Markets_5"/>
      <sheetName val="Price_Comparison_Charts5"/>
      <sheetName val="Inter-Product_in_3_Markets5"/>
      <sheetName val="Crude_Forecast5"/>
      <sheetName val="FOB_Med5"/>
      <sheetName val="Y-T-D_Daily5"/>
      <sheetName val="Mogas-Dist_Margins5"/>
      <sheetName val="SUMMARY_TABLE1"/>
      <sheetName val="Accuracy_Calc1"/>
      <sheetName val="RPW_Graphics6"/>
      <sheetName val="USGC_Chart_26"/>
      <sheetName val="USGC_Chart_36"/>
      <sheetName val="USGC_Chart6"/>
      <sheetName val="Singapore_Chart6"/>
      <sheetName val="Rott_-_ARA_Chart6"/>
      <sheetName val="NYHB_Resid_vs_Gas6"/>
      <sheetName val="USGC_Resid_vs_Gas6"/>
      <sheetName val="Notional_Cracking_Margins_Char6"/>
      <sheetName val="Comparison_Graphs6"/>
      <sheetName val="RPW_Annual6"/>
      <sheetName val="Rotterdam_-_ARA_Barges6"/>
      <sheetName val="Prices_in_3_Markets_6"/>
      <sheetName val="Price_Comparison_Charts6"/>
      <sheetName val="Inter-Product_in_3_Markets6"/>
      <sheetName val="Crude_Forecast6"/>
      <sheetName val="FOB_Med6"/>
      <sheetName val="Y-T-D_Daily6"/>
      <sheetName val="Mogas-Dist_Margins6"/>
      <sheetName val="SUMMARY_TABLE2"/>
      <sheetName val="Accuracy_Calc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sheetData sheetId="134" refreshError="1"/>
      <sheetData sheetId="135" refreshError="1"/>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Set>
  </externalBook>
</externalLink>
</file>

<file path=xl/externalLinks/externalLink7.xml><?xml version="1.0" encoding="utf-8"?>
<externalLink xmlns:r="http://schemas.openxmlformats.org/officeDocument/2006/relationships" xmlns="http://schemas.openxmlformats.org/spreadsheetml/2006/main">
  <externalBook r:id="rId1">
    <sheetNames>
      <sheetName val="Cover"/>
      <sheetName val="Contents"/>
      <sheetName val="Overview_SC"/>
      <sheetName val="Notes_SSC"/>
      <sheetName val="Notes_BO"/>
      <sheetName val="Standards_MS"/>
      <sheetName val="Keys_SSC"/>
      <sheetName val="Keys_BO"/>
      <sheetName val="Assumptions_SC"/>
      <sheetName val="TS_Ass_SSC"/>
      <sheetName val="TS_BA"/>
      <sheetName val="Hist_Ass_SSC"/>
      <sheetName val="IS_Hist_TA"/>
      <sheetName val="BS_Hist_TA"/>
      <sheetName val="CFS_Hist_TA"/>
      <sheetName val="Fcast_Ass_SSC"/>
      <sheetName val="Fcast_TA"/>
      <sheetName val="Outputs_SC"/>
      <sheetName val="Hist_OP_SSC"/>
      <sheetName val="IS_Hist_TO"/>
      <sheetName val="BS_Hist_TO"/>
      <sheetName val="CFS_Hist_TO"/>
      <sheetName val="Fcast_OP_SSC"/>
      <sheetName val="Fcast_OP_TO"/>
      <sheetName val="IS_Fcast_TO"/>
      <sheetName val="BS_Fcast_TO"/>
      <sheetName val="CFS_Fcast_TO"/>
      <sheetName val="All_Pers_OP_SSC"/>
      <sheetName val="IS_All_TO"/>
      <sheetName val="BS_All_TO"/>
      <sheetName val="CFS_All_TO"/>
      <sheetName val="Dashboards_SSC"/>
      <sheetName val="BS_Sum_P_MS"/>
      <sheetName val="Appendices_SC"/>
      <sheetName val="Checks_SSC"/>
      <sheetName val="Checks_BO"/>
      <sheetName val="LU_SSC"/>
      <sheetName val="TS_LU"/>
      <sheetName val="Capital_LU"/>
      <sheetName val="Dashboards_LU"/>
      <sheetName val="Sector Model"/>
      <sheetName val="Lookups"/>
      <sheetName val="Central MACC data"/>
      <sheetName val="IAG2014_Table20"/>
      <sheetName val="Constants"/>
      <sheetName val="Historic surplus"/>
      <sheetName val="Unallocated Allowances"/>
      <sheetName val="Hedging"/>
      <sheetName val="Air pollutants"/>
      <sheetName val="3"/>
      <sheetName val="DECC Summary"/>
      <sheetName val="Baseline results"/>
      <sheetName val="Lists"/>
      <sheetName val="Sector_Model"/>
      <sheetName val="Central_MACC_data"/>
      <sheetName val="Air_pollutants"/>
      <sheetName val="Historic_surplus"/>
      <sheetName val="Unallocated_Allowances"/>
      <sheetName val="Biofuels"/>
      <sheetName val="DECC_Summary"/>
      <sheetName val="Baseline_results"/>
      <sheetName val="working- waterfalls"/>
      <sheetName val="CASHFLOW Gen Income"/>
      <sheetName val="Lookups (2)"/>
      <sheetName val="GHG &amp; C02 chart"/>
      <sheetName val="HPvsBoiler"/>
      <sheetName val="CHP"/>
      <sheetName val="4.6 ten year bonds"/>
      <sheetName val="Units"/>
      <sheetName val="Output"/>
      <sheetName val="Run_lst"/>
      <sheetName val="DetailedT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refreshError="1"/>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8.xml><?xml version="1.0" encoding="utf-8"?>
<externalLink xmlns:r="http://schemas.openxmlformats.org/officeDocument/2006/relationships" xmlns="http://schemas.openxmlformats.org/spreadsheetml/2006/main">
  <externalBook r:id="rId1">
    <sheetNames>
      <sheetName val="Figure 1.1"/>
      <sheetName val="Frameworks comparison 2.1 2.2"/>
      <sheetName val="Figures 3.1 3.2"/>
      <sheetName val="Table 3.1"/>
      <sheetName val="3.1 Inflation expectations"/>
      <sheetName val="3.2 Taylor rules"/>
      <sheetName val="3.3 UK Taylor rule"/>
      <sheetName val="Chart 3.4"/>
      <sheetName val="3.5 10 years ahead"/>
      <sheetName val="3.6 M3 growth"/>
      <sheetName val="Box D Red triangle"/>
      <sheetName val="Figure 4.1 UK fiscal fwork"/>
      <sheetName val="Table 4.1"/>
      <sheetName val="Box D table"/>
      <sheetName val="4.1 UK"/>
      <sheetName val="4.3.and 4.4"/>
      <sheetName val="4.5 deficit and interest rate"/>
      <sheetName val="4.6 ten year bonds"/>
      <sheetName val="5.1 share of gdp"/>
      <sheetName val="Sheet1"/>
      <sheetName val="Figure 6.1"/>
      <sheetName val="Table 6.1 Bank Supervisors"/>
      <sheetName val="Carbon Price Floor"/>
      <sheetName val="Baseline results"/>
      <sheetName val="DECC Summary"/>
      <sheetName val="Figure_1_1"/>
      <sheetName val="Frameworks_comparison_2_1_2_2"/>
      <sheetName val="Figures_3_1_3_2"/>
      <sheetName val="Table_3_1"/>
      <sheetName val="3_1_Inflation_expectations"/>
      <sheetName val="3_2_Taylor_rules"/>
      <sheetName val="3_3_UK_Taylor_rule"/>
      <sheetName val="Chart_3_4"/>
      <sheetName val="3_5_10_years_ahead"/>
      <sheetName val="3_6_M3_growth"/>
      <sheetName val="Box_D_Red_triangle"/>
      <sheetName val="Figure_4_1_UK_fiscal_fwork"/>
      <sheetName val="Table_4_1"/>
      <sheetName val="Box_D_table"/>
      <sheetName val="4_1_UK"/>
      <sheetName val="4_3_and_4_4"/>
      <sheetName val="4_5_deficit_and_interest_rate"/>
      <sheetName val="4_6_ten_year_bonds"/>
      <sheetName val="5_1_share_of_gdp"/>
      <sheetName val="Figure_6_1"/>
      <sheetName val="Table_6_1_Bank_Supervisors"/>
      <sheetName val="Figure_1_11"/>
      <sheetName val="Frameworks_comparison_2_1_2_21"/>
      <sheetName val="Figures_3_1_3_21"/>
      <sheetName val="Table_3_11"/>
      <sheetName val="3_1_Inflation_expectations1"/>
      <sheetName val="3_2_Taylor_rules1"/>
      <sheetName val="3_3_UK_Taylor_rule1"/>
      <sheetName val="Chart_3_41"/>
      <sheetName val="3_5_10_years_ahead1"/>
      <sheetName val="3_6_M3_growth1"/>
      <sheetName val="Box_D_Red_triangle1"/>
      <sheetName val="Figure_4_1_UK_fiscal_fwork1"/>
      <sheetName val="Table_4_11"/>
      <sheetName val="Box_D_table1"/>
      <sheetName val="4_1_UK1"/>
      <sheetName val="4_3_and_4_41"/>
      <sheetName val="4_5_deficit_and_interest_rate1"/>
      <sheetName val="4_6_ten_year_bonds1"/>
      <sheetName val="5_1_share_of_gdp1"/>
      <sheetName val="Figure_6_11"/>
      <sheetName val="Table_6_1_Bank_Supervisors1"/>
      <sheetName val="Figure_1_12"/>
      <sheetName val="Frameworks_comparison_2_1_2_22"/>
      <sheetName val="Figures_3_1_3_22"/>
      <sheetName val="Table_3_12"/>
      <sheetName val="3_1_Inflation_expectations2"/>
      <sheetName val="3_2_Taylor_rules2"/>
      <sheetName val="3_3_UK_Taylor_rule2"/>
      <sheetName val="Chart_3_42"/>
      <sheetName val="3_5_10_years_ahead2"/>
      <sheetName val="3_6_M3_growth2"/>
      <sheetName val="Box_D_Red_triangle2"/>
      <sheetName val="Figure_4_1_UK_fiscal_fwork2"/>
      <sheetName val="Table_4_12"/>
      <sheetName val="Box_D_table2"/>
      <sheetName val="4_1_UK2"/>
      <sheetName val="4_3_and_4_42"/>
      <sheetName val="4_5_deficit_and_interest_rate2"/>
      <sheetName val="4_6_ten_year_bonds2"/>
      <sheetName val="5_1_share_of_gdp2"/>
      <sheetName val="Figure_6_12"/>
      <sheetName val="Table_6_1_Bank_Supervisors2"/>
      <sheetName val="CASHFLOW Gen Income"/>
      <sheetName val="USGC"/>
      <sheetName val="Figure_1_13"/>
      <sheetName val="Frameworks_comparison_2_1_2_23"/>
      <sheetName val="Figures_3_1_3_23"/>
      <sheetName val="Table_3_13"/>
      <sheetName val="3_1_Inflation_expectations3"/>
      <sheetName val="3_2_Taylor_rules3"/>
      <sheetName val="3_3_UK_Taylor_rule3"/>
      <sheetName val="Chart_3_43"/>
      <sheetName val="3_5_10_years_ahead3"/>
      <sheetName val="3_6_M3_growth3"/>
      <sheetName val="Box_D_Red_triangle3"/>
      <sheetName val="Figure_4_1_UK_fiscal_fwork3"/>
      <sheetName val="Table_4_13"/>
      <sheetName val="Box_D_table3"/>
      <sheetName val="4_1_UK3"/>
      <sheetName val="4_3_and_4_43"/>
      <sheetName val="4_5_deficit_and_interest_rate3"/>
      <sheetName val="4_6_ten_year_bonds3"/>
      <sheetName val="5_1_share_of_gdp3"/>
      <sheetName val="Figure_6_13"/>
      <sheetName val="Table_6_1_Bank_Supervisors3"/>
      <sheetName val="Carbon_Price_Floor"/>
      <sheetName val="Baseline_results"/>
      <sheetName val="DECC_Summary"/>
      <sheetName val="Figure_1_14"/>
      <sheetName val="Frameworks_comparison_2_1_2_24"/>
      <sheetName val="Figures_3_1_3_24"/>
      <sheetName val="Table_3_14"/>
      <sheetName val="3_1_Inflation_expectations4"/>
      <sheetName val="3_2_Taylor_rules4"/>
      <sheetName val="3_3_UK_Taylor_rule4"/>
      <sheetName val="Chart_3_44"/>
      <sheetName val="3_5_10_years_ahead4"/>
      <sheetName val="3_6_M3_growth4"/>
      <sheetName val="Box_D_Red_triangle4"/>
      <sheetName val="Figure_4_1_UK_fiscal_fwork4"/>
      <sheetName val="Table_4_14"/>
      <sheetName val="Box_D_table4"/>
      <sheetName val="4_1_UK4"/>
      <sheetName val="4_3_and_4_44"/>
      <sheetName val="4_5_deficit_and_interest_rate4"/>
      <sheetName val="4_6_ten_year_bonds4"/>
      <sheetName val="5_1_share_of_gdp4"/>
      <sheetName val="Figure_6_14"/>
      <sheetName val="Table_6_1_Bank_Supervisors4"/>
      <sheetName val="Carbon_Price_Floor1"/>
      <sheetName val="Baseline_results1"/>
      <sheetName val="DECC_Summary1"/>
      <sheetName val="model inputs"/>
      <sheetName val="Figure_1_15"/>
      <sheetName val="Frameworks_comparison_2_1_2_25"/>
      <sheetName val="Figures_3_1_3_25"/>
      <sheetName val="Table_3_15"/>
      <sheetName val="3_1_Inflation_expectations5"/>
      <sheetName val="3_2_Taylor_rules5"/>
      <sheetName val="3_3_UK_Taylor_rule5"/>
      <sheetName val="Chart_3_45"/>
      <sheetName val="3_5_10_years_ahead5"/>
      <sheetName val="3_6_M3_growth5"/>
      <sheetName val="Box_D_Red_triangle5"/>
      <sheetName val="Figure_4_1_UK_fiscal_fwork5"/>
      <sheetName val="Table_4_15"/>
      <sheetName val="Box_D_table5"/>
      <sheetName val="4_1_UK5"/>
      <sheetName val="4_3_and_4_45"/>
      <sheetName val="4_5_deficit_and_interest_rate5"/>
      <sheetName val="4_6_ten_year_bonds5"/>
      <sheetName val="5_1_share_of_gdp5"/>
      <sheetName val="Figure_6_15"/>
      <sheetName val="Table_6_1_Bank_Supervisors5"/>
      <sheetName val="Carbon_Price_Floor2"/>
      <sheetName val="Baseline_results2"/>
      <sheetName val="DECC_Summary2"/>
      <sheetName val="CASHFLOW_Gen_Income"/>
      <sheetName val="model_inputs"/>
      <sheetName val="Figure_1_16"/>
      <sheetName val="Frameworks_comparison_2_1_2_26"/>
      <sheetName val="Figures_3_1_3_26"/>
      <sheetName val="Table_3_16"/>
      <sheetName val="3_1_Inflation_expectations6"/>
      <sheetName val="3_2_Taylor_rules6"/>
      <sheetName val="3_3_UK_Taylor_rule6"/>
      <sheetName val="Chart_3_46"/>
      <sheetName val="3_5_10_years_ahead6"/>
      <sheetName val="3_6_M3_growth6"/>
      <sheetName val="Box_D_Red_triangle6"/>
      <sheetName val="Figure_4_1_UK_fiscal_fwork6"/>
      <sheetName val="Table_4_16"/>
      <sheetName val="Box_D_table6"/>
      <sheetName val="4_1_UK6"/>
      <sheetName val="4_3_and_4_46"/>
      <sheetName val="4_5_deficit_and_interest_rate6"/>
      <sheetName val="4_6_ten_year_bonds6"/>
      <sheetName val="5_1_share_of_gdp6"/>
      <sheetName val="Figure_6_16"/>
      <sheetName val="Table_6_1_Bank_Supervisors6"/>
      <sheetName val="Carbon_Price_Floor3"/>
      <sheetName val="Baseline_results3"/>
      <sheetName val="DECC_Summary3"/>
      <sheetName val="CASHFLOW_Gen_Income1"/>
      <sheetName val="model_input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Set>
  </externalBook>
</externalLink>
</file>

<file path=xl/externalLinks/externalLink9.xml><?xml version="1.0" encoding="utf-8"?>
<externalLink xmlns:r="http://schemas.openxmlformats.org/officeDocument/2006/relationships" xmlns="http://schemas.openxmlformats.org/spreadsheetml/2006/main">
  <externalBook r:id="rId1">
    <sheetNames>
      <sheetName val="RESULT 09"/>
      <sheetName val="Charts"/>
      <sheetName val="Scenarios"/>
      <sheetName val="Projections"/>
      <sheetName val="Calculation"/>
      <sheetName val="Latest"/>
      <sheetName val="Latest check"/>
      <sheetName val="PSF"/>
      <sheetName val="Nom. Input"/>
      <sheetName val="Profiles"/>
      <sheetName val="Population"/>
      <sheetName val="Social sec &amp; TC"/>
      <sheetName val="Pub.sec.pensions"/>
      <sheetName val="Health"/>
      <sheetName val="Death"/>
      <sheetName val="Education"/>
      <sheetName val="TREND"/>
      <sheetName val="RESULT 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0.xml><?xml version="1.0" encoding="utf-8"?>
<externalLink xmlns:r="http://schemas.openxmlformats.org/officeDocument/2006/relationships" xmlns="http://schemas.openxmlformats.org/spreadsheetml/2006/main">
  <externalBook r:id="rId1">
    <sheetNames>
      <sheetName val="UK99"/>
      <sheetName val="PSF"/>
      <sheetName val="QsYs"/>
      <sheetName val="Dis master"/>
      <sheetName val="Ranges"/>
      <sheetName val="Dis_master1"/>
      <sheetName val="Population"/>
      <sheetName val="A2_Log"/>
      <sheetName val="headroom"/>
      <sheetName val="Price x Volume Calcs"/>
      <sheetName val="C_TOC Capex"/>
      <sheetName val="C_Working Cap"/>
      <sheetName val="C_Funding"/>
      <sheetName val="I_Calcs"/>
      <sheetName val="Financial Calcs"/>
      <sheetName val="Indices &amp; Rates"/>
      <sheetName val="D8_Lockup_calc"/>
      <sheetName val="A5_User Manual &amp; Ass"/>
      <sheetName val="Template Control"/>
      <sheetName val="B3 _Ass Yr-Yr"/>
      <sheetName val="Price &amp; Volume Tables"/>
      <sheetName val="CASHFLOW Gen Income"/>
      <sheetName val="Dis_master"/>
      <sheetName val="Price_x_Volume_Calcs"/>
      <sheetName val="C_TOC_Capex"/>
      <sheetName val="C_Working_Cap"/>
      <sheetName val="Financial_Calcs"/>
      <sheetName val="Indices_&amp;_Rates"/>
      <sheetName val="A5_User_Manual_&amp;_Ass"/>
      <sheetName val="Template_Control"/>
      <sheetName val="B3__Ass_Yr-Yr"/>
      <sheetName val="Price_&amp;_Volume_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Relationships xmlns="http://schemas.openxmlformats.org/package/2006/relationships"><Relationship Type="http://schemas.openxmlformats.org/officeDocument/2006/relationships/hyperlink" Target="https://www.gov.uk/government/statistics/gdp-deflators-at-market-prices-and-money-gdp-march-2022-spring-statement" TargetMode="External" Id="rId1" /></Relationships>
</file>

<file path=xl/worksheets/sheet1.xml><?xml version="1.0" encoding="utf-8"?>
<worksheet xmlns="http://schemas.openxmlformats.org/spreadsheetml/2006/main">
  <sheetPr codeName="Sheet1">
    <tabColor theme="5"/>
    <outlinePr summaryBelow="1" summaryRight="1"/>
    <pageSetUpPr/>
  </sheetPr>
  <dimension ref="A1:D26"/>
  <sheetViews>
    <sheetView showGridLines="0" zoomScale="80" zoomScaleNormal="80" workbookViewId="0">
      <selection activeCell="A1" sqref="A1"/>
    </sheetView>
  </sheetViews>
  <sheetFormatPr baseColWidth="8" defaultColWidth="9" defaultRowHeight="14.5"/>
  <cols>
    <col width="9" customWidth="1" style="1" min="1" max="1"/>
    <col width="27" customWidth="1" style="1" min="2" max="2"/>
    <col width="144.26953125" customWidth="1" style="1" min="3" max="3"/>
    <col width="41" customWidth="1" style="1" min="4" max="4"/>
    <col width="9" customWidth="1" style="1" min="5" max="16384"/>
  </cols>
  <sheetData>
    <row r="1" ht="21" customFormat="1" customHeight="1" s="3">
      <c r="A1" s="3" t="inlineStr">
        <is>
          <t>Description of variables</t>
        </is>
      </c>
    </row>
    <row r="3" ht="17" customHeight="1">
      <c r="B3" s="35" t="inlineStr">
        <is>
          <t>Unique ID</t>
        </is>
      </c>
      <c r="C3" s="35" t="inlineStr">
        <is>
          <t xml:space="preserve">Plain English description with key details </t>
        </is>
      </c>
    </row>
    <row r="4">
      <c r="B4" s="34" t="inlineStr">
        <is>
          <t>Load Factors</t>
        </is>
      </c>
      <c r="C4" s="34" t="inlineStr">
        <is>
          <t xml:space="preserve">The ratio of average annual output to its total potentil output if a plant was to operate at full capacity over its lifetime. </t>
        </is>
      </c>
    </row>
    <row r="5" ht="29" customHeight="1">
      <c r="B5" s="34" t="inlineStr">
        <is>
          <t>Pre development and construction phasing</t>
        </is>
      </c>
      <c r="C5" s="34" t="inlineStr">
        <is>
          <t>Pre-development and construction phasing of spend. For modelling purposes cost associated with pre-developmet and construction are phased annually, according to a typical expenditure profile and project timing assumptions.The phasing factor used for the analysis is reported on a % basis to the nearest interger.</t>
        </is>
      </c>
    </row>
    <row r="6" ht="43.5" customHeight="1">
      <c r="B6" s="34" t="inlineStr">
        <is>
          <t>Availability</t>
        </is>
      </c>
      <c r="C6" s="34" t="inlineStr">
        <is>
          <t>Availability. Defined as the maximum potential time that a generation plant is available to produce electricity annually. The availability factor is reported as a % value to two decimal places. The factor varies between different technologies, reflecting differences in how generation assets are operated and the downtime required for maintenance. For example, availability of a PV plant is 99% allowing for maintenance downtime, parts replacement, panel washing and hours of sunlight.</t>
        </is>
      </c>
    </row>
    <row r="7" ht="40.5" customHeight="1">
      <c r="B7" s="34" t="inlineStr">
        <is>
          <t>Net Power</t>
        </is>
      </c>
      <c r="C7" s="34" t="inlineStr">
        <is>
          <t>Net power represents the maximum available generation capacity taking into account parasitic load requirements. Capacity is reported as a MW figure to one decmal place.</t>
        </is>
      </c>
    </row>
    <row r="8">
      <c r="B8" s="34" t="inlineStr">
        <is>
          <t>Plant operating period</t>
        </is>
      </c>
      <c r="C8" s="34" t="inlineStr">
        <is>
          <t xml:space="preserve">Operation period. The expected time period over which a generation project can operate and produce electricity. It is reported to one decimal place (e.g. 25.0 years). </t>
        </is>
      </c>
    </row>
    <row r="9">
      <c r="B9" s="34" t="inlineStr">
        <is>
          <t>Capex learning</t>
        </is>
      </c>
      <c r="C9" s="34" t="inlineStr">
        <is>
          <t>How capital costs change over time into the future. This is based on the year construction starts.</t>
        </is>
      </c>
    </row>
    <row r="10" ht="58" customHeight="1">
      <c r="B10" s="34" t="inlineStr">
        <is>
          <t>Opex learning</t>
        </is>
      </c>
      <c r="C10" s="34" t="inlineStr">
        <is>
          <t xml:space="preserve">Opex cost adjustment. The cost of different technologies is expected to change over time. For each technology there is an opex cost forecast which takes into account stakeholder expectationsand literature. Using stakeholder and literature data there is a cost adjustment index that could be appplied to opex costs. The adjustment factor is reported on a % basis to two decimal places.
</t>
        </is>
      </c>
    </row>
    <row r="11" ht="29" customHeight="1">
      <c r="B11" s="34" t="inlineStr">
        <is>
          <t>Pre Development Period</t>
        </is>
      </c>
      <c r="C11" s="34" t="inlineStr">
        <is>
          <t xml:space="preserve">Pre-development period. The time period required by a generation projects to achieve technical design, planning permission and regulatory compliance. It is reported as a value to one decimal place (e.g. 1.5 years). </t>
        </is>
      </c>
    </row>
    <row r="12" ht="29" customHeight="1">
      <c r="B12" s="34" t="inlineStr">
        <is>
          <t>Construction Period</t>
        </is>
      </c>
      <c r="C12" s="34" t="inlineStr">
        <is>
          <t>Construction period. The time period required by a generation projects to bring it to operational readiness. It is reported as value to one decimal place (e.g. 2.0 years). The assumption includes delivery of a generator and associated infrastructure and grid connection.</t>
        </is>
      </c>
    </row>
    <row r="13" ht="58" customHeight="1">
      <c r="B13" s="34" t="inlineStr">
        <is>
          <t>Pre Development Cost</t>
        </is>
      </c>
      <c r="C13" s="34" t="inlineStr">
        <is>
          <t>Pre-development cost is assumed to comprise of two sets of cost which include two seperate line items within the LCM template:
1) pre-licencing, technical and design cost; and
2) regulatory, licensing and public enquiry cost..
It should be noted that due to uncertainty pre-development costs are assumed to remain constant. Please note that pre-development cost is reported on a £/kW basis.</t>
        </is>
      </c>
    </row>
    <row r="14" ht="43.5" customHeight="1">
      <c r="B14" s="34" t="inlineStr">
        <is>
          <t>Construction Cost</t>
        </is>
      </c>
      <c r="C14" s="34" t="inlineStr">
        <is>
          <t>Construction cost is assumed to include project design, procurement and EPC construction cost. In addition, other capital costs such as site works,
roads and utility connections (water, gas etc.) were captured here. Other generation equipment such as CHP, boiler and other equipment were also captured. It should be noted that capital cost excludes interest costs during construction and the cost of land. Please note that construction cost is reported on a £/kW installed basis.</t>
        </is>
      </c>
    </row>
    <row r="15" ht="43.5" customHeight="1">
      <c r="B15" s="34" t="inlineStr">
        <is>
          <t>Infrastructure Cost</t>
        </is>
      </c>
      <c r="C15" s="34" t="inlineStr">
        <is>
          <t xml:space="preserve">Infrastructure cost. Assumed to comprise grid connection cost (e.g. underground cable costs), local substation and substation cost. The boundary of cost is assumed to include the site where the generator is located, associated electrical infrastructure and connection to the nearest point on the electricity grid. Please note that infrastructure is reported as a total cost in £'000. </t>
        </is>
      </c>
    </row>
    <row r="16" ht="29" customHeight="1">
      <c r="B16" s="34" t="inlineStr">
        <is>
          <t>Fixed Opex</t>
        </is>
      </c>
      <c r="C16" s="34" t="inlineStr">
        <is>
          <t>Fixed O&amp;M cost. Assumed to represent the ongoing cost of keeping a generator ready for operation. It comprise of fixed elements of cost including labour, planned / unplanned maintenance, spares and consumables. It is reported on a £/MW basis to the nearest integer.</t>
        </is>
      </c>
    </row>
    <row r="17" ht="29" customHeight="1">
      <c r="B17" s="34" t="inlineStr">
        <is>
          <t xml:space="preserve">Variable O&amp;M
</t>
        </is>
      </c>
      <c r="C17" s="34" t="inlineStr">
        <is>
          <t>Variable O&amp;M cost. Is output related expenditure and calculated on a £/MWh basis. The cost is assumed to include output related expenditures such as disposal and treatement of waste.</t>
        </is>
      </c>
    </row>
    <row r="18">
      <c r="B18" s="34" t="inlineStr">
        <is>
          <t>Insurance Cost</t>
        </is>
      </c>
      <c r="C18" s="34" t="inlineStr">
        <is>
          <t>Insurance cost. Represents the ongoing annual cost of insuring a generation asset. It is reported on a £/MW/ basis to the nearest integer.</t>
        </is>
      </c>
    </row>
    <row r="19" ht="63.75" customHeight="1">
      <c r="B19" s="34" t="inlineStr">
        <is>
          <t>UoS</t>
        </is>
      </c>
      <c r="C19" s="34" t="inlineStr">
        <is>
          <t>Network Use of System (UoS) charges. These are the costs of connecting to and using the transmission network. The UoS cost includes TNUoS and DUoS costs only calculated as a £/kW/per annum. BSUoS cost is charged to a generator on a £/MWh basis. For the analysis BEIS has therefore included the BSUoS cost element with the variable operating cost. It should be noted the analysis does not take into account or estimate system wide costs.</t>
        </is>
      </c>
    </row>
    <row r="20" ht="29" customHeight="1">
      <c r="B20" s="34" t="inlineStr">
        <is>
          <t xml:space="preserve">Gate fees
</t>
        </is>
      </c>
      <c r="C20" s="34" t="inlineStr">
        <is>
          <t>Gate fees are the fees charged for disposal/treatment of waste, which is a revenue for EfW/ACT technologies.</t>
        </is>
      </c>
    </row>
    <row r="21" ht="29" customHeight="1">
      <c r="B21" s="34" t="inlineStr">
        <is>
          <t xml:space="preserve">Heat revenue
</t>
        </is>
      </c>
      <c r="C21" s="34" t="inlineStr">
        <is>
          <t>Heat revenues from selling heat to an offtaker are subtracted from LCOE calculations, relevant for CHP technologies.</t>
        </is>
      </c>
    </row>
    <row r="22">
      <c r="B22" s="34" t="inlineStr">
        <is>
          <t>Net efficiency</t>
        </is>
      </c>
      <c r="C22" s="34" t="inlineStr">
        <is>
          <t>Efficency (Low heating value) - used to calculate fuel required (MWh) for generation</t>
        </is>
      </c>
    </row>
    <row r="23" ht="29" customHeight="1">
      <c r="B23" s="34" t="inlineStr">
        <is>
          <t>Decommissioning costs</t>
        </is>
      </c>
      <c r="C23" s="34" t="inlineStr">
        <is>
          <t>Cost of decommissioning the project at end of life, plus any revenue from scrappage value. Typically modelled as a proportion of construction costs, with the exception of offshore wind.</t>
        </is>
      </c>
    </row>
    <row r="24" ht="43.5" customHeight="1">
      <c r="B24" s="34" t="inlineStr">
        <is>
          <t>RQM</t>
        </is>
      </c>
      <c r="C24" s="34" t="inlineStr">
        <is>
          <t>Renewable Qualifying Multiplier: In the Contracts for Difference scheme generators only receive CfD subsidy payments for the proportion of their output that relates to qualifying, low-carbon generation - known as the Renewables Qualifying Multiplier (RQM). For real-world payments, this is calculated based on monthly fuel data provided by the generator, but for CfD modelling purposes we assume a flat 50%.</t>
        </is>
      </c>
    </row>
    <row r="25">
      <c r="B25" s="34" t="inlineStr">
        <is>
          <t>Deflators</t>
        </is>
      </c>
      <c r="C25" s="34" t="inlineStr">
        <is>
          <t>A conversion factor used to convert GBP in e.g 2017 prices to 2014 prices (the model is based on 2014£)</t>
        </is>
      </c>
    </row>
    <row r="26">
      <c r="B26" s="34" t="inlineStr">
        <is>
          <t>Hurdle rates</t>
        </is>
      </c>
      <c r="C26" s="34" t="inlineStr">
        <is>
          <t xml:space="preserve">Minimum rate of return required for project. </t>
        </is>
      </c>
    </row>
  </sheetData>
  <pageMargins left="0.7" right="0.7" top="0.75" bottom="0.75" header="0.3" footer="0.3"/>
  <pageSetup orientation="portrait" paperSize="9" verticalDpi="0"/>
</worksheet>
</file>

<file path=xl/worksheets/sheet2.xml><?xml version="1.0" encoding="utf-8"?>
<worksheet xmlns="http://schemas.openxmlformats.org/spreadsheetml/2006/main">
  <sheetPr codeName="Sheet2">
    <outlinePr summaryBelow="1" summaryRight="1"/>
    <pageSetUpPr/>
  </sheetPr>
  <dimension ref="A1:BQ200"/>
  <sheetViews>
    <sheetView showGridLines="0" topLeftCell="A3" zoomScale="70" zoomScaleNormal="70" workbookViewId="0">
      <selection activeCell="B67" sqref="B67"/>
    </sheetView>
  </sheetViews>
  <sheetFormatPr baseColWidth="8" defaultRowHeight="14.5"/>
  <cols>
    <col width="2.7265625" customWidth="1" min="1" max="1"/>
    <col width="49.54296875" customWidth="1" min="2" max="2"/>
    <col width="81.7265625" customWidth="1" min="5" max="5"/>
    <col width="12.54296875" customWidth="1" min="6" max="6"/>
    <col width="4.81640625" customWidth="1" min="7" max="7"/>
    <col width="12" customWidth="1" min="8" max="8"/>
    <col width="11.81640625" customWidth="1" min="9" max="9"/>
    <col width="10.453125" customWidth="1" min="11" max="11"/>
    <col width="11.54296875" customWidth="1" min="12" max="12"/>
    <col width="12.453125" bestFit="1" customWidth="1" min="15" max="15"/>
  </cols>
  <sheetData>
    <row r="1" ht="20.25" customFormat="1" customHeight="1" s="3">
      <c r="A1" s="3" t="inlineStr">
        <is>
          <t>Example LCOE calculation - Offshore wind</t>
        </is>
      </c>
    </row>
    <row r="2" ht="15" customHeight="1" thickBot="1"/>
    <row r="3" ht="15" customHeight="1" thickBot="1">
      <c r="B3" t="inlineStr">
        <is>
          <t>Technology</t>
        </is>
      </c>
      <c r="D3" s="4" t="inlineStr">
        <is>
          <t>Offshore</t>
        </is>
      </c>
      <c r="F3" s="29" t="inlineStr">
        <is>
          <t>2021 prices</t>
        </is>
      </c>
    </row>
    <row r="4">
      <c r="B4" t="inlineStr">
        <is>
          <t>Low/Medium/High</t>
        </is>
      </c>
      <c r="D4" s="4" t="inlineStr">
        <is>
          <t>Medium</t>
        </is>
      </c>
    </row>
    <row r="5">
      <c r="B5" t="inlineStr">
        <is>
          <t xml:space="preserve">Project start </t>
        </is>
      </c>
      <c r="D5" s="4" t="n">
        <v>2018</v>
      </c>
      <c r="F5" s="4" t="n"/>
      <c r="G5" t="inlineStr">
        <is>
          <t>&lt;- represent input cells required</t>
        </is>
      </c>
    </row>
    <row r="6">
      <c r="B6" t="inlineStr">
        <is>
          <t>Construction start</t>
        </is>
      </c>
      <c r="D6" s="5" t="n">
        <v>2023</v>
      </c>
      <c r="F6" t="inlineStr">
        <is>
          <t>Note that values may not exactly align with those in the generation costs report and Annex A due to rounding of inputs.</t>
        </is>
      </c>
    </row>
    <row r="7">
      <c r="B7" t="inlineStr">
        <is>
          <t>Operation start</t>
        </is>
      </c>
      <c r="D7" s="6" t="n">
        <v>2025</v>
      </c>
      <c r="F7" s="38" t="n"/>
    </row>
    <row r="8">
      <c r="B8" t="inlineStr">
        <is>
          <t>Plant decommissioned</t>
        </is>
      </c>
      <c r="D8" s="5" t="n">
        <v>2055</v>
      </c>
    </row>
    <row r="9">
      <c r="B9" t="inlineStr">
        <is>
          <t>Heat revenue ends</t>
        </is>
      </c>
      <c r="D9" s="6" t="n"/>
    </row>
    <row r="11">
      <c r="B11" t="inlineStr">
        <is>
          <t>Net power output</t>
        </is>
      </c>
      <c r="C11" t="inlineStr">
        <is>
          <t>MW</t>
        </is>
      </c>
      <c r="D11" s="4" t="n">
        <v>1000</v>
      </c>
    </row>
    <row r="12">
      <c r="B12" t="inlineStr">
        <is>
          <t>Net efficiency (LHV)</t>
        </is>
      </c>
      <c r="C12" t="inlineStr">
        <is>
          <t>%</t>
        </is>
      </c>
      <c r="D12" s="51" t="n">
        <v>1</v>
      </c>
      <c r="E12" s="7" t="n"/>
      <c r="F12" s="7" t="n"/>
      <c r="G12" s="7" t="n"/>
    </row>
    <row r="13">
      <c r="B13" t="inlineStr">
        <is>
          <t>Hurdle rate</t>
        </is>
      </c>
      <c r="C13" t="inlineStr">
        <is>
          <t>%</t>
        </is>
      </c>
      <c r="D13" s="59" t="n">
        <v>0.063</v>
      </c>
    </row>
    <row r="14">
      <c r="B14" t="inlineStr">
        <is>
          <t>Hours per year</t>
        </is>
      </c>
      <c r="C14" t="inlineStr">
        <is>
          <t>hours</t>
        </is>
      </c>
      <c r="D14" s="4" t="n">
        <v>8760</v>
      </c>
    </row>
    <row r="15" ht="15" customHeight="1" thickBot="1"/>
    <row r="16" ht="15" customHeight="1" thickBot="1">
      <c r="B16" t="inlineStr">
        <is>
          <t>Total levelised cost excluding decommissioning</t>
        </is>
      </c>
      <c r="C16" t="inlineStr">
        <is>
          <t>£/MWh</t>
        </is>
      </c>
      <c r="D16" s="60">
        <f>F30+F39+F48+F58+F63+F69</f>
        <v/>
      </c>
    </row>
    <row r="19" ht="40.4" customFormat="1" customHeight="1" s="1">
      <c r="H19" s="1">
        <f>IF(H20=$D$5,$B$5,IF(H20=$D$6,$B$6,IF(H20=$D$7,$B$7,IF(H20=$D$8,$B$8,IF(H20=$D$9,$B$9,"")))))</f>
        <v/>
      </c>
      <c r="I19" s="1">
        <f>IF(I20=$D$5,$B$5,IF(I20=$D$6,$B$6,IF(I20=$D$7,$B$7,IF(I20=$D$8,$B$8,IF(I20=$D$9,$B$9,"")))))</f>
        <v/>
      </c>
      <c r="J19" s="1">
        <f>IF(J20=$D$5,$B$5,IF(J20=$D$6,$B$6,IF(J20=$D$7,$B$7,IF(J20=$D$8,$B$8,IF(J20=$D$9,$B$9,"")))))</f>
        <v/>
      </c>
      <c r="K19" s="1">
        <f>IF(K20=$D$5,$B$5,IF(K20=$D$6,$B$6,IF(K20=$D$7,$B$7,IF(K20=$D$8,$B$8,IF(K20=$D$9,$B$9,"")))))</f>
        <v/>
      </c>
      <c r="L19" s="1">
        <f>IF(L20=$D$5,$B$5,IF(L20=$D$6,$B$6,IF(L20=$D$7,$B$7,IF(L20=$D$8,$B$8,IF(L20=$D$9,$B$9,"")))))</f>
        <v/>
      </c>
      <c r="M19" s="1">
        <f>IF(M20=$D$5,$B$5,IF(M20=$D$6,$B$6,IF(M20=$D$7,$B$7,IF(M20=$D$8,$B$8,IF(M20=$D$9,$B$9,"")))))</f>
        <v/>
      </c>
      <c r="N19" s="1">
        <f>IF(N20=$D$5,$B$5,IF(N20=$D$6,$B$6,IF(N20=$D$7,$B$7,IF(N20=$D$8,$B$8,IF(N20=$D$9,$B$9,"")))))</f>
        <v/>
      </c>
      <c r="O19" s="1">
        <f>IF(O20=$D$5,$B$5,IF(O20=$D$6,$B$6,IF(O20=$D$7,$B$7,IF(O20=$D$8,$B$8,IF(O20=$D$9,$B$9,"")))))</f>
        <v/>
      </c>
      <c r="P19" s="1">
        <f>IF(P20=$D$5,$B$5,IF(P20=$D$6,$B$6,IF(P20=$D$7,$B$7,IF(P20=$D$8,$B$8,IF(P20=$D$9,$B$9,"")))))</f>
        <v/>
      </c>
      <c r="Q19" s="1">
        <f>IF(Q20=$D$5,$B$5,IF(Q20=$D$6,$B$6,IF(Q20=$D$7,$B$7,IF(Q20=$D$8,$B$8,IF(Q20=$D$9,$B$9,"")))))</f>
        <v/>
      </c>
      <c r="R19" s="1">
        <f>IF(R20=$D$5,$B$5,IF(R20=$D$6,$B$6,IF(R20=$D$7,$B$7,IF(R20=$D$8,$B$8,IF(R20=$D$9,$B$9,"")))))</f>
        <v/>
      </c>
      <c r="S19" s="1">
        <f>IF(S20=$D$5,$B$5,IF(S20=$D$6,$B$6,IF(S20=$D$7,$B$7,IF(S20=$D$8,$B$8,IF(S20=$D$9,$B$9,"")))))</f>
        <v/>
      </c>
      <c r="T19" s="1">
        <f>IF(T20=$D$5,$B$5,IF(T20=$D$6,$B$6,IF(T20=$D$7,$B$7,IF(T20=$D$8,$B$8,IF(T20=$D$9,$B$9,"")))))</f>
        <v/>
      </c>
      <c r="U19" s="1">
        <f>IF(U20=$D$5,$B$5,IF(U20=$D$6,$B$6,IF(U20=$D$7,$B$7,IF(U20=$D$8,$B$8,IF(U20=$D$9,$B$9,"")))))</f>
        <v/>
      </c>
      <c r="V19" s="1">
        <f>IF(V20=$D$5,$B$5,IF(V20=$D$6,$B$6,IF(V20=$D$7,$B$7,IF(V20=$D$8,$B$8,IF(V20=$D$9,$B$9,"")))))</f>
        <v/>
      </c>
      <c r="W19" s="1">
        <f>IF(W20=$D$5,$B$5,IF(W20=$D$6,$B$6,IF(W20=$D$7,$B$7,IF(W20=$D$8,$B$8,IF(W20=$D$9,$B$9,"")))))</f>
        <v/>
      </c>
      <c r="X19" s="1">
        <f>IF(X20=$D$5,$B$5,IF(X20=$D$6,$B$6,IF(X20=$D$7,$B$7,IF(X20=$D$8,$B$8,IF(X20=$D$9,$B$9,"")))))</f>
        <v/>
      </c>
      <c r="Y19" s="1">
        <f>IF(Y20=$D$5,$B$5,IF(Y20=$D$6,$B$6,IF(Y20=$D$7,$B$7,IF(Y20=$D$8,$B$8,IF(Y20=$D$9,$B$9,"")))))</f>
        <v/>
      </c>
      <c r="Z19" s="1">
        <f>IF(Z20=$D$5,$B$5,IF(Z20=$D$6,$B$6,IF(Z20=$D$7,$B$7,IF(Z20=$D$8,$B$8,IF(Z20=$D$9,$B$9,"")))))</f>
        <v/>
      </c>
      <c r="AA19" s="1">
        <f>IF(AA20=$D$5,$B$5,IF(AA20=$D$6,$B$6,IF(AA20=$D$7,$B$7,IF(AA20=$D$8,$B$8,IF(AA20=$D$9,$B$9,"")))))</f>
        <v/>
      </c>
      <c r="AB19" s="1">
        <f>IF(AB20=$D$5,$B$5,IF(AB20=$D$6,$B$6,IF(AB20=$D$7,$B$7,IF(AB20=$D$8,$B$8,IF(AB20=$D$9,$B$9,"")))))</f>
        <v/>
      </c>
      <c r="AC19" s="1">
        <f>IF(AC20=$D$5,$B$5,IF(AC20=$D$6,$B$6,IF(AC20=$D$7,$B$7,IF(AC20=$D$8,$B$8,IF(AC20=$D$9,$B$9,"")))))</f>
        <v/>
      </c>
      <c r="AD19" s="1">
        <f>IF(AD20=$D$5,$B$5,IF(AD20=$D$6,$B$6,IF(AD20=$D$7,$B$7,IF(AD20=$D$8,$B$8,IF(AD20=$D$9,$B$9,"")))))</f>
        <v/>
      </c>
      <c r="AE19" s="1">
        <f>IF(AE20=$D$5,$B$5,IF(AE20=$D$6,$B$6,IF(AE20=$D$7,$B$7,IF(AE20=$D$8,$B$8,IF(AE20=$D$9,$B$9,"")))))</f>
        <v/>
      </c>
      <c r="AF19" s="1">
        <f>IF(AF20=$D$5,$B$5,IF(AF20=$D$6,$B$6,IF(AF20=$D$7,$B$7,IF(AF20=$D$8,$B$8,IF(AF20=$D$9,$B$9,"")))))</f>
        <v/>
      </c>
      <c r="AG19" s="1">
        <f>IF(AG20=$D$5,$B$5,IF(AG20=$D$6,$B$6,IF(AG20=$D$7,$B$7,IF(AG20=$D$8,$B$8,IF(AG20=$D$9,$B$9,"")))))</f>
        <v/>
      </c>
      <c r="AH19" s="1">
        <f>IF(AH20=$D$5,$B$5,IF(AH20=$D$6,$B$6,IF(AH20=$D$7,$B$7,IF(AH20=$D$8,$B$8,IF(AH20=$D$9,$B$9,"")))))</f>
        <v/>
      </c>
      <c r="AI19" s="1">
        <f>IF(AI20=$D$5,$B$5,IF(AI20=$D$6,$B$6,IF(AI20=$D$7,$B$7,IF(AI20=$D$8,$B$8,IF(AI20=$D$9,$B$9,"")))))</f>
        <v/>
      </c>
      <c r="AJ19" s="1">
        <f>IF(AJ20=$D$5,$B$5,IF(AJ20=$D$6,$B$6,IF(AJ20=$D$7,$B$7,IF(AJ20=$D$8,$B$8,IF(AJ20=$D$9,$B$9,"")))))</f>
        <v/>
      </c>
      <c r="AK19" s="1">
        <f>IF(AK20=$D$5,$B$5,IF(AK20=$D$6,$B$6,IF(AK20=$D$7,$B$7,IF(AK20=$D$8,$B$8,IF(AK20=$D$9,$B$9,"")))))</f>
        <v/>
      </c>
      <c r="AL19" s="1">
        <f>IF(AL20=$D$5,$B$5,IF(AL20=$D$6,$B$6,IF(AL20=$D$7,$B$7,IF(AL20=$D$8,$B$8,IF(AL20=$D$9,$B$9,"")))))</f>
        <v/>
      </c>
      <c r="AM19" s="1">
        <f>IF(AM20=$D$5,$B$5,IF(AM20=$D$6,$B$6,IF(AM20=$D$7,$B$7,IF(AM20=$D$8,$B$8,IF(AM20=$D$9,$B$9,"")))))</f>
        <v/>
      </c>
      <c r="AN19" s="1">
        <f>IF(AN20=$D$5,$B$5,IF(AN20=$D$6,$B$6,IF(AN20=$D$7,$B$7,IF(AN20=$D$8,$B$8,IF(AN20=$D$9,$B$9,"")))))</f>
        <v/>
      </c>
      <c r="AO19" s="1">
        <f>IF(AO20=$D$5,$B$5,IF(AO20=$D$6,$B$6,IF(AO20=$D$7,$B$7,IF(AO20=$D$8,$B$8,IF(AO20=$D$9,$B$9,"")))))</f>
        <v/>
      </c>
      <c r="AP19" s="1">
        <f>IF(AP20=$D$5,$B$5,IF(AP20=$D$6,$B$6,IF(AP20=$D$7,$B$7,IF(AP20=$D$8,$B$8,IF(AP20=$D$9,$B$9,"")))))</f>
        <v/>
      </c>
      <c r="AQ19" s="1">
        <f>IF(AQ20=$D$5,$B$5,IF(AQ20=$D$6,$B$6,IF(AQ20=$D$7,$B$7,IF(AQ20=$D$8,$B$8,IF(AQ20=$D$9,$B$9,"")))))</f>
        <v/>
      </c>
      <c r="AR19" s="1">
        <f>IF(AR20=$D$5,$B$5,IF(AR20=$D$6,$B$6,IF(AR20=$D$7,$B$7,IF(AR20=$D$8,$B$8,IF(AR20=$D$9,$B$9,"")))))</f>
        <v/>
      </c>
      <c r="AS19" s="1">
        <f>IF(AS20=$D$5,$B$5,IF(AS20=$D$6,$B$6,IF(AS20=$D$7,$B$7,IF(AS20=$D$8,$B$8,IF(AS20=$D$9,$B$9,"")))))</f>
        <v/>
      </c>
      <c r="AT19" s="1">
        <f>IF(AT20=$D$5,$B$5,IF(AT20=$D$6,$B$6,IF(AT20=$D$7,$B$7,IF(AT20=$D$8,$B$8,IF(AT20=$D$9,$B$9,"")))))</f>
        <v/>
      </c>
      <c r="AU19" s="1">
        <f>IF(AU20=$D$5,$B$5,IF(AU20=$D$6,$B$6,IF(AU20=$D$7,$B$7,IF(AU20=$D$8,$B$8,IF(AU20=$D$9,$B$9,"")))))</f>
        <v/>
      </c>
      <c r="AV19" s="1">
        <f>IF(AV20=$D$5,$B$5,IF(AV20=$D$6,$B$6,IF(AV20=$D$7,$B$7,IF(AV20=$D$8,$B$8,IF(AV20=$D$9,$B$9,"")))))</f>
        <v/>
      </c>
      <c r="AW19" s="1">
        <f>IF(AW20=$D$5,$B$5,IF(AW20=$D$6,$B$6,IF(AW20=$D$7,$B$7,IF(AW20=$D$8,$B$8,IF(AW20=$D$9,$B$9,"")))))</f>
        <v/>
      </c>
      <c r="AX19" s="1">
        <f>IF(AX20=$D$5,$B$5,IF(AX20=$D$6,$B$6,IF(AX20=$D$7,$B$7,IF(AX20=$D$8,$B$8,IF(AX20=$D$9,$B$9,"")))))</f>
        <v/>
      </c>
      <c r="AY19" s="1">
        <f>IF(AY20=$D$5,$B$5,IF(AY20=$D$6,$B$6,IF(AY20=$D$7,$B$7,IF(AY20=$D$8,$B$8,IF(AY20=$D$9,$B$9,"")))))</f>
        <v/>
      </c>
      <c r="AZ19" s="1">
        <f>IF(AZ20=$D$5,$B$5,IF(AZ20=$D$6,$B$6,IF(AZ20=$D$7,$B$7,IF(AZ20=$D$8,$B$8,IF(AZ20=$D$9,$B$9,"")))))</f>
        <v/>
      </c>
      <c r="BA19" s="1">
        <f>IF(BA20=$D$5,$B$5,IF(BA20=$D$6,$B$6,IF(BA20=$D$7,$B$7,IF(BA20=$D$8,$B$8,IF(BA20=$D$9,$B$9,"")))))</f>
        <v/>
      </c>
      <c r="BB19" s="1">
        <f>IF(BB20=$D$5,$B$5,IF(BB20=$D$6,$B$6,IF(BB20=$D$7,$B$7,IF(BB20=$D$8,$B$8,IF(BB20=$D$9,$B$9,"")))))</f>
        <v/>
      </c>
      <c r="BC19" s="1">
        <f>IF(BC20=$D$5,$B$5,IF(BC20=$D$6,$B$6,IF(BC20=$D$7,$B$7,IF(BC20=$D$8,$B$8,IF(BC20=$D$9,$B$9,"")))))</f>
        <v/>
      </c>
      <c r="BD19" s="1">
        <f>IF(BD20=$D$5,$B$5,IF(BD20=$D$6,$B$6,IF(BD20=$D$7,$B$7,IF(BD20=$D$8,$B$8,IF(BD20=$D$9,$B$9,"")))))</f>
        <v/>
      </c>
      <c r="BE19" s="1">
        <f>IF(BE20=$D$5,$B$5,IF(BE20=$D$6,$B$6,IF(BE20=$D$7,$B$7,IF(BE20=$D$8,$B$8,IF(BE20=$D$9,$B$9,"")))))</f>
        <v/>
      </c>
      <c r="BF19" s="1">
        <f>IF(BF20=$D$5,$B$5,IF(BF20=$D$6,$B$6,IF(BF20=$D$7,$B$7,IF(BF20=$D$8,$B$8,IF(BF20=$D$9,$B$9,"")))))</f>
        <v/>
      </c>
      <c r="BG19" s="1">
        <f>IF(BG20=$D$5,$B$5,IF(BG20=$D$6,$B$6,IF(BG20=$D$7,$B$7,IF(BG20=$D$8,$B$8,IF(BG20=$D$9,$B$9,"")))))</f>
        <v/>
      </c>
      <c r="BH19" s="1">
        <f>IF(BH20=$D$5,$B$5,IF(BH20=$D$6,$B$6,IF(BH20=$D$7,$B$7,IF(BH20=$D$8,$B$8,IF(BH20=$D$9,$B$9,"")))))</f>
        <v/>
      </c>
      <c r="BI19" s="1">
        <f>IF(BI20=$D$5,$B$5,IF(BI20=$D$6,$B$6,IF(BI20=$D$7,$B$7,IF(BI20=$D$8,$B$8,IF(BI20=$D$9,$B$9,"")))))</f>
        <v/>
      </c>
      <c r="BJ19" s="1">
        <f>IF(BJ20=$D$5,$B$5,IF(BJ20=$D$6,$B$6,IF(BJ20=$D$7,$B$7,IF(BJ20=$D$8,$B$8,IF(BJ20=$D$9,$B$9,"")))))</f>
        <v/>
      </c>
      <c r="BK19" s="1">
        <f>IF(BK20=$D$5,$B$5,IF(BK20=$D$6,$B$6,IF(BK20=$D$7,$B$7,IF(BK20=$D$8,$B$8,IF(BK20=$D$9,$B$9,"")))))</f>
        <v/>
      </c>
      <c r="BL19" s="1">
        <f>IF(BL20=$D$5,$B$5,IF(BL20=$D$6,$B$6,IF(BL20=$D$7,$B$7,IF(BL20=$D$8,$B$8,IF(BL20=$D$9,$B$9,"")))))</f>
        <v/>
      </c>
      <c r="BM19" s="1">
        <f>IF(BM20=$D$5,$B$5,IF(BM20=$D$6,$B$6,IF(BM20=$D$7,$B$7,IF(BM20=$D$8,$B$8,IF(BM20=$D$9,$B$9,"")))))</f>
        <v/>
      </c>
      <c r="BN19" s="1">
        <f>IF(BN20=$D$5,$B$5,IF(BN20=$D$6,$B$6,IF(BN20=$D$7,$B$7,IF(BN20=$D$8,$B$8,IF(BN20=$D$9,$B$9,"")))))</f>
        <v/>
      </c>
      <c r="BO19" s="1">
        <f>IF(BO20=$D$5,$B$5,IF(BO20=$D$6,$B$6,IF(BO20=$D$7,$B$7,IF(BO20=$D$8,$B$8,IF(BO20=$D$9,$B$9,"")))))</f>
        <v/>
      </c>
      <c r="BP19" s="1">
        <f>IF(BP20=$D$5,$B$5,IF(BP20=$D$6,$B$6,IF(BP20=$D$7,$B$7,IF(BP20=$D$8,$B$8,IF(BP20=$D$9,$B$9,"")))))</f>
        <v/>
      </c>
      <c r="BQ19" s="1">
        <f>IF(BQ20=$D$5,$B$5,IF(BQ20=$D$6,$B$6,IF(BQ20=$D$7,$B$7,IF(BQ20=$D$8,$B$8,IF(BQ20=$D$9,$B$9,"")))))</f>
        <v/>
      </c>
    </row>
    <row r="20">
      <c r="H20" s="10">
        <f>D5</f>
        <v/>
      </c>
      <c r="I20" s="10">
        <f>H20+1</f>
        <v/>
      </c>
      <c r="J20" s="10">
        <f>I20+1</f>
        <v/>
      </c>
      <c r="K20" s="10">
        <f>J20+1</f>
        <v/>
      </c>
      <c r="L20" s="10">
        <f>K20+1</f>
        <v/>
      </c>
      <c r="M20" s="10">
        <f>L20+1</f>
        <v/>
      </c>
      <c r="N20" s="10">
        <f>M20+1</f>
        <v/>
      </c>
      <c r="O20" s="10">
        <f>N20+1</f>
        <v/>
      </c>
      <c r="P20" s="10">
        <f>O20+1</f>
        <v/>
      </c>
      <c r="Q20" s="10">
        <f>P20+1</f>
        <v/>
      </c>
      <c r="R20" s="10">
        <f>Q20+1</f>
        <v/>
      </c>
      <c r="S20" s="10">
        <f>R20+1</f>
        <v/>
      </c>
      <c r="T20" s="10">
        <f>S20+1</f>
        <v/>
      </c>
      <c r="U20" s="10">
        <f>T20+1</f>
        <v/>
      </c>
      <c r="V20" s="10">
        <f>U20+1</f>
        <v/>
      </c>
      <c r="W20" s="10">
        <f>V20+1</f>
        <v/>
      </c>
      <c r="X20" s="10">
        <f>W20+1</f>
        <v/>
      </c>
      <c r="Y20" s="10">
        <f>X20+1</f>
        <v/>
      </c>
      <c r="Z20" s="10">
        <f>Y20+1</f>
        <v/>
      </c>
      <c r="AA20" s="10">
        <f>Z20+1</f>
        <v/>
      </c>
      <c r="AB20" s="10">
        <f>AA20+1</f>
        <v/>
      </c>
      <c r="AC20" s="10">
        <f>AB20+1</f>
        <v/>
      </c>
      <c r="AD20" s="10">
        <f>AC20+1</f>
        <v/>
      </c>
      <c r="AE20" s="10">
        <f>AD20+1</f>
        <v/>
      </c>
      <c r="AF20" s="10">
        <f>AE20+1</f>
        <v/>
      </c>
      <c r="AG20" s="10">
        <f>AF20+1</f>
        <v/>
      </c>
      <c r="AH20" s="10">
        <f>AG20+1</f>
        <v/>
      </c>
      <c r="AI20" s="10">
        <f>AH20+1</f>
        <v/>
      </c>
      <c r="AJ20" s="10">
        <f>AI20+1</f>
        <v/>
      </c>
      <c r="AK20" s="10">
        <f>AJ20+1</f>
        <v/>
      </c>
      <c r="AL20" s="10">
        <f>AK20+1</f>
        <v/>
      </c>
      <c r="AM20" s="10">
        <f>AL20+1</f>
        <v/>
      </c>
      <c r="AN20" s="10">
        <f>AM20+1</f>
        <v/>
      </c>
      <c r="AO20" s="10">
        <f>AN20+1</f>
        <v/>
      </c>
      <c r="AP20" s="10">
        <f>AO20+1</f>
        <v/>
      </c>
      <c r="AQ20" s="10">
        <f>AP20+1</f>
        <v/>
      </c>
      <c r="AR20" s="10">
        <f>AQ20+1</f>
        <v/>
      </c>
      <c r="AS20" s="10">
        <f>AR20+1</f>
        <v/>
      </c>
      <c r="AT20" s="10">
        <f>AS20+1</f>
        <v/>
      </c>
      <c r="AU20" s="10">
        <f>AT20+1</f>
        <v/>
      </c>
      <c r="AV20" s="10">
        <f>AU20+1</f>
        <v/>
      </c>
      <c r="AW20" s="10">
        <f>AV20+1</f>
        <v/>
      </c>
      <c r="AX20" s="10">
        <f>AW20+1</f>
        <v/>
      </c>
      <c r="AY20" s="10">
        <f>AX20+1</f>
        <v/>
      </c>
      <c r="AZ20" s="10">
        <f>AY20+1</f>
        <v/>
      </c>
      <c r="BA20" s="10">
        <f>AZ20+1</f>
        <v/>
      </c>
      <c r="BB20" s="10">
        <f>BA20+1</f>
        <v/>
      </c>
      <c r="BC20" s="10">
        <f>BB20+1</f>
        <v/>
      </c>
      <c r="BD20" s="10">
        <f>BC20+1</f>
        <v/>
      </c>
      <c r="BE20" s="10">
        <f>BD20+1</f>
        <v/>
      </c>
      <c r="BF20" s="10">
        <f>BE20+1</f>
        <v/>
      </c>
      <c r="BG20" s="10">
        <f>BF20+1</f>
        <v/>
      </c>
      <c r="BH20" s="10">
        <f>BG20+1</f>
        <v/>
      </c>
      <c r="BI20" s="10">
        <f>BH20+1</f>
        <v/>
      </c>
      <c r="BJ20" s="10">
        <f>BI20+1</f>
        <v/>
      </c>
      <c r="BK20" s="10">
        <f>BJ20+1</f>
        <v/>
      </c>
      <c r="BL20" s="10">
        <f>BK20+1</f>
        <v/>
      </c>
      <c r="BM20" s="10">
        <f>BL20+1</f>
        <v/>
      </c>
      <c r="BN20" s="10">
        <f>BM20+1</f>
        <v/>
      </c>
      <c r="BO20" s="10">
        <f>BN20+1</f>
        <v/>
      </c>
      <c r="BP20" s="10">
        <f>BO20+1</f>
        <v/>
      </c>
      <c r="BQ20" s="10">
        <f>BP20+1</f>
        <v/>
      </c>
    </row>
    <row r="22">
      <c r="B22" t="inlineStr">
        <is>
          <t>Discounting</t>
        </is>
      </c>
      <c r="C22" t="inlineStr">
        <is>
          <t>%</t>
        </is>
      </c>
      <c r="H22" s="8" t="n">
        <v>1</v>
      </c>
      <c r="I22" s="9">
        <f>H22/(1+$D$13)</f>
        <v/>
      </c>
      <c r="J22" s="9">
        <f>I22/(1+$D$13)</f>
        <v/>
      </c>
      <c r="K22" s="9">
        <f>J22/(1+$D$13)</f>
        <v/>
      </c>
      <c r="L22" s="9">
        <f>K22/(1+$D$13)</f>
        <v/>
      </c>
      <c r="M22" s="9">
        <f>L22/(1+$D$13)</f>
        <v/>
      </c>
      <c r="N22" s="9">
        <f>M22/(1+$D$13)</f>
        <v/>
      </c>
      <c r="O22" s="9">
        <f>N22/(1+$D$13)</f>
        <v/>
      </c>
      <c r="P22" s="9">
        <f>O22/(1+$D$13)</f>
        <v/>
      </c>
      <c r="Q22" s="9">
        <f>P22/(1+$D$13)</f>
        <v/>
      </c>
      <c r="R22" s="9">
        <f>Q22/(1+$D$13)</f>
        <v/>
      </c>
      <c r="S22" s="9">
        <f>R22/(1+$D$13)</f>
        <v/>
      </c>
      <c r="T22" s="9">
        <f>S22/(1+$D$13)</f>
        <v/>
      </c>
      <c r="U22" s="9">
        <f>T22/(1+$D$13)</f>
        <v/>
      </c>
      <c r="V22" s="9">
        <f>U22/(1+$D$13)</f>
        <v/>
      </c>
      <c r="W22" s="9">
        <f>V22/(1+$D$13)</f>
        <v/>
      </c>
      <c r="X22" s="9">
        <f>W22/(1+$D$13)</f>
        <v/>
      </c>
      <c r="Y22" s="9">
        <f>X22/(1+$D$13)</f>
        <v/>
      </c>
      <c r="Z22" s="9">
        <f>Y22/(1+$D$13)</f>
        <v/>
      </c>
      <c r="AA22" s="9">
        <f>Z22/(1+$D$13)</f>
        <v/>
      </c>
      <c r="AB22" s="9">
        <f>AA22/(1+$D$13)</f>
        <v/>
      </c>
      <c r="AC22" s="9">
        <f>AB22/(1+$D$13)</f>
        <v/>
      </c>
      <c r="AD22" s="9">
        <f>AC22/(1+$D$13)</f>
        <v/>
      </c>
      <c r="AE22" s="9">
        <f>AD22/(1+$D$13)</f>
        <v/>
      </c>
      <c r="AF22" s="9">
        <f>AE22/(1+$D$13)</f>
        <v/>
      </c>
      <c r="AG22" s="9">
        <f>AF22/(1+$D$13)</f>
        <v/>
      </c>
      <c r="AH22" s="9">
        <f>AG22/(1+$D$13)</f>
        <v/>
      </c>
      <c r="AI22" s="9">
        <f>AH22/(1+$D$13)</f>
        <v/>
      </c>
      <c r="AJ22" s="9">
        <f>AI22/(1+$D$13)</f>
        <v/>
      </c>
      <c r="AK22" s="9">
        <f>AJ22/(1+$D$13)</f>
        <v/>
      </c>
      <c r="AL22" s="9">
        <f>AK22/(1+$D$13)</f>
        <v/>
      </c>
      <c r="AM22" s="9">
        <f>AL22/(1+$D$13)</f>
        <v/>
      </c>
      <c r="AN22" s="9">
        <f>AM22/(1+$D$13)</f>
        <v/>
      </c>
      <c r="AO22" s="9">
        <f>AN22/(1+$D$13)</f>
        <v/>
      </c>
      <c r="AP22" s="9">
        <f>AO22/(1+$D$13)</f>
        <v/>
      </c>
      <c r="AQ22" s="9">
        <f>AP22/(1+$D$13)</f>
        <v/>
      </c>
      <c r="AR22" s="9">
        <f>AQ22/(1+$D$13)</f>
        <v/>
      </c>
      <c r="AS22" s="9">
        <f>AR22/(1+$D$13)</f>
        <v/>
      </c>
      <c r="AT22" s="9">
        <f>AS22/(1+$D$13)</f>
        <v/>
      </c>
      <c r="AU22" s="9">
        <f>AT22/(1+$D$13)</f>
        <v/>
      </c>
      <c r="AV22" s="9">
        <f>AU22/(1+$D$13)</f>
        <v/>
      </c>
      <c r="AW22" s="9">
        <f>AV22/(1+$D$13)</f>
        <v/>
      </c>
      <c r="AX22" s="9">
        <f>AW22/(1+$D$13)</f>
        <v/>
      </c>
      <c r="AY22" s="9">
        <f>AX22/(1+$D$13)</f>
        <v/>
      </c>
      <c r="AZ22" s="9">
        <f>AY22/(1+$D$13)</f>
        <v/>
      </c>
      <c r="BA22" s="9">
        <f>AZ22/(1+$D$13)</f>
        <v/>
      </c>
      <c r="BB22" s="9">
        <f>BA22/(1+$D$13)</f>
        <v/>
      </c>
      <c r="BC22" s="9">
        <f>BB22/(1+$D$13)</f>
        <v/>
      </c>
      <c r="BD22" s="9">
        <f>BC22/(1+$D$13)</f>
        <v/>
      </c>
      <c r="BE22" s="9">
        <f>BD22/(1+$D$13)</f>
        <v/>
      </c>
      <c r="BF22" s="9">
        <f>BE22/(1+$D$13)</f>
        <v/>
      </c>
      <c r="BG22" s="9">
        <f>BF22/(1+$D$13)</f>
        <v/>
      </c>
      <c r="BH22" s="9">
        <f>BG22/(1+$D$13)</f>
        <v/>
      </c>
      <c r="BI22" s="9">
        <f>BH22/(1+$D$13)</f>
        <v/>
      </c>
      <c r="BJ22" s="9">
        <f>BI22/(1+$D$13)</f>
        <v/>
      </c>
      <c r="BK22" s="9">
        <f>BJ22/(1+$D$13)</f>
        <v/>
      </c>
      <c r="BL22" s="9">
        <f>BK22/(1+$D$13)</f>
        <v/>
      </c>
      <c r="BM22" s="9">
        <f>BL22/(1+$D$13)</f>
        <v/>
      </c>
      <c r="BN22" s="9">
        <f>BM22/(1+$D$13)</f>
        <v/>
      </c>
      <c r="BO22" s="9">
        <f>BN22/(1+$D$13)</f>
        <v/>
      </c>
      <c r="BP22" s="9">
        <f>BO22/(1+$D$13)</f>
        <v/>
      </c>
      <c r="BQ22" s="9">
        <f>BP22/(1+$D$13)</f>
        <v/>
      </c>
    </row>
    <row r="24" ht="15" customHeight="1" thickBot="1">
      <c r="B24" s="11" t="inlineStr">
        <is>
          <t>Plant Output</t>
        </is>
      </c>
      <c r="C24" s="11" t="n"/>
      <c r="D24" s="11" t="n"/>
      <c r="E24" s="11" t="n"/>
      <c r="F24" s="11" t="inlineStr">
        <is>
          <t>Total</t>
        </is>
      </c>
    </row>
    <row r="25">
      <c r="B25" t="inlineStr">
        <is>
          <t>Gross load factor</t>
        </is>
      </c>
      <c r="C25" t="inlineStr">
        <is>
          <t>%</t>
        </is>
      </c>
      <c r="E25" t="inlineStr">
        <is>
          <t>First value in load factor trajectory relates to 1st year of operation</t>
        </is>
      </c>
      <c r="O25" s="8" t="n">
        <v>0.64</v>
      </c>
      <c r="P25" s="8" t="n">
        <v>0.64</v>
      </c>
      <c r="Q25" s="8" t="n">
        <v>0.64</v>
      </c>
      <c r="R25" s="8" t="n">
        <v>0.64</v>
      </c>
      <c r="S25" s="8" t="n">
        <v>0.64</v>
      </c>
      <c r="T25" s="8" t="n">
        <v>0.64</v>
      </c>
      <c r="U25" s="8" t="n">
        <v>0.64</v>
      </c>
      <c r="V25" s="8" t="n">
        <v>0.64</v>
      </c>
      <c r="W25" s="8" t="n">
        <v>0.64</v>
      </c>
      <c r="X25" s="8" t="n">
        <v>0.64</v>
      </c>
      <c r="Y25" s="8" t="n">
        <v>0.64</v>
      </c>
      <c r="Z25" s="8" t="n">
        <v>0.64</v>
      </c>
      <c r="AA25" s="8" t="n">
        <v>0.64</v>
      </c>
      <c r="AB25" s="8" t="n">
        <v>0.64</v>
      </c>
      <c r="AC25" s="8" t="n">
        <v>0.64</v>
      </c>
      <c r="AD25" s="8" t="n">
        <v>0.64</v>
      </c>
      <c r="AE25" s="8" t="n">
        <v>0.64</v>
      </c>
      <c r="AF25" s="8" t="n">
        <v>0.64</v>
      </c>
      <c r="AG25" s="8" t="n">
        <v>0.64</v>
      </c>
      <c r="AH25" s="8" t="n">
        <v>0.64</v>
      </c>
      <c r="AI25" s="8" t="n">
        <v>0.64</v>
      </c>
      <c r="AJ25" s="8" t="n">
        <v>0.64</v>
      </c>
      <c r="AK25" s="8" t="n">
        <v>0.64</v>
      </c>
      <c r="AL25" s="8" t="n">
        <v>0.64</v>
      </c>
      <c r="AM25" s="8" t="n">
        <v>0.64</v>
      </c>
      <c r="AN25" s="8" t="n">
        <v>0.64</v>
      </c>
      <c r="AO25" s="8" t="n">
        <v>0.64</v>
      </c>
      <c r="AP25" s="8" t="n">
        <v>0.64</v>
      </c>
      <c r="AQ25" s="8" t="n">
        <v>0.64</v>
      </c>
      <c r="AR25" s="8" t="n">
        <v>0.64</v>
      </c>
    </row>
    <row r="26">
      <c r="B26" t="inlineStr">
        <is>
          <t>Availability</t>
        </is>
      </c>
      <c r="C26" t="inlineStr">
        <is>
          <t>%</t>
        </is>
      </c>
      <c r="E26" t="inlineStr">
        <is>
          <t>First value in availability trajectory relates to 1st year of operation</t>
        </is>
      </c>
      <c r="O26" s="8" t="n">
        <v>0.95</v>
      </c>
      <c r="P26" s="8" t="n">
        <v>0.95</v>
      </c>
      <c r="Q26" s="8" t="n">
        <v>0.95</v>
      </c>
      <c r="R26" s="8" t="n">
        <v>0.95</v>
      </c>
      <c r="S26" s="8" t="n">
        <v>0.95</v>
      </c>
      <c r="T26" s="8" t="n">
        <v>0.95</v>
      </c>
      <c r="U26" s="8" t="n">
        <v>0.95</v>
      </c>
      <c r="V26" s="8" t="n">
        <v>0.95</v>
      </c>
      <c r="W26" s="8" t="n">
        <v>0.95</v>
      </c>
      <c r="X26" s="8" t="n">
        <v>0.95</v>
      </c>
      <c r="Y26" s="8" t="n">
        <v>0.95</v>
      </c>
      <c r="Z26" s="8" t="n">
        <v>0.95</v>
      </c>
      <c r="AA26" s="8" t="n">
        <v>0.95</v>
      </c>
      <c r="AB26" s="8" t="n">
        <v>0.95</v>
      </c>
      <c r="AC26" s="8" t="n">
        <v>0.95</v>
      </c>
      <c r="AD26" s="8" t="n">
        <v>0.95</v>
      </c>
      <c r="AE26" s="8" t="n">
        <v>0.95</v>
      </c>
      <c r="AF26" s="8" t="n">
        <v>0.95</v>
      </c>
      <c r="AG26" s="8" t="n">
        <v>0.95</v>
      </c>
      <c r="AH26" s="8" t="n">
        <v>0.95</v>
      </c>
      <c r="AI26" s="8" t="n">
        <v>0.95</v>
      </c>
      <c r="AJ26" s="8" t="n">
        <v>0.95</v>
      </c>
      <c r="AK26" s="8" t="n">
        <v>0.95</v>
      </c>
      <c r="AL26" s="8" t="n">
        <v>0.95</v>
      </c>
      <c r="AM26" s="8" t="n">
        <v>0.95</v>
      </c>
      <c r="AN26" s="8" t="n">
        <v>0.95</v>
      </c>
      <c r="AO26" s="8" t="n">
        <v>0.95</v>
      </c>
      <c r="AP26" s="8" t="n">
        <v>0.95</v>
      </c>
      <c r="AQ26" s="8" t="n">
        <v>0.95</v>
      </c>
      <c r="AR26" s="8" t="n">
        <v>0.95</v>
      </c>
    </row>
    <row r="27" ht="15" customHeight="1" thickBot="1">
      <c r="B27" t="inlineStr">
        <is>
          <t>Generation</t>
        </is>
      </c>
      <c r="C27" t="inlineStr">
        <is>
          <t>MWh</t>
        </is>
      </c>
      <c r="E27" t="inlineStr">
        <is>
          <t>Net power output x Gross load factor x Availability x Hours per year</t>
        </is>
      </c>
      <c r="O27" s="13">
        <f>$D$11+O25*O26*$D$14</f>
        <v/>
      </c>
      <c r="P27" s="13">
        <f>$D$11*P25*P26*$D$14</f>
        <v/>
      </c>
      <c r="Q27" s="13">
        <f>$D$11*Q25*Q26*$D$14</f>
        <v/>
      </c>
      <c r="R27" s="13">
        <f>$D$11*R25*R26*$D$14</f>
        <v/>
      </c>
      <c r="S27" s="13">
        <f>$D$11*S25*S26*$D$14</f>
        <v/>
      </c>
      <c r="T27" s="13">
        <f>$D$11*T25*T26*$D$14</f>
        <v/>
      </c>
      <c r="U27" s="13">
        <f>$D$11*U25*U26*$D$14</f>
        <v/>
      </c>
      <c r="V27" s="13">
        <f>$D$11*V25*V26*$D$14</f>
        <v/>
      </c>
      <c r="W27" s="13">
        <f>$D$11*W25*W26*$D$14</f>
        <v/>
      </c>
      <c r="X27" s="13">
        <f>$D$11*X25*X26*$D$14</f>
        <v/>
      </c>
      <c r="Y27" s="13">
        <f>$D$11*Y25*Y26*$D$14</f>
        <v/>
      </c>
      <c r="Z27" s="13">
        <f>$D$11*Z25*Z26*$D$14</f>
        <v/>
      </c>
      <c r="AA27" s="13">
        <f>$D$11*AA25*AA26*$D$14</f>
        <v/>
      </c>
      <c r="AB27" s="13">
        <f>$D$11*AB25*AB26*$D$14</f>
        <v/>
      </c>
      <c r="AC27" s="13">
        <f>$D$11*AC25*AC26*$D$14</f>
        <v/>
      </c>
      <c r="AD27" s="13">
        <f>$D$11*AD25*AD26*$D$14</f>
        <v/>
      </c>
      <c r="AE27" s="13">
        <f>$D$11*AE25*AE26*$D$14</f>
        <v/>
      </c>
      <c r="AF27" s="13">
        <f>$D$11*AF25*AF26*$D$14</f>
        <v/>
      </c>
      <c r="AG27" s="13">
        <f>$D$11*AG25*AG26*$D$14</f>
        <v/>
      </c>
      <c r="AH27" s="13">
        <f>$D$11*AH25*AH26*$D$14</f>
        <v/>
      </c>
      <c r="AI27" s="13">
        <f>$D$11*AI25*AI26*$D$14</f>
        <v/>
      </c>
      <c r="AJ27" s="13">
        <f>$D$11*AJ25*AJ26*$D$14</f>
        <v/>
      </c>
      <c r="AK27" s="13">
        <f>$D$11*AK25*AK26*$D$14</f>
        <v/>
      </c>
      <c r="AL27" s="13">
        <f>$D$11*AL25*AL26*$D$14</f>
        <v/>
      </c>
      <c r="AM27" s="13">
        <f>$D$11*AM25*AM26*$D$14</f>
        <v/>
      </c>
      <c r="AN27" s="13">
        <f>$D$11*AN25*AN26*$D$14</f>
        <v/>
      </c>
      <c r="AO27" s="13">
        <f>$D$11*AO25*AO26*$D$14</f>
        <v/>
      </c>
      <c r="AP27" s="13">
        <f>$D$11*AP25*AP26*$D$14</f>
        <v/>
      </c>
      <c r="AQ27" s="13">
        <f>$D$11*AQ25*AQ26*$D$14</f>
        <v/>
      </c>
      <c r="AR27" s="13">
        <f>$D$11*AR25*AR26*$D$14</f>
        <v/>
      </c>
    </row>
    <row r="28" ht="15" customHeight="1" thickBot="1">
      <c r="B28" t="inlineStr">
        <is>
          <t>Discounted generation</t>
        </is>
      </c>
      <c r="C28" t="inlineStr">
        <is>
          <t>MWh</t>
        </is>
      </c>
      <c r="E28" t="inlineStr">
        <is>
          <t>Generation x Discounting factor</t>
        </is>
      </c>
      <c r="F28" s="33">
        <f>SUM(H28:BQ28)</f>
        <v/>
      </c>
      <c r="O28" s="14">
        <f>O27*O22</f>
        <v/>
      </c>
      <c r="P28" s="14">
        <f>P27*P22</f>
        <v/>
      </c>
      <c r="Q28" s="14">
        <f>Q27*Q22</f>
        <v/>
      </c>
      <c r="R28" s="14">
        <f>R27*R22</f>
        <v/>
      </c>
      <c r="S28" s="14">
        <f>S27*S22</f>
        <v/>
      </c>
      <c r="T28" s="14">
        <f>T27*T22</f>
        <v/>
      </c>
      <c r="U28" s="14">
        <f>U27*U22</f>
        <v/>
      </c>
      <c r="V28" s="14">
        <f>V27*V22</f>
        <v/>
      </c>
      <c r="W28" s="14">
        <f>W27*W22</f>
        <v/>
      </c>
      <c r="X28" s="14">
        <f>X27*X22</f>
        <v/>
      </c>
      <c r="Y28" s="14">
        <f>Y27*Y22</f>
        <v/>
      </c>
      <c r="Z28" s="14">
        <f>Z27*Z22</f>
        <v/>
      </c>
      <c r="AA28" s="14">
        <f>AA27*AA22</f>
        <v/>
      </c>
      <c r="AB28" s="14">
        <f>AB27*AB22</f>
        <v/>
      </c>
      <c r="AC28" s="14">
        <f>AC27*AC22</f>
        <v/>
      </c>
      <c r="AD28" s="14">
        <f>AD27*AD22</f>
        <v/>
      </c>
      <c r="AE28" s="14">
        <f>AE27*AE22</f>
        <v/>
      </c>
      <c r="AF28" s="14">
        <f>AF27*AF22</f>
        <v/>
      </c>
      <c r="AG28" s="14">
        <f>AG27*AG22</f>
        <v/>
      </c>
      <c r="AH28" s="14">
        <f>AH27*AH22</f>
        <v/>
      </c>
      <c r="AI28" s="14">
        <f>AI27*AI22</f>
        <v/>
      </c>
      <c r="AJ28" s="14">
        <f>AJ27*AJ22</f>
        <v/>
      </c>
      <c r="AK28" s="14">
        <f>AK27*AK22</f>
        <v/>
      </c>
      <c r="AL28" s="14">
        <f>AL27*AL22</f>
        <v/>
      </c>
      <c r="AM28" s="14">
        <f>AM27*AM22</f>
        <v/>
      </c>
      <c r="AN28" s="14">
        <f>AN27*AN22</f>
        <v/>
      </c>
      <c r="AO28" s="14">
        <f>AO27*AO22</f>
        <v/>
      </c>
      <c r="AP28" s="14">
        <f>AP27*AP22</f>
        <v/>
      </c>
      <c r="AQ28" s="14">
        <f>AQ27*AQ22</f>
        <v/>
      </c>
      <c r="AR28" s="14">
        <f>AR27*AR22</f>
        <v/>
      </c>
    </row>
    <row r="29" ht="15" customHeight="1" thickBot="1"/>
    <row r="30" ht="15" customHeight="1" thickBot="1">
      <c r="B30" s="11" t="inlineStr">
        <is>
          <t>Pre-development</t>
        </is>
      </c>
      <c r="C30" s="11" t="n"/>
      <c r="D30" s="11" t="n"/>
      <c r="E30" s="11" t="n"/>
      <c r="F30" s="61">
        <f>F37*10^6/F28</f>
        <v/>
      </c>
    </row>
    <row r="31">
      <c r="B31" t="inlineStr">
        <is>
          <t>Phasing profile</t>
        </is>
      </c>
      <c r="C31" t="inlineStr">
        <is>
          <t>%</t>
        </is>
      </c>
      <c r="E31" t="inlineStr">
        <is>
          <t>First value in phasing profile relates to 1st year of pre-development</t>
        </is>
      </c>
      <c r="H31" s="8" t="n">
        <v>0.2</v>
      </c>
      <c r="I31" s="8" t="n">
        <v>0.2</v>
      </c>
      <c r="J31" s="8" t="n">
        <v>0.2</v>
      </c>
      <c r="K31" s="8" t="n">
        <v>0.2</v>
      </c>
      <c r="L31" s="8" t="n">
        <v>0.2</v>
      </c>
    </row>
    <row r="32">
      <c r="B32" t="inlineStr">
        <is>
          <t>Pre-licensing costs, technical and design</t>
        </is>
      </c>
      <c r="C32" t="inlineStr">
        <is>
          <t>£/kW</t>
        </is>
      </c>
      <c r="F32" s="52" t="n">
        <v>90</v>
      </c>
    </row>
    <row r="33">
      <c r="C33" t="inlineStr">
        <is>
          <t>£m</t>
        </is>
      </c>
      <c r="E33" t="inlineStr">
        <is>
          <t>£/kW x Net power output (MW) x 1000 / 1000000 x phasing profile</t>
        </is>
      </c>
      <c r="F33" s="19">
        <f>F32*D11*1000*10^-6</f>
        <v/>
      </c>
      <c r="H33" s="62">
        <f>$F$33*H31</f>
        <v/>
      </c>
      <c r="I33" s="62">
        <f>$F$33*I31</f>
        <v/>
      </c>
      <c r="J33" s="62">
        <f>$F$33*J31</f>
        <v/>
      </c>
      <c r="K33" s="62">
        <f>$F$33*K31</f>
        <v/>
      </c>
      <c r="L33" s="62">
        <f>$F$33*L31</f>
        <v/>
      </c>
    </row>
    <row r="34">
      <c r="B34" t="inlineStr">
        <is>
          <t>Regulatory + licensing + public enquiry</t>
        </is>
      </c>
      <c r="C34" t="inlineStr">
        <is>
          <t>£/kW</t>
        </is>
      </c>
      <c r="F34" s="63" t="n">
        <v>40</v>
      </c>
      <c r="H34" s="64" t="n"/>
      <c r="I34" s="64" t="n"/>
      <c r="J34" s="64" t="n"/>
      <c r="K34" s="64" t="n"/>
    </row>
    <row r="35">
      <c r="C35" t="inlineStr">
        <is>
          <t>£m</t>
        </is>
      </c>
      <c r="E35" t="inlineStr">
        <is>
          <t>£/kW x Net power output (MW) x 1000 / 1000000 x phasing profile</t>
        </is>
      </c>
      <c r="F35" s="19">
        <f>F34*D11*1000*10^-6</f>
        <v/>
      </c>
      <c r="H35" s="62">
        <f>$F$35*H31</f>
        <v/>
      </c>
      <c r="I35" s="62">
        <f>$F$35*I31</f>
        <v/>
      </c>
      <c r="J35" s="62">
        <f>$F$35*J31</f>
        <v/>
      </c>
      <c r="K35" s="62">
        <f>$F$35*K31</f>
        <v/>
      </c>
      <c r="L35" s="62">
        <f>$F$35*L31</f>
        <v/>
      </c>
    </row>
    <row r="36">
      <c r="B36" t="inlineStr">
        <is>
          <t>Total pre-development costs</t>
        </is>
      </c>
      <c r="C36" t="inlineStr">
        <is>
          <t>£m</t>
        </is>
      </c>
      <c r="E36" t="inlineStr">
        <is>
          <t>Sum of pre-licensing + Regulatory</t>
        </is>
      </c>
      <c r="H36" s="65">
        <f>H33+H35</f>
        <v/>
      </c>
      <c r="I36" s="65">
        <f>I33+I35</f>
        <v/>
      </c>
      <c r="J36" s="65">
        <f>J33+J35</f>
        <v/>
      </c>
      <c r="K36" s="65">
        <f>K33+K35</f>
        <v/>
      </c>
      <c r="L36" s="65">
        <f>L33+L35</f>
        <v/>
      </c>
    </row>
    <row r="37">
      <c r="B37" t="inlineStr">
        <is>
          <t>Discounted pre-development costs</t>
        </is>
      </c>
      <c r="C37" t="inlineStr">
        <is>
          <t>£m</t>
        </is>
      </c>
      <c r="E37" t="inlineStr">
        <is>
          <t>Pre-development costs x Discounting factor</t>
        </is>
      </c>
      <c r="F37" s="66">
        <f>SUM(H37:BQ37)</f>
        <v/>
      </c>
      <c r="H37" s="66">
        <f>H36*H22</f>
        <v/>
      </c>
      <c r="I37" s="66">
        <f>I36*I22</f>
        <v/>
      </c>
      <c r="J37" s="66">
        <f>J36*J22</f>
        <v/>
      </c>
      <c r="K37" s="66">
        <f>K36*K22</f>
        <v/>
      </c>
      <c r="L37" s="66">
        <f>L36*L22</f>
        <v/>
      </c>
    </row>
    <row r="38" ht="15" customHeight="1" thickBot="1"/>
    <row r="39" ht="15" customHeight="1" thickBot="1">
      <c r="B39" s="11" t="inlineStr">
        <is>
          <t>Construction costs</t>
        </is>
      </c>
      <c r="C39" s="11" t="n"/>
      <c r="D39" s="11" t="n"/>
      <c r="E39" s="11" t="n"/>
      <c r="F39" s="61">
        <f>F46*10^6/F28</f>
        <v/>
      </c>
    </row>
    <row r="40">
      <c r="B40" t="inlineStr">
        <is>
          <t>Construction phasing profile</t>
        </is>
      </c>
      <c r="C40" t="inlineStr">
        <is>
          <t>%</t>
        </is>
      </c>
      <c r="E40" t="inlineStr">
        <is>
          <t>First year in phasing profile relates to 1st year of construction</t>
        </is>
      </c>
      <c r="M40" s="8" t="n">
        <v>0.5</v>
      </c>
      <c r="N40" s="8" t="n">
        <v>0.5</v>
      </c>
    </row>
    <row r="41">
      <c r="B41" s="7" t="inlineStr">
        <is>
          <t>Capital cost</t>
        </is>
      </c>
      <c r="C41" t="inlineStr">
        <is>
          <t>£/kW</t>
        </is>
      </c>
      <c r="F41" s="67" t="n">
        <v>1500</v>
      </c>
    </row>
    <row r="42">
      <c r="B42" t="inlineStr">
        <is>
          <t>Capital cost after accounting for cost adjustment</t>
        </is>
      </c>
      <c r="C42" t="inlineStr">
        <is>
          <t>£m</t>
        </is>
      </c>
      <c r="E42" t="inlineStr">
        <is>
          <t>£/kW x cost adjustment x Net power output (MW) x 1000 / 1000000 x phasing profile</t>
        </is>
      </c>
      <c r="F42" s="66">
        <f>F41*D11*1000*10^-6</f>
        <v/>
      </c>
      <c r="M42" s="66">
        <f>$F$42*M40</f>
        <v/>
      </c>
      <c r="N42" s="66">
        <f>$F$42*N40</f>
        <v/>
      </c>
    </row>
    <row r="43">
      <c r="B43" t="inlineStr">
        <is>
          <t>Infrastructure cost</t>
        </is>
      </c>
      <c r="C43" t="inlineStr">
        <is>
          <t>£'000s</t>
        </is>
      </c>
      <c r="F43" s="67" t="n">
        <v>64300</v>
      </c>
      <c r="G43" s="68" t="n"/>
    </row>
    <row r="44">
      <c r="C44" t="inlineStr">
        <is>
          <t>£m</t>
        </is>
      </c>
      <c r="E44" t="inlineStr">
        <is>
          <t>£'000s /1000 x phasing profile</t>
        </is>
      </c>
      <c r="F44" s="66">
        <f>F43/1000</f>
        <v/>
      </c>
      <c r="M44" s="65">
        <f>$F$44*M40</f>
        <v/>
      </c>
      <c r="N44" s="65">
        <f>$F$44*N40</f>
        <v/>
      </c>
    </row>
    <row r="45">
      <c r="B45" t="inlineStr">
        <is>
          <t>Totl construction costs</t>
        </is>
      </c>
      <c r="C45" t="inlineStr">
        <is>
          <t>£m</t>
        </is>
      </c>
      <c r="E45" t="inlineStr">
        <is>
          <t>Sum of capital costs + infrastructure costs</t>
        </is>
      </c>
      <c r="M45" s="66">
        <f>M42+M44</f>
        <v/>
      </c>
      <c r="N45" s="66">
        <f>N42+N44</f>
        <v/>
      </c>
    </row>
    <row r="46">
      <c r="B46" t="inlineStr">
        <is>
          <t>Discounted construction costs</t>
        </is>
      </c>
      <c r="C46" t="inlineStr">
        <is>
          <t>£m</t>
        </is>
      </c>
      <c r="E46" t="inlineStr">
        <is>
          <t>Construction costs  x Discounting factor</t>
        </is>
      </c>
      <c r="F46" s="65">
        <f>SUM(M46:O46)</f>
        <v/>
      </c>
      <c r="M46" s="65">
        <f>M45*M22</f>
        <v/>
      </c>
      <c r="N46" s="65">
        <f>N45*N22</f>
        <v/>
      </c>
    </row>
    <row r="47" ht="15" customHeight="1" thickBot="1"/>
    <row r="48" ht="15" customHeight="1" thickBot="1">
      <c r="B48" s="10" t="inlineStr">
        <is>
          <t>Fixed O&amp;M</t>
        </is>
      </c>
      <c r="C48" s="10" t="n"/>
      <c r="D48" s="10" t="n"/>
      <c r="E48" s="10" t="n"/>
      <c r="F48" s="61">
        <f>F56*10^6/F28</f>
        <v/>
      </c>
    </row>
    <row r="49">
      <c r="B49" t="inlineStr">
        <is>
          <t>Fixed O&amp;M</t>
        </is>
      </c>
      <c r="C49" t="inlineStr">
        <is>
          <t>£/MW</t>
        </is>
      </c>
      <c r="E49" t="inlineStr">
        <is>
          <t>First year in O&amp;M trajectory relates to 1st year of operation</t>
        </is>
      </c>
      <c r="O49" s="67" t="n">
        <v>43300</v>
      </c>
      <c r="P49" s="67" t="n">
        <v>43300</v>
      </c>
      <c r="Q49" s="67" t="n">
        <v>43300</v>
      </c>
      <c r="R49" s="67" t="n">
        <v>43300</v>
      </c>
      <c r="S49" s="67" t="n">
        <v>43300</v>
      </c>
      <c r="T49" s="67" t="n">
        <v>43300</v>
      </c>
      <c r="U49" s="67" t="n">
        <v>43300</v>
      </c>
      <c r="V49" s="67" t="n">
        <v>43300</v>
      </c>
      <c r="W49" s="67" t="n">
        <v>43300</v>
      </c>
      <c r="X49" s="67" t="n">
        <v>43300</v>
      </c>
      <c r="Y49" s="67" t="n">
        <v>43300</v>
      </c>
      <c r="Z49" s="67" t="n">
        <v>43300</v>
      </c>
      <c r="AA49" s="67" t="n">
        <v>43300</v>
      </c>
      <c r="AB49" s="67" t="n">
        <v>43300</v>
      </c>
      <c r="AC49" s="67" t="n">
        <v>43300</v>
      </c>
      <c r="AD49" s="67" t="n">
        <v>43300</v>
      </c>
      <c r="AE49" s="67" t="n">
        <v>43300</v>
      </c>
      <c r="AF49" s="67" t="n">
        <v>43300</v>
      </c>
      <c r="AG49" s="67" t="n">
        <v>43300</v>
      </c>
      <c r="AH49" s="67" t="n">
        <v>43300</v>
      </c>
      <c r="AI49" s="67" t="n">
        <v>43300</v>
      </c>
      <c r="AJ49" s="67" t="n">
        <v>43300</v>
      </c>
      <c r="AK49" s="67" t="n">
        <v>43300</v>
      </c>
      <c r="AL49" s="67" t="n">
        <v>43300</v>
      </c>
      <c r="AM49" s="67" t="n">
        <v>43300</v>
      </c>
      <c r="AN49" s="67" t="n">
        <v>43300</v>
      </c>
      <c r="AO49" s="67" t="n">
        <v>43300</v>
      </c>
      <c r="AP49" s="67" t="n">
        <v>43300</v>
      </c>
      <c r="AQ49" s="67" t="n">
        <v>43300</v>
      </c>
      <c r="AR49" s="67" t="n">
        <v>43300</v>
      </c>
    </row>
    <row r="50">
      <c r="C50" t="inlineStr">
        <is>
          <t>£m</t>
        </is>
      </c>
      <c r="E50" t="inlineStr">
        <is>
          <t>£/MW x Net power output (MW) /1000000</t>
        </is>
      </c>
      <c r="O50" s="66">
        <f>O49*$D$11*10^-6</f>
        <v/>
      </c>
      <c r="P50" s="66">
        <f>P49*$D$11*10^-6</f>
        <v/>
      </c>
      <c r="Q50" s="66">
        <f>Q49*$D$11*10^-6</f>
        <v/>
      </c>
      <c r="R50" s="66">
        <f>R49*$D$11*10^-6</f>
        <v/>
      </c>
      <c r="S50" s="66">
        <f>S49*$D$11*10^-6</f>
        <v/>
      </c>
      <c r="T50" s="66">
        <f>T49*$D$11*10^-6</f>
        <v/>
      </c>
      <c r="U50" s="66">
        <f>U49*$D$11*10^-6</f>
        <v/>
      </c>
      <c r="V50" s="66">
        <f>V49*$D$11*10^-6</f>
        <v/>
      </c>
      <c r="W50" s="66">
        <f>W49*$D$11*10^-6</f>
        <v/>
      </c>
      <c r="X50" s="66">
        <f>X49*$D$11*10^-6</f>
        <v/>
      </c>
      <c r="Y50" s="66">
        <f>Y49*$D$11*10^-6</f>
        <v/>
      </c>
      <c r="Z50" s="66">
        <f>Z49*$D$11*10^-6</f>
        <v/>
      </c>
      <c r="AA50" s="66">
        <f>AA49*$D$11*10^-6</f>
        <v/>
      </c>
      <c r="AB50" s="66">
        <f>AB49*$D$11*10^-6</f>
        <v/>
      </c>
      <c r="AC50" s="66">
        <f>AC49*$D$11*10^-6</f>
        <v/>
      </c>
      <c r="AD50" s="66">
        <f>AD49*$D$11*10^-6</f>
        <v/>
      </c>
      <c r="AE50" s="66">
        <f>AE49*$D$11*10^-6</f>
        <v/>
      </c>
      <c r="AF50" s="66">
        <f>AF49*$D$11*10^-6</f>
        <v/>
      </c>
      <c r="AG50" s="66">
        <f>AG49*$D$11*10^-6</f>
        <v/>
      </c>
      <c r="AH50" s="66">
        <f>AH49*$D$11*10^-6</f>
        <v/>
      </c>
      <c r="AI50" s="66">
        <f>AI49*$D$11*10^-6</f>
        <v/>
      </c>
      <c r="AJ50" s="66">
        <f>AJ49*$D$11*10^-6</f>
        <v/>
      </c>
      <c r="AK50" s="66">
        <f>AK49*$D$11*10^-6</f>
        <v/>
      </c>
      <c r="AL50" s="66">
        <f>AL49*$D$11*10^-6</f>
        <v/>
      </c>
      <c r="AM50" s="66">
        <f>AM49*$D$11*10^-6</f>
        <v/>
      </c>
      <c r="AN50" s="66">
        <f>AN49*$D$11*10^-6</f>
        <v/>
      </c>
      <c r="AO50" s="66">
        <f>AO49*$D$11*10^-6</f>
        <v/>
      </c>
      <c r="AP50" s="66">
        <f>AP49*$D$11*10^-6</f>
        <v/>
      </c>
      <c r="AQ50" s="66">
        <f>AQ49*$D$11*10^-6</f>
        <v/>
      </c>
      <c r="AR50" s="66">
        <f>AR49*$D$11*10^-6</f>
        <v/>
      </c>
    </row>
    <row r="51">
      <c r="B51" t="inlineStr">
        <is>
          <t>Insurance</t>
        </is>
      </c>
      <c r="C51" t="inlineStr">
        <is>
          <t>£/MW</t>
        </is>
      </c>
      <c r="O51" s="67" t="n">
        <v>3000</v>
      </c>
      <c r="P51" s="67" t="n">
        <v>3000</v>
      </c>
      <c r="Q51" s="67" t="n">
        <v>3000</v>
      </c>
      <c r="R51" s="67" t="n">
        <v>3000</v>
      </c>
      <c r="S51" s="67" t="n">
        <v>3000</v>
      </c>
      <c r="T51" s="67" t="n">
        <v>3000</v>
      </c>
      <c r="U51" s="67" t="n">
        <v>3000</v>
      </c>
      <c r="V51" s="67" t="n">
        <v>3000</v>
      </c>
      <c r="W51" s="67" t="n">
        <v>3000</v>
      </c>
      <c r="X51" s="67" t="n">
        <v>3000</v>
      </c>
      <c r="Y51" s="67" t="n">
        <v>3000</v>
      </c>
      <c r="Z51" s="67" t="n">
        <v>3000</v>
      </c>
      <c r="AA51" s="67" t="n">
        <v>3000</v>
      </c>
      <c r="AB51" s="67" t="n">
        <v>3000</v>
      </c>
      <c r="AC51" s="67" t="n">
        <v>3000</v>
      </c>
      <c r="AD51" s="67" t="n">
        <v>3000</v>
      </c>
      <c r="AE51" s="67" t="n">
        <v>3000</v>
      </c>
      <c r="AF51" s="67" t="n">
        <v>3000</v>
      </c>
      <c r="AG51" s="67" t="n">
        <v>3000</v>
      </c>
      <c r="AH51" s="67" t="n">
        <v>3000</v>
      </c>
      <c r="AI51" s="67" t="n">
        <v>3000</v>
      </c>
      <c r="AJ51" s="67" t="n">
        <v>3000</v>
      </c>
      <c r="AK51" s="67" t="n">
        <v>3000</v>
      </c>
      <c r="AL51" s="67" t="n">
        <v>3000</v>
      </c>
      <c r="AM51" s="67" t="n">
        <v>3000</v>
      </c>
      <c r="AN51" s="67" t="n">
        <v>3000</v>
      </c>
      <c r="AO51" s="67" t="n">
        <v>3000</v>
      </c>
      <c r="AP51" s="67" t="n">
        <v>3000</v>
      </c>
      <c r="AQ51" s="67" t="n">
        <v>3000</v>
      </c>
      <c r="AR51" s="67" t="n">
        <v>3000</v>
      </c>
    </row>
    <row r="52">
      <c r="C52" t="inlineStr">
        <is>
          <t>£m</t>
        </is>
      </c>
      <c r="E52" t="inlineStr">
        <is>
          <t>£/MW x Net power output (MW) /1000000</t>
        </is>
      </c>
      <c r="O52" s="66">
        <f>O51*$D$11*10^-6</f>
        <v/>
      </c>
      <c r="P52" s="66">
        <f>P51*$D$11*10^-6</f>
        <v/>
      </c>
      <c r="Q52" s="66">
        <f>Q51*$D$11*10^-6</f>
        <v/>
      </c>
      <c r="R52" s="66">
        <f>R51*$D$11*10^-6</f>
        <v/>
      </c>
      <c r="S52" s="66">
        <f>S51*$D$11*10^-6</f>
        <v/>
      </c>
      <c r="T52" s="66">
        <f>T51*$D$11*10^-6</f>
        <v/>
      </c>
      <c r="U52" s="66">
        <f>U51*$D$11*10^-6</f>
        <v/>
      </c>
      <c r="V52" s="66">
        <f>V51*$D$11*10^-6</f>
        <v/>
      </c>
      <c r="W52" s="66">
        <f>W51*$D$11*10^-6</f>
        <v/>
      </c>
      <c r="X52" s="66">
        <f>X51*$D$11*10^-6</f>
        <v/>
      </c>
      <c r="Y52" s="66">
        <f>Y51*$D$11*10^-6</f>
        <v/>
      </c>
      <c r="Z52" s="66">
        <f>Z51*$D$11*10^-6</f>
        <v/>
      </c>
      <c r="AA52" s="66">
        <f>AA51*$D$11*10^-6</f>
        <v/>
      </c>
      <c r="AB52" s="66">
        <f>AB51*$D$11*10^-6</f>
        <v/>
      </c>
      <c r="AC52" s="66">
        <f>AC51*$D$11*10^-6</f>
        <v/>
      </c>
      <c r="AD52" s="66">
        <f>AD51*$D$11*10^-6</f>
        <v/>
      </c>
      <c r="AE52" s="66">
        <f>AE51*$D$11*10^-6</f>
        <v/>
      </c>
      <c r="AF52" s="66">
        <f>AF51*$D$11*10^-6</f>
        <v/>
      </c>
      <c r="AG52" s="66">
        <f>AG51*$D$11*10^-6</f>
        <v/>
      </c>
      <c r="AH52" s="66">
        <f>AH51*$D$11*10^-6</f>
        <v/>
      </c>
      <c r="AI52" s="66">
        <f>AI51*$D$11*10^-6</f>
        <v/>
      </c>
      <c r="AJ52" s="66">
        <f>AJ51*$D$11*10^-6</f>
        <v/>
      </c>
      <c r="AK52" s="66">
        <f>AK51*$D$11*10^-6</f>
        <v/>
      </c>
      <c r="AL52" s="66">
        <f>AL51*$D$11*10^-6</f>
        <v/>
      </c>
      <c r="AM52" s="66">
        <f>AM51*$D$11*10^-6</f>
        <v/>
      </c>
      <c r="AN52" s="66">
        <f>AN51*$D$11*10^-6</f>
        <v/>
      </c>
      <c r="AO52" s="66">
        <f>AO51*$D$11*10^-6</f>
        <v/>
      </c>
      <c r="AP52" s="66">
        <f>AP51*$D$11*10^-6</f>
        <v/>
      </c>
      <c r="AQ52" s="66">
        <f>AQ51*$D$11*10^-6</f>
        <v/>
      </c>
      <c r="AR52" s="66">
        <f>AR51*$D$11*10^-6</f>
        <v/>
      </c>
    </row>
    <row r="53">
      <c r="B53" t="inlineStr">
        <is>
          <t>Connection and UoS charge</t>
        </is>
      </c>
      <c r="C53" t="inlineStr">
        <is>
          <t>£/MW</t>
        </is>
      </c>
      <c r="O53" s="67" t="n">
        <v>44800</v>
      </c>
      <c r="P53" s="67" t="n">
        <v>44800</v>
      </c>
      <c r="Q53" s="67" t="n">
        <v>44800</v>
      </c>
      <c r="R53" s="67" t="n">
        <v>44800</v>
      </c>
      <c r="S53" s="67" t="n">
        <v>44800</v>
      </c>
      <c r="T53" s="67" t="n">
        <v>44800</v>
      </c>
      <c r="U53" s="67" t="n">
        <v>44800</v>
      </c>
      <c r="V53" s="67" t="n">
        <v>44800</v>
      </c>
      <c r="W53" s="67" t="n">
        <v>44800</v>
      </c>
      <c r="X53" s="67" t="n">
        <v>44800</v>
      </c>
      <c r="Y53" s="67" t="n">
        <v>44800</v>
      </c>
      <c r="Z53" s="67" t="n">
        <v>44800</v>
      </c>
      <c r="AA53" s="67" t="n">
        <v>44800</v>
      </c>
      <c r="AB53" s="67" t="n">
        <v>44800</v>
      </c>
      <c r="AC53" s="67" t="n">
        <v>44800</v>
      </c>
      <c r="AD53" s="67" t="n">
        <v>44800</v>
      </c>
      <c r="AE53" s="67" t="n">
        <v>44800</v>
      </c>
      <c r="AF53" s="67" t="n">
        <v>44800</v>
      </c>
      <c r="AG53" s="67" t="n">
        <v>44800</v>
      </c>
      <c r="AH53" s="67" t="n">
        <v>44800</v>
      </c>
      <c r="AI53" s="67" t="n">
        <v>44800</v>
      </c>
      <c r="AJ53" s="67" t="n">
        <v>44800</v>
      </c>
      <c r="AK53" s="67" t="n">
        <v>44800</v>
      </c>
      <c r="AL53" s="67" t="n">
        <v>44800</v>
      </c>
      <c r="AM53" s="67" t="n">
        <v>44800</v>
      </c>
      <c r="AN53" s="67" t="n">
        <v>44800</v>
      </c>
      <c r="AO53" s="67" t="n">
        <v>44800</v>
      </c>
      <c r="AP53" s="67" t="n">
        <v>44800</v>
      </c>
      <c r="AQ53" s="67" t="n">
        <v>44800</v>
      </c>
      <c r="AR53" s="67" t="n">
        <v>44800</v>
      </c>
    </row>
    <row r="54">
      <c r="C54" t="inlineStr">
        <is>
          <t>£m</t>
        </is>
      </c>
      <c r="E54" t="inlineStr">
        <is>
          <t>£/MW x Net power output (MW) /1000000</t>
        </is>
      </c>
      <c r="O54" s="66">
        <f>O53*$D$11*10^-6</f>
        <v/>
      </c>
      <c r="P54" s="66">
        <f>P53*$D$11*10^-6</f>
        <v/>
      </c>
      <c r="Q54" s="66">
        <f>Q53*$D$11*10^-6</f>
        <v/>
      </c>
      <c r="R54" s="66">
        <f>R53*$D$11*10^-6</f>
        <v/>
      </c>
      <c r="S54" s="66">
        <f>S53*$D$11*10^-6</f>
        <v/>
      </c>
      <c r="T54" s="66">
        <f>T53*$D$11*10^-6</f>
        <v/>
      </c>
      <c r="U54" s="66">
        <f>U53*$D$11*10^-6</f>
        <v/>
      </c>
      <c r="V54" s="66">
        <f>V53*$D$11*10^-6</f>
        <v/>
      </c>
      <c r="W54" s="66">
        <f>W53*$D$11*10^-6</f>
        <v/>
      </c>
      <c r="X54" s="66">
        <f>X53*$D$11*10^-6</f>
        <v/>
      </c>
      <c r="Y54" s="66">
        <f>Y53*$D$11*10^-6</f>
        <v/>
      </c>
      <c r="Z54" s="66">
        <f>Z53*$D$11*10^-6</f>
        <v/>
      </c>
      <c r="AA54" s="66">
        <f>AA53*$D$11*10^-6</f>
        <v/>
      </c>
      <c r="AB54" s="66">
        <f>AB53*$D$11*10^-6</f>
        <v/>
      </c>
      <c r="AC54" s="66">
        <f>AC53*$D$11*10^-6</f>
        <v/>
      </c>
      <c r="AD54" s="66">
        <f>AD53*$D$11*10^-6</f>
        <v/>
      </c>
      <c r="AE54" s="66">
        <f>AE53*$D$11*10^-6</f>
        <v/>
      </c>
      <c r="AF54" s="66">
        <f>AF53*$D$11*10^-6</f>
        <v/>
      </c>
      <c r="AG54" s="66">
        <f>AG53*$D$11*10^-6</f>
        <v/>
      </c>
      <c r="AH54" s="66">
        <f>AH53*$D$11*10^-6</f>
        <v/>
      </c>
      <c r="AI54" s="66">
        <f>AI53*$D$11*10^-6</f>
        <v/>
      </c>
      <c r="AJ54" s="66">
        <f>AJ53*$D$11*10^-6</f>
        <v/>
      </c>
      <c r="AK54" s="66">
        <f>AK53*$D$11*10^-6</f>
        <v/>
      </c>
      <c r="AL54" s="66">
        <f>AL53*$D$11*10^-6</f>
        <v/>
      </c>
      <c r="AM54" s="66">
        <f>AM53*$D$11*10^-6</f>
        <v/>
      </c>
      <c r="AN54" s="66">
        <f>AN53*$D$11*10^-6</f>
        <v/>
      </c>
      <c r="AO54" s="66">
        <f>AO53*$D$11*10^-6</f>
        <v/>
      </c>
      <c r="AP54" s="66">
        <f>AP53*$D$11*10^-6</f>
        <v/>
      </c>
      <c r="AQ54" s="66">
        <f>AQ53*$D$11*10^-6</f>
        <v/>
      </c>
      <c r="AR54" s="66">
        <f>AR53*$D$11*10^-6</f>
        <v/>
      </c>
    </row>
    <row r="55">
      <c r="B55" t="inlineStr">
        <is>
          <t>Total fixed O&amp;M</t>
        </is>
      </c>
      <c r="C55" t="inlineStr">
        <is>
          <t>£m</t>
        </is>
      </c>
      <c r="E55" t="inlineStr">
        <is>
          <t>Fixed O&amp;M + Insurance + Connection and UoS charge</t>
        </is>
      </c>
      <c r="O55" s="65">
        <f>O50+O52+O54</f>
        <v/>
      </c>
      <c r="P55" s="65">
        <f>P50+P52+P54</f>
        <v/>
      </c>
      <c r="Q55" s="65">
        <f>Q50+Q52+Q54</f>
        <v/>
      </c>
      <c r="R55" s="65">
        <f>R50+R52+R54</f>
        <v/>
      </c>
      <c r="S55" s="65">
        <f>S50+S52+S54</f>
        <v/>
      </c>
      <c r="T55" s="65">
        <f>T50+T52+T54</f>
        <v/>
      </c>
      <c r="U55" s="65">
        <f>U50+U52+U54</f>
        <v/>
      </c>
      <c r="V55" s="65">
        <f>V50+V52+V54</f>
        <v/>
      </c>
      <c r="W55" s="65">
        <f>W50+W52+W54</f>
        <v/>
      </c>
      <c r="X55" s="65">
        <f>X50+X52+X54</f>
        <v/>
      </c>
      <c r="Y55" s="65">
        <f>Y50+Y52+Y54</f>
        <v/>
      </c>
      <c r="Z55" s="65">
        <f>Z50+Z52+Z54</f>
        <v/>
      </c>
      <c r="AA55" s="65">
        <f>AA50+AA52+AA54</f>
        <v/>
      </c>
      <c r="AB55" s="65">
        <f>AB50+AB52+AB54</f>
        <v/>
      </c>
      <c r="AC55" s="65">
        <f>AC50+AC52+AC54</f>
        <v/>
      </c>
      <c r="AD55" s="65">
        <f>AD50+AD52+AD54</f>
        <v/>
      </c>
      <c r="AE55" s="65">
        <f>AE50+AE52+AE54</f>
        <v/>
      </c>
      <c r="AF55" s="65">
        <f>AF50+AF52+AF54</f>
        <v/>
      </c>
      <c r="AG55" s="65">
        <f>AG50+AG52+AG54</f>
        <v/>
      </c>
      <c r="AH55" s="65">
        <f>AH50+AH52+AH54</f>
        <v/>
      </c>
      <c r="AI55" s="65">
        <f>AI50+AI52+AI54</f>
        <v/>
      </c>
      <c r="AJ55" s="65">
        <f>AJ50+AJ52+AJ54</f>
        <v/>
      </c>
      <c r="AK55" s="65">
        <f>AK50+AK52+AK54</f>
        <v/>
      </c>
      <c r="AL55" s="65">
        <f>AL50+AL52+AL54</f>
        <v/>
      </c>
      <c r="AM55" s="65">
        <f>AM50+AM52+AM54</f>
        <v/>
      </c>
      <c r="AN55" s="65">
        <f>AN50+AN52+AN54</f>
        <v/>
      </c>
      <c r="AO55" s="65">
        <f>AO50+AO52+AO54</f>
        <v/>
      </c>
      <c r="AP55" s="65">
        <f>AP50+AP52+AP54</f>
        <v/>
      </c>
      <c r="AQ55" s="65">
        <f>AQ50+AQ52+AQ54</f>
        <v/>
      </c>
      <c r="AR55" s="65">
        <f>AR50+AR52+AR54</f>
        <v/>
      </c>
    </row>
    <row r="56">
      <c r="B56" t="inlineStr">
        <is>
          <t>Discounted Total Fixed O&amp;M</t>
        </is>
      </c>
      <c r="C56" t="inlineStr">
        <is>
          <t>£m</t>
        </is>
      </c>
      <c r="E56" t="inlineStr">
        <is>
          <t>Total Fixed O&amp;M x Discounting factor</t>
        </is>
      </c>
      <c r="F56" s="65">
        <f>SUM(O56:AW56)</f>
        <v/>
      </c>
      <c r="O56" s="66">
        <f>O55*O22</f>
        <v/>
      </c>
      <c r="P56" s="66">
        <f>P55*P22</f>
        <v/>
      </c>
      <c r="Q56" s="66">
        <f>Q55*Q22</f>
        <v/>
      </c>
      <c r="R56" s="66">
        <f>R55*R22</f>
        <v/>
      </c>
      <c r="S56" s="66">
        <f>S55*S22</f>
        <v/>
      </c>
      <c r="T56" s="66">
        <f>T55*T22</f>
        <v/>
      </c>
      <c r="U56" s="66">
        <f>U55*U22</f>
        <v/>
      </c>
      <c r="V56" s="66">
        <f>V55*V22</f>
        <v/>
      </c>
      <c r="W56" s="66">
        <f>W55*W22</f>
        <v/>
      </c>
      <c r="X56" s="66">
        <f>X55*X22</f>
        <v/>
      </c>
      <c r="Y56" s="66">
        <f>Y55*Y22</f>
        <v/>
      </c>
      <c r="Z56" s="66">
        <f>Z55*Z22</f>
        <v/>
      </c>
      <c r="AA56" s="66">
        <f>AA55*AA22</f>
        <v/>
      </c>
      <c r="AB56" s="66">
        <f>AB55*AB22</f>
        <v/>
      </c>
      <c r="AC56" s="66">
        <f>AC55*AC22</f>
        <v/>
      </c>
      <c r="AD56" s="66">
        <f>AD55*AD22</f>
        <v/>
      </c>
      <c r="AE56" s="66">
        <f>AE55*AE22</f>
        <v/>
      </c>
      <c r="AF56" s="66">
        <f>AF55*AF22</f>
        <v/>
      </c>
      <c r="AG56" s="66">
        <f>AG55*AG22</f>
        <v/>
      </c>
      <c r="AH56" s="66">
        <f>AH55*AH22</f>
        <v/>
      </c>
      <c r="AI56" s="66">
        <f>AI55*AI22</f>
        <v/>
      </c>
      <c r="AJ56" s="66">
        <f>AJ55*AJ22</f>
        <v/>
      </c>
      <c r="AK56" s="66">
        <f>AK55*AK22</f>
        <v/>
      </c>
      <c r="AL56" s="66">
        <f>AL55*AL22</f>
        <v/>
      </c>
      <c r="AM56" s="66">
        <f>AM55*AM22</f>
        <v/>
      </c>
      <c r="AN56" s="66">
        <f>AN55*AN22</f>
        <v/>
      </c>
      <c r="AO56" s="66">
        <f>AO55*AO22</f>
        <v/>
      </c>
      <c r="AP56" s="66">
        <f>AP55*AP22</f>
        <v/>
      </c>
      <c r="AQ56" s="66">
        <f>AQ55*AQ22</f>
        <v/>
      </c>
      <c r="AR56" s="66">
        <f>AR55*AR22</f>
        <v/>
      </c>
    </row>
    <row r="57" ht="15" customHeight="1" thickBot="1"/>
    <row r="58" ht="15" customHeight="1" thickBot="1">
      <c r="B58" s="11" t="inlineStr">
        <is>
          <t>Variable O&amp;M</t>
        </is>
      </c>
      <c r="C58" s="11" t="n"/>
      <c r="D58" s="11" t="n"/>
      <c r="E58" s="11" t="n"/>
      <c r="F58" s="61">
        <f>F61*10^6/F28</f>
        <v/>
      </c>
    </row>
    <row r="59">
      <c r="B59" t="inlineStr">
        <is>
          <t>Variable O&amp;M</t>
        </is>
      </c>
      <c r="C59" t="inlineStr">
        <is>
          <t>£/MWh</t>
        </is>
      </c>
      <c r="E59" t="inlineStr">
        <is>
          <t>First year in O&amp;M trajectory relates to 1st year of operation</t>
        </is>
      </c>
      <c r="O59" s="63" t="n">
        <v>1</v>
      </c>
      <c r="P59" s="63" t="n">
        <v>1</v>
      </c>
      <c r="Q59" s="63" t="n">
        <v>1</v>
      </c>
      <c r="R59" s="63" t="n">
        <v>1</v>
      </c>
      <c r="S59" s="63" t="n">
        <v>1</v>
      </c>
      <c r="T59" s="63" t="n">
        <v>1</v>
      </c>
      <c r="U59" s="63" t="n">
        <v>1</v>
      </c>
      <c r="V59" s="63" t="n">
        <v>1</v>
      </c>
      <c r="W59" s="63" t="n">
        <v>1</v>
      </c>
      <c r="X59" s="63" t="n">
        <v>1</v>
      </c>
      <c r="Y59" s="63" t="n">
        <v>1</v>
      </c>
      <c r="Z59" s="63" t="n">
        <v>1</v>
      </c>
      <c r="AA59" s="63" t="n">
        <v>1</v>
      </c>
      <c r="AB59" s="63" t="n">
        <v>1</v>
      </c>
      <c r="AC59" s="63" t="n">
        <v>1</v>
      </c>
      <c r="AD59" s="63" t="n">
        <v>1</v>
      </c>
      <c r="AE59" s="63" t="n">
        <v>1</v>
      </c>
      <c r="AF59" s="63" t="n">
        <v>1</v>
      </c>
      <c r="AG59" s="63" t="n">
        <v>1</v>
      </c>
      <c r="AH59" s="63" t="n">
        <v>1</v>
      </c>
      <c r="AI59" s="63" t="n">
        <v>1</v>
      </c>
      <c r="AJ59" s="63" t="n">
        <v>1</v>
      </c>
      <c r="AK59" s="63" t="n">
        <v>1</v>
      </c>
      <c r="AL59" s="63" t="n">
        <v>1</v>
      </c>
      <c r="AM59" s="63" t="n">
        <v>1</v>
      </c>
      <c r="AN59" s="63" t="n">
        <v>1</v>
      </c>
      <c r="AO59" s="63" t="n">
        <v>1</v>
      </c>
      <c r="AP59" s="63" t="n">
        <v>1</v>
      </c>
      <c r="AQ59" s="63" t="n">
        <v>1</v>
      </c>
      <c r="AR59" s="63" t="n">
        <v>1</v>
      </c>
    </row>
    <row r="60">
      <c r="C60" t="inlineStr">
        <is>
          <t>£m</t>
        </is>
      </c>
      <c r="E60" t="inlineStr">
        <is>
          <t>£/MWh x generation /1000000</t>
        </is>
      </c>
      <c r="O60" s="66">
        <f>O59*O27*10^-6</f>
        <v/>
      </c>
      <c r="P60" s="66">
        <f>P59*P27*10^-6</f>
        <v/>
      </c>
      <c r="Q60" s="66">
        <f>Q59*Q27*10^-6</f>
        <v/>
      </c>
      <c r="R60" s="66">
        <f>R59*R27*10^-6</f>
        <v/>
      </c>
      <c r="S60" s="66">
        <f>S59*S27*10^-6</f>
        <v/>
      </c>
      <c r="T60" s="66">
        <f>T59*T27*10^-6</f>
        <v/>
      </c>
      <c r="U60" s="66">
        <f>U59*U27*10^-6</f>
        <v/>
      </c>
      <c r="V60" s="66">
        <f>V59*V27*10^-6</f>
        <v/>
      </c>
      <c r="W60" s="66">
        <f>W59*W27*10^-6</f>
        <v/>
      </c>
      <c r="X60" s="66">
        <f>X59*X27*10^-6</f>
        <v/>
      </c>
      <c r="Y60" s="66">
        <f>Y59*Y27*10^-6</f>
        <v/>
      </c>
      <c r="Z60" s="66">
        <f>Z59*Z27*10^-6</f>
        <v/>
      </c>
      <c r="AA60" s="66">
        <f>AA59*AA27*10^-6</f>
        <v/>
      </c>
      <c r="AB60" s="66">
        <f>AB59*AB27*10^-6</f>
        <v/>
      </c>
      <c r="AC60" s="66">
        <f>AC59*AC27*10^-6</f>
        <v/>
      </c>
      <c r="AD60" s="66">
        <f>AD59*AD27*10^-6</f>
        <v/>
      </c>
      <c r="AE60" s="66">
        <f>AE59*AE27*10^-6</f>
        <v/>
      </c>
      <c r="AF60" s="66">
        <f>AF59*AF27*10^-6</f>
        <v/>
      </c>
      <c r="AG60" s="66">
        <f>AG59*AG27*10^-6</f>
        <v/>
      </c>
      <c r="AH60" s="66">
        <f>AH59*AH27*10^-6</f>
        <v/>
      </c>
      <c r="AI60" s="66">
        <f>AI59*AI27*10^-6</f>
        <v/>
      </c>
      <c r="AJ60" s="66">
        <f>AJ59*AJ27*10^-6</f>
        <v/>
      </c>
      <c r="AK60" s="66">
        <f>AK59*AK27*10^-6</f>
        <v/>
      </c>
      <c r="AL60" s="66">
        <f>AL59*AL27*10^-6</f>
        <v/>
      </c>
      <c r="AM60" s="66">
        <f>AM59*AM27*10^-6</f>
        <v/>
      </c>
      <c r="AN60" s="66">
        <f>AN59*AN27*10^-6</f>
        <v/>
      </c>
      <c r="AO60" s="66">
        <f>AO59*AO27*10^-6</f>
        <v/>
      </c>
      <c r="AP60" s="66">
        <f>AP59*AP27*10^-6</f>
        <v/>
      </c>
      <c r="AQ60" s="66">
        <f>AQ59*AQ27*10^-6</f>
        <v/>
      </c>
      <c r="AR60" s="66">
        <f>AR59*AR27*10^-6</f>
        <v/>
      </c>
    </row>
    <row r="61">
      <c r="B61" t="inlineStr">
        <is>
          <t>Discounted Variable O&amp;M</t>
        </is>
      </c>
      <c r="C61" t="inlineStr">
        <is>
          <t>£m</t>
        </is>
      </c>
      <c r="E61" t="inlineStr">
        <is>
          <t>Variable O&amp;M x Discounting factor</t>
        </is>
      </c>
      <c r="F61" s="65">
        <f>SUM(O61:AW61)</f>
        <v/>
      </c>
      <c r="O61" s="65">
        <f>O60*O22</f>
        <v/>
      </c>
      <c r="P61" s="65">
        <f>P60*P22</f>
        <v/>
      </c>
      <c r="Q61" s="65">
        <f>Q60*Q22</f>
        <v/>
      </c>
      <c r="R61" s="65">
        <f>R60*R22</f>
        <v/>
      </c>
      <c r="S61" s="65">
        <f>S60*S22</f>
        <v/>
      </c>
      <c r="T61" s="65">
        <f>T60*T22</f>
        <v/>
      </c>
      <c r="U61" s="65">
        <f>U60*U22</f>
        <v/>
      </c>
      <c r="V61" s="65">
        <f>V60*V22</f>
        <v/>
      </c>
      <c r="W61" s="65">
        <f>W60*W22</f>
        <v/>
      </c>
      <c r="X61" s="65">
        <f>X60*X22</f>
        <v/>
      </c>
      <c r="Y61" s="65">
        <f>Y60*Y22</f>
        <v/>
      </c>
      <c r="Z61" s="65">
        <f>Z60*Z22</f>
        <v/>
      </c>
      <c r="AA61" s="65">
        <f>AA60*AA22</f>
        <v/>
      </c>
      <c r="AB61" s="65">
        <f>AB60*AB22</f>
        <v/>
      </c>
      <c r="AC61" s="65">
        <f>AC60*AC22</f>
        <v/>
      </c>
      <c r="AD61" s="65">
        <f>AD60*AD22</f>
        <v/>
      </c>
      <c r="AE61" s="65">
        <f>AE60*AE22</f>
        <v/>
      </c>
      <c r="AF61" s="65">
        <f>AF60*AF22</f>
        <v/>
      </c>
      <c r="AG61" s="65">
        <f>AG60*AG22</f>
        <v/>
      </c>
      <c r="AH61" s="65">
        <f>AH60*AH22</f>
        <v/>
      </c>
      <c r="AI61" s="65">
        <f>AI60*AI22</f>
        <v/>
      </c>
      <c r="AJ61" s="65">
        <f>AJ60*AJ22</f>
        <v/>
      </c>
      <c r="AK61" s="65">
        <f>AK60*AK22</f>
        <v/>
      </c>
      <c r="AL61" s="65">
        <f>AL60*AL22</f>
        <v/>
      </c>
      <c r="AM61" s="65">
        <f>AM60*AM22</f>
        <v/>
      </c>
      <c r="AN61" s="65">
        <f>AN60*AN22</f>
        <v/>
      </c>
      <c r="AO61" s="65">
        <f>AO60*AO22</f>
        <v/>
      </c>
      <c r="AP61" s="65">
        <f>AP60*AP22</f>
        <v/>
      </c>
      <c r="AQ61" s="65">
        <f>AQ60*AQ22</f>
        <v/>
      </c>
      <c r="AR61" s="65">
        <f>AR60*AR22</f>
        <v/>
      </c>
    </row>
    <row r="62" ht="15" customHeight="1" thickBot="1"/>
    <row r="63" ht="15" customHeight="1" thickBot="1">
      <c r="B63" s="11" t="inlineStr">
        <is>
          <t>Fuel costs</t>
        </is>
      </c>
      <c r="C63" s="11" t="n"/>
      <c r="D63" s="11" t="n"/>
      <c r="E63" s="11" t="n"/>
      <c r="F63" s="61">
        <f>F67*10^6/F28</f>
        <v/>
      </c>
    </row>
    <row r="64">
      <c r="B64" t="inlineStr">
        <is>
          <t>Fuel price</t>
        </is>
      </c>
      <c r="C64" t="inlineStr">
        <is>
          <t>£/MWh</t>
        </is>
      </c>
      <c r="O64" s="63" t="n">
        <v>0</v>
      </c>
      <c r="P64" s="63" t="n">
        <v>0</v>
      </c>
      <c r="Q64" s="63" t="n">
        <v>0</v>
      </c>
      <c r="R64" s="63" t="n">
        <v>0</v>
      </c>
      <c r="S64" s="63" t="n">
        <v>0</v>
      </c>
      <c r="T64" s="63" t="n">
        <v>0</v>
      </c>
      <c r="U64" s="63" t="n">
        <v>0</v>
      </c>
      <c r="V64" s="63" t="n">
        <v>0</v>
      </c>
      <c r="W64" s="63" t="n">
        <v>0</v>
      </c>
      <c r="X64" s="63" t="n">
        <v>0</v>
      </c>
      <c r="Y64" s="63" t="n">
        <v>0</v>
      </c>
      <c r="Z64" s="63" t="n">
        <v>0</v>
      </c>
      <c r="AA64" s="63" t="n">
        <v>0</v>
      </c>
      <c r="AB64" s="63" t="n">
        <v>0</v>
      </c>
      <c r="AC64" s="63" t="n">
        <v>0</v>
      </c>
      <c r="AD64" s="63" t="n">
        <v>0</v>
      </c>
      <c r="AE64" s="63" t="n">
        <v>0</v>
      </c>
      <c r="AF64" s="63" t="n">
        <v>0</v>
      </c>
      <c r="AG64" s="63" t="n">
        <v>0</v>
      </c>
      <c r="AH64" s="63" t="n">
        <v>0</v>
      </c>
      <c r="AI64" s="63" t="n">
        <v>0</v>
      </c>
      <c r="AJ64" s="63" t="n">
        <v>0</v>
      </c>
      <c r="AK64" s="63" t="n">
        <v>0</v>
      </c>
      <c r="AL64" s="63" t="n">
        <v>0</v>
      </c>
      <c r="AM64" s="63" t="n">
        <v>0</v>
      </c>
      <c r="AN64" s="63" t="n">
        <v>0</v>
      </c>
      <c r="AO64" s="63" t="n">
        <v>0</v>
      </c>
      <c r="AP64" s="63" t="n">
        <v>0</v>
      </c>
      <c r="AQ64" s="63" t="n">
        <v>0</v>
      </c>
      <c r="AR64" s="63" t="n">
        <v>0</v>
      </c>
    </row>
    <row r="65">
      <c r="B65" t="inlineStr">
        <is>
          <t>Fuel consumption</t>
        </is>
      </c>
      <c r="C65" t="inlineStr">
        <is>
          <t>MWh</t>
        </is>
      </c>
      <c r="E65" t="inlineStr">
        <is>
          <t>Generation / fuel efficiency (LHV)</t>
        </is>
      </c>
      <c r="O65" s="14">
        <f>O27/$D$12</f>
        <v/>
      </c>
      <c r="P65" s="14">
        <f>P27/$D$12</f>
        <v/>
      </c>
      <c r="Q65" s="14">
        <f>Q27/$D$12</f>
        <v/>
      </c>
      <c r="R65" s="14">
        <f>R27/$D$12</f>
        <v/>
      </c>
      <c r="S65" s="14">
        <f>S27/$D$12</f>
        <v/>
      </c>
      <c r="T65" s="14">
        <f>T27/$D$12</f>
        <v/>
      </c>
      <c r="U65" s="14">
        <f>U27/$D$12</f>
        <v/>
      </c>
      <c r="V65" s="14">
        <f>V27/$D$12</f>
        <v/>
      </c>
      <c r="W65" s="14">
        <f>W27/$D$12</f>
        <v/>
      </c>
      <c r="X65" s="14">
        <f>X27/$D$12</f>
        <v/>
      </c>
      <c r="Y65" s="14">
        <f>Y27/$D$12</f>
        <v/>
      </c>
      <c r="Z65" s="14">
        <f>Z27/$D$12</f>
        <v/>
      </c>
      <c r="AA65" s="14">
        <f>AA27/$D$12</f>
        <v/>
      </c>
      <c r="AB65" s="14">
        <f>AB27/$D$12</f>
        <v/>
      </c>
      <c r="AC65" s="14">
        <f>AC27/$D$12</f>
        <v/>
      </c>
      <c r="AD65" s="14">
        <f>AD27/$D$12</f>
        <v/>
      </c>
      <c r="AE65" s="14">
        <f>AE27/$D$12</f>
        <v/>
      </c>
      <c r="AF65" s="14">
        <f>AF27/$D$12</f>
        <v/>
      </c>
      <c r="AG65" s="14">
        <f>AG27/$D$12</f>
        <v/>
      </c>
      <c r="AH65" s="14">
        <f>AH27/$D$12</f>
        <v/>
      </c>
      <c r="AI65" s="14">
        <f>AI27/$D$12</f>
        <v/>
      </c>
      <c r="AJ65" s="14">
        <f>AJ27/$D$12</f>
        <v/>
      </c>
      <c r="AK65" s="14">
        <f>AK27/$D$12</f>
        <v/>
      </c>
      <c r="AL65" s="14">
        <f>AL27/$D$12</f>
        <v/>
      </c>
      <c r="AM65" s="14">
        <f>AM27/$D$12</f>
        <v/>
      </c>
      <c r="AN65" s="14">
        <f>AN27/$D$12</f>
        <v/>
      </c>
      <c r="AO65" s="14">
        <f>AO27/$D$12</f>
        <v/>
      </c>
      <c r="AP65" s="14">
        <f>AP27/$D$12</f>
        <v/>
      </c>
      <c r="AQ65" s="14">
        <f>AQ27/$D$12</f>
        <v/>
      </c>
      <c r="AR65" s="14">
        <f>AR27/$D$12</f>
        <v/>
      </c>
    </row>
    <row r="66">
      <c r="B66" t="inlineStr">
        <is>
          <t>Fuel cost</t>
        </is>
      </c>
      <c r="C66" t="inlineStr">
        <is>
          <t>£m</t>
        </is>
      </c>
      <c r="E66" t="inlineStr">
        <is>
          <t>Gate fee price/fuel price x fuel consumption /1000000</t>
        </is>
      </c>
      <c r="O66" s="62">
        <f>O64*O65*10^-6</f>
        <v/>
      </c>
      <c r="P66" s="62">
        <f>P64*P65*10^-6</f>
        <v/>
      </c>
      <c r="Q66" s="62">
        <f>Q64*Q65*10^-6</f>
        <v/>
      </c>
      <c r="R66" s="62">
        <f>R64*R65*10^-6</f>
        <v/>
      </c>
      <c r="S66" s="62">
        <f>S64*S65*10^-6</f>
        <v/>
      </c>
      <c r="T66" s="62">
        <f>T64*T65*10^-6</f>
        <v/>
      </c>
      <c r="U66" s="62">
        <f>U64*U65*10^-6</f>
        <v/>
      </c>
      <c r="V66" s="62">
        <f>V64*V65*10^-6</f>
        <v/>
      </c>
      <c r="W66" s="62">
        <f>W64*W65*10^-6</f>
        <v/>
      </c>
      <c r="X66" s="62">
        <f>X64*X65*10^-6</f>
        <v/>
      </c>
      <c r="Y66" s="62">
        <f>Y64*Y65*10^-6</f>
        <v/>
      </c>
      <c r="Z66" s="62">
        <f>Z64*Z65*10^-6</f>
        <v/>
      </c>
      <c r="AA66" s="62">
        <f>AA64*AA65*10^-6</f>
        <v/>
      </c>
      <c r="AB66" s="62">
        <f>AB64*AB65*10^-6</f>
        <v/>
      </c>
      <c r="AC66" s="62">
        <f>AC64*AC65*10^-6</f>
        <v/>
      </c>
      <c r="AD66" s="62">
        <f>AD64*AD65*10^-6</f>
        <v/>
      </c>
      <c r="AE66" s="62">
        <f>AE64*AE65*10^-6</f>
        <v/>
      </c>
      <c r="AF66" s="62">
        <f>AF64*AF65*10^-6</f>
        <v/>
      </c>
      <c r="AG66" s="62">
        <f>AG64*AG65*10^-6</f>
        <v/>
      </c>
      <c r="AH66" s="62">
        <f>AH64*AH65*10^-6</f>
        <v/>
      </c>
      <c r="AI66" s="62">
        <f>AI64*AI65*10^-6</f>
        <v/>
      </c>
      <c r="AJ66" s="62">
        <f>AJ64*AJ65*10^-6</f>
        <v/>
      </c>
      <c r="AK66" s="62">
        <f>AK64*AK65*10^-6</f>
        <v/>
      </c>
      <c r="AL66" s="62">
        <f>AL64*AL65*10^-6</f>
        <v/>
      </c>
      <c r="AM66" s="62">
        <f>AM64*AM65*10^-6</f>
        <v/>
      </c>
      <c r="AN66" s="62">
        <f>AN64*AN65*10^-6</f>
        <v/>
      </c>
      <c r="AO66" s="62">
        <f>AO64*AO65*10^-6</f>
        <v/>
      </c>
      <c r="AP66" s="62">
        <f>AP64*AP65*10^-6</f>
        <v/>
      </c>
      <c r="AQ66" s="62">
        <f>AQ64*AQ65*10^-6</f>
        <v/>
      </c>
      <c r="AR66" s="62">
        <f>AR64*AR65*10^-6</f>
        <v/>
      </c>
    </row>
    <row r="67">
      <c r="B67" t="inlineStr">
        <is>
          <t>Discounted fuel cost</t>
        </is>
      </c>
      <c r="C67" t="inlineStr">
        <is>
          <t>£m</t>
        </is>
      </c>
      <c r="E67" t="inlineStr">
        <is>
          <t>Gate fee cost/fuel cost x Discounting Factor</t>
        </is>
      </c>
      <c r="F67" s="24">
        <f>SUM(O67:AW67)</f>
        <v/>
      </c>
      <c r="O67" s="65">
        <f>O66*O22</f>
        <v/>
      </c>
      <c r="P67" s="65">
        <f>P66*P22</f>
        <v/>
      </c>
      <c r="Q67" s="65">
        <f>Q66*Q22</f>
        <v/>
      </c>
      <c r="R67" s="65">
        <f>R66*R22</f>
        <v/>
      </c>
      <c r="S67" s="65">
        <f>S66*S22</f>
        <v/>
      </c>
      <c r="T67" s="65">
        <f>T66*T22</f>
        <v/>
      </c>
      <c r="U67" s="65">
        <f>U66*U22</f>
        <v/>
      </c>
      <c r="V67" s="65">
        <f>V66*V22</f>
        <v/>
      </c>
      <c r="W67" s="65">
        <f>W66*W22</f>
        <v/>
      </c>
      <c r="X67" s="65">
        <f>X66*X22</f>
        <v/>
      </c>
      <c r="Y67" s="65">
        <f>Y66*Y22</f>
        <v/>
      </c>
      <c r="Z67" s="65">
        <f>Z66*Z22</f>
        <v/>
      </c>
      <c r="AA67" s="65">
        <f>AA66*AA22</f>
        <v/>
      </c>
      <c r="AB67" s="65">
        <f>AB66*AB22</f>
        <v/>
      </c>
      <c r="AC67" s="65">
        <f>AC66*AC22</f>
        <v/>
      </c>
      <c r="AD67" s="65">
        <f>AD66*AD22</f>
        <v/>
      </c>
      <c r="AE67" s="65">
        <f>AE66*AE22</f>
        <v/>
      </c>
      <c r="AF67" s="65">
        <f>AF66*AF22</f>
        <v/>
      </c>
      <c r="AG67" s="65">
        <f>AG66*AG22</f>
        <v/>
      </c>
      <c r="AH67" s="65">
        <f>AH66*AH22</f>
        <v/>
      </c>
      <c r="AI67" s="65">
        <f>AI66*AI22</f>
        <v/>
      </c>
      <c r="AJ67" s="65">
        <f>AJ66*AJ22</f>
        <v/>
      </c>
      <c r="AK67" s="65">
        <f>AK66*AK22</f>
        <v/>
      </c>
      <c r="AL67" s="65">
        <f>AL66*AL22</f>
        <v/>
      </c>
      <c r="AM67" s="65">
        <f>AM66*AM22</f>
        <v/>
      </c>
      <c r="AN67" s="65">
        <f>AN66*AN22</f>
        <v/>
      </c>
      <c r="AO67" s="65">
        <f>AO66*AO22</f>
        <v/>
      </c>
      <c r="AP67" s="65">
        <f>AP66*AP22</f>
        <v/>
      </c>
      <c r="AQ67" s="65">
        <f>AQ66*AQ22</f>
        <v/>
      </c>
      <c r="AR67" s="65">
        <f>AR66*AR22</f>
        <v/>
      </c>
    </row>
    <row r="68" ht="15" customHeight="1" thickBot="1"/>
    <row r="69" ht="15" customHeight="1" thickBot="1">
      <c r="B69" s="11" t="inlineStr">
        <is>
          <t>Heat revenues (for CHPs)</t>
        </is>
      </c>
      <c r="C69" s="11" t="n"/>
      <c r="D69" s="11" t="n"/>
      <c r="E69" s="11" t="n"/>
      <c r="F69" s="61">
        <f>F72*10^6/F28</f>
        <v/>
      </c>
    </row>
    <row r="70">
      <c r="B70" t="inlineStr">
        <is>
          <t>Heat revenue price</t>
        </is>
      </c>
      <c r="C70" t="inlineStr">
        <is>
          <t>£/MWh</t>
        </is>
      </c>
      <c r="E70" t="inlineStr">
        <is>
          <t>Heat revenue price, a negative value is this is revenue from selling heat produced. Lasts for 20 years as this is the assumed length of heat offtaker contracts</t>
        </is>
      </c>
      <c r="O70" s="63" t="n">
        <v>0</v>
      </c>
      <c r="P70" s="63" t="n">
        <v>0</v>
      </c>
      <c r="Q70" s="63" t="n">
        <v>0</v>
      </c>
      <c r="R70" s="63" t="n">
        <v>0</v>
      </c>
      <c r="S70" s="63" t="n">
        <v>0</v>
      </c>
      <c r="T70" s="63" t="n">
        <v>0</v>
      </c>
      <c r="U70" s="63" t="n">
        <v>0</v>
      </c>
      <c r="V70" s="63" t="n">
        <v>0</v>
      </c>
      <c r="W70" s="63" t="n">
        <v>0</v>
      </c>
      <c r="X70" s="63" t="n">
        <v>0</v>
      </c>
      <c r="Y70" s="63" t="n">
        <v>0</v>
      </c>
      <c r="Z70" s="63" t="n">
        <v>0</v>
      </c>
      <c r="AA70" s="63" t="n">
        <v>0</v>
      </c>
      <c r="AB70" s="63" t="n">
        <v>0</v>
      </c>
      <c r="AC70" s="63" t="n">
        <v>0</v>
      </c>
      <c r="AD70" s="63" t="n">
        <v>0</v>
      </c>
      <c r="AE70" s="63" t="n">
        <v>0</v>
      </c>
      <c r="AF70" s="63" t="n">
        <v>0</v>
      </c>
      <c r="AG70" s="63" t="n">
        <v>0</v>
      </c>
      <c r="AH70" s="63" t="n">
        <v>0</v>
      </c>
      <c r="AI70" s="64" t="n"/>
      <c r="AJ70" s="64" t="n"/>
      <c r="AK70" s="64" t="n"/>
      <c r="AL70" s="64" t="n"/>
      <c r="AM70" s="64" t="n"/>
      <c r="AN70" s="64" t="n"/>
      <c r="AO70" s="64" t="n"/>
      <c r="AP70" s="64" t="n"/>
      <c r="AQ70" s="64" t="n"/>
      <c r="AR70" s="64" t="n"/>
    </row>
    <row r="71">
      <c r="B71" t="inlineStr">
        <is>
          <t>Heat revenue</t>
        </is>
      </c>
      <c r="C71" t="inlineStr">
        <is>
          <t>£m</t>
        </is>
      </c>
      <c r="E71" t="inlineStr">
        <is>
          <t>Heat revenue price x Generation</t>
        </is>
      </c>
      <c r="O71" s="65">
        <f>O70*O27*10^-6</f>
        <v/>
      </c>
      <c r="P71" s="65">
        <f>P70*P27*10^-6</f>
        <v/>
      </c>
      <c r="Q71" s="65">
        <f>Q70*Q27*10^-6</f>
        <v/>
      </c>
      <c r="R71" s="65">
        <f>R70*R27*10^-6</f>
        <v/>
      </c>
      <c r="S71" s="65">
        <f>S70*S27*10^-6</f>
        <v/>
      </c>
      <c r="T71" s="65">
        <f>T70*T27*10^-6</f>
        <v/>
      </c>
      <c r="U71" s="65">
        <f>U70*U27*10^-6</f>
        <v/>
      </c>
      <c r="V71" s="65">
        <f>V70*V27*10^-6</f>
        <v/>
      </c>
      <c r="W71" s="65">
        <f>W70*W27*10^-6</f>
        <v/>
      </c>
      <c r="X71" s="65">
        <f>X70*X27*10^-6</f>
        <v/>
      </c>
      <c r="Y71" s="65">
        <f>Y70*Y27*10^-6</f>
        <v/>
      </c>
      <c r="Z71" s="65">
        <f>Z70*Z27*10^-6</f>
        <v/>
      </c>
      <c r="AA71" s="65">
        <f>AA70*AA27*10^-6</f>
        <v/>
      </c>
      <c r="AB71" s="65">
        <f>AB70*AB27*10^-6</f>
        <v/>
      </c>
      <c r="AC71" s="65">
        <f>AC70*AC27*10^-6</f>
        <v/>
      </c>
      <c r="AD71" s="65">
        <f>AD70*AD27*10^-6</f>
        <v/>
      </c>
      <c r="AE71" s="65">
        <f>AE70*AE27*10^-6</f>
        <v/>
      </c>
      <c r="AF71" s="65">
        <f>AF70*AF27*10^-6</f>
        <v/>
      </c>
      <c r="AG71" s="65">
        <f>AG70*AG27*10^-6</f>
        <v/>
      </c>
      <c r="AH71" s="65">
        <f>AH70*AH27*10^-6</f>
        <v/>
      </c>
      <c r="AI71" s="68" t="n"/>
      <c r="AJ71" s="68" t="n"/>
      <c r="AK71" s="68" t="n"/>
      <c r="AL71" s="68" t="n"/>
      <c r="AM71" s="68" t="n"/>
      <c r="AN71" s="68" t="n"/>
      <c r="AO71" s="68" t="n"/>
      <c r="AP71" s="68" t="n"/>
      <c r="AQ71" s="68" t="n"/>
      <c r="AR71" s="68" t="n"/>
      <c r="AS71" s="68" t="n"/>
      <c r="AT71" s="68" t="n"/>
      <c r="AU71" s="68" t="n"/>
      <c r="AV71" s="68" t="n"/>
      <c r="AW71" s="68" t="n"/>
    </row>
    <row r="72">
      <c r="B72" t="inlineStr">
        <is>
          <t>Discounted heat revenue</t>
        </is>
      </c>
      <c r="C72" t="inlineStr">
        <is>
          <t>£m</t>
        </is>
      </c>
      <c r="E72" t="inlineStr">
        <is>
          <t>Heat revenue x Discounting factor</t>
        </is>
      </c>
      <c r="F72" s="66">
        <f>SUM(O72:AW72)</f>
        <v/>
      </c>
      <c r="O72" s="66">
        <f>O71*O22</f>
        <v/>
      </c>
      <c r="P72" s="66">
        <f>P71*P22</f>
        <v/>
      </c>
      <c r="Q72" s="66">
        <f>Q71*Q22</f>
        <v/>
      </c>
      <c r="R72" s="66">
        <f>R71*R22</f>
        <v/>
      </c>
      <c r="S72" s="66">
        <f>S71*S22</f>
        <v/>
      </c>
      <c r="T72" s="66">
        <f>T71*T22</f>
        <v/>
      </c>
      <c r="U72" s="66">
        <f>U71*U22</f>
        <v/>
      </c>
      <c r="V72" s="66">
        <f>V71*V22</f>
        <v/>
      </c>
      <c r="W72" s="66">
        <f>W71*W22</f>
        <v/>
      </c>
      <c r="X72" s="66">
        <f>X71*X22</f>
        <v/>
      </c>
      <c r="Y72" s="66">
        <f>Y71*Y22</f>
        <v/>
      </c>
      <c r="Z72" s="66">
        <f>Z71*Z22</f>
        <v/>
      </c>
      <c r="AA72" s="66">
        <f>AA71*AA22</f>
        <v/>
      </c>
      <c r="AB72" s="66">
        <f>AB71*AB22</f>
        <v/>
      </c>
      <c r="AC72" s="66">
        <f>AC71*AC22</f>
        <v/>
      </c>
      <c r="AD72" s="66">
        <f>AD71*AD22</f>
        <v/>
      </c>
      <c r="AE72" s="66">
        <f>AE71*AE22</f>
        <v/>
      </c>
      <c r="AF72" s="66">
        <f>AF71*AF22</f>
        <v/>
      </c>
      <c r="AG72" s="66">
        <f>AG71*AG22</f>
        <v/>
      </c>
      <c r="AH72" s="66">
        <f>AH71*AH22</f>
        <v/>
      </c>
      <c r="AI72" s="68" t="n"/>
      <c r="AJ72" s="68" t="n"/>
      <c r="AK72" s="68" t="n"/>
      <c r="AL72" s="68" t="n"/>
      <c r="AM72" s="68" t="n"/>
      <c r="AN72" s="68" t="n"/>
      <c r="AO72" s="68" t="n"/>
      <c r="AP72" s="68" t="n"/>
      <c r="AQ72" s="68" t="n"/>
      <c r="AR72" s="68" t="n"/>
      <c r="AS72" s="68" t="n"/>
      <c r="AT72" s="68" t="n"/>
      <c r="AU72" s="68" t="n"/>
      <c r="AV72" s="68" t="n"/>
      <c r="AW72" s="68" t="n"/>
    </row>
    <row r="200">
      <c r="B200" t="inlineStr">
        <is>
          <t>Gross load factor</t>
        </is>
      </c>
      <c r="C200" t="inlineStr">
        <is>
          <t>%</t>
        </is>
      </c>
      <c r="D200" t="n">
        <v>0.5</v>
      </c>
    </row>
  </sheetData>
  <pageMargins left="0.7" right="0.7" top="0.75" bottom="0.75" header="0.3" footer="0.3"/>
  <pageSetup orientation="portrait" paperSize="9" verticalDpi="0"/>
</worksheet>
</file>

<file path=xl/worksheets/sheet3.xml><?xml version="1.0" encoding="utf-8"?>
<worksheet xmlns="http://schemas.openxmlformats.org/spreadsheetml/2006/main">
  <sheetPr codeName="Sheet5">
    <outlinePr summaryBelow="1" summaryRight="1"/>
    <pageSetUpPr/>
  </sheetPr>
  <dimension ref="A1:BQ88"/>
  <sheetViews>
    <sheetView showGridLines="0" tabSelected="1" topLeftCell="A15" zoomScale="70" zoomScaleNormal="70" workbookViewId="0">
      <selection activeCell="C80" sqref="C80"/>
    </sheetView>
  </sheetViews>
  <sheetFormatPr baseColWidth="8" defaultRowHeight="14.5"/>
  <cols>
    <col width="2.7265625" customWidth="1" min="1" max="1"/>
    <col width="49.54296875" customWidth="1" min="2" max="2"/>
    <col width="12.1796875" bestFit="1" customWidth="1" min="3" max="3"/>
    <col width="14.453125" bestFit="1" customWidth="1" min="4" max="4"/>
    <col width="74.7265625" customWidth="1" min="5" max="5"/>
    <col width="19.81640625" customWidth="1" min="6" max="6"/>
    <col width="4.81640625" customWidth="1" min="7" max="7"/>
    <col width="12" customWidth="1" min="8" max="8"/>
    <col width="11.81640625" customWidth="1" min="9" max="9"/>
    <col width="10.453125" customWidth="1" min="11" max="11"/>
    <col width="11.54296875" customWidth="1" min="12" max="12"/>
    <col width="24.26953125" bestFit="1" customWidth="1" min="13" max="13"/>
    <col width="20.54296875" customWidth="1" min="14" max="14"/>
    <col width="23.26953125" bestFit="1" customWidth="1" min="15" max="15"/>
    <col width="16.26953125" customWidth="1" min="16" max="16"/>
    <col width="16.7265625" customWidth="1" min="17" max="17"/>
    <col width="17.7265625" customWidth="1" min="18" max="18"/>
    <col width="17.1796875" customWidth="1" min="19" max="19"/>
    <col width="16.453125" customWidth="1" min="20" max="20"/>
    <col width="17.1796875" customWidth="1" min="21" max="21"/>
    <col width="17.7265625" customWidth="1" min="22" max="22"/>
    <col width="16.54296875" customWidth="1" min="23" max="23"/>
    <col width="17.1796875" customWidth="1" min="24" max="24"/>
    <col width="16.81640625" customWidth="1" min="25" max="25"/>
    <col width="17.1796875" customWidth="1" min="26" max="26"/>
    <col width="16.54296875" customWidth="1" min="27" max="27"/>
    <col width="17.1796875" customWidth="1" min="28" max="28"/>
    <col width="17.453125" customWidth="1" min="29" max="29"/>
    <col width="16.81640625" customWidth="1" min="30" max="30"/>
    <col width="16.453125" customWidth="1" min="31" max="31"/>
    <col width="17.26953125" customWidth="1" min="32" max="32"/>
    <col width="17.54296875" customWidth="1" min="33" max="33"/>
    <col width="16.54296875" customWidth="1" min="34" max="34"/>
    <col width="17.26953125" customWidth="1" min="35" max="35"/>
    <col width="16.453125" customWidth="1" min="36" max="36"/>
    <col width="19.1796875" customWidth="1" min="37" max="37"/>
    <col width="8.81640625" bestFit="1" customWidth="1" min="38" max="41"/>
  </cols>
  <sheetData>
    <row r="1" ht="20.25" customFormat="1" customHeight="1" s="3">
      <c r="A1" s="3" t="inlineStr">
        <is>
          <t>Example LCOE calculation - CCGT</t>
        </is>
      </c>
    </row>
    <row r="2">
      <c r="A2" s="46" t="n"/>
    </row>
    <row r="3" ht="15" customHeight="1" thickBot="1">
      <c r="B3" t="inlineStr">
        <is>
          <t>Technology</t>
        </is>
      </c>
      <c r="D3" s="4" t="inlineStr">
        <is>
          <t>CCGT H Class</t>
        </is>
      </c>
    </row>
    <row r="4" ht="15" customHeight="1" thickBot="1">
      <c r="B4" t="inlineStr">
        <is>
          <t>Low/Medium/High</t>
        </is>
      </c>
      <c r="D4" s="4" t="inlineStr">
        <is>
          <t>Medium</t>
        </is>
      </c>
      <c r="F4" s="29" t="inlineStr">
        <is>
          <t>2021 prices</t>
        </is>
      </c>
    </row>
    <row r="5">
      <c r="B5" t="inlineStr">
        <is>
          <t xml:space="preserve">Project start </t>
        </is>
      </c>
      <c r="D5" s="4" t="n">
        <v>2020</v>
      </c>
    </row>
    <row r="6">
      <c r="B6" t="inlineStr">
        <is>
          <t>Construction start</t>
        </is>
      </c>
      <c r="D6" s="5">
        <f>D5+2</f>
        <v/>
      </c>
      <c r="F6" s="4" t="n"/>
      <c r="G6" t="inlineStr">
        <is>
          <t>&lt;- represent input cells required</t>
        </is>
      </c>
    </row>
    <row r="7">
      <c r="B7" t="inlineStr">
        <is>
          <t>Operation start</t>
        </is>
      </c>
      <c r="D7" s="6">
        <f>D6+3</f>
        <v/>
      </c>
      <c r="F7" t="inlineStr">
        <is>
          <t>Note that values may not exactly align with those in the generation costs report and Annex A due to rounding of inputs.</t>
        </is>
      </c>
    </row>
    <row r="8">
      <c r="B8" t="inlineStr">
        <is>
          <t>Plant decommissioned</t>
        </is>
      </c>
      <c r="D8" s="5">
        <f>D7+25</f>
        <v/>
      </c>
    </row>
    <row r="9">
      <c r="B9" t="inlineStr">
        <is>
          <t>Heat revenue ends</t>
        </is>
      </c>
      <c r="D9" s="50">
        <f>D7+20</f>
        <v/>
      </c>
    </row>
    <row r="11">
      <c r="B11" t="inlineStr">
        <is>
          <t>Net power output</t>
        </is>
      </c>
      <c r="C11" t="inlineStr">
        <is>
          <t>MW</t>
        </is>
      </c>
      <c r="D11" s="4" t="n">
        <v>1200</v>
      </c>
      <c r="F11" s="36" t="inlineStr">
        <is>
          <t xml:space="preserve">Note that the Carbon price used in our modelling is internal assumptions not the published figure below </t>
        </is>
      </c>
    </row>
    <row r="12">
      <c r="B12" t="inlineStr">
        <is>
          <t>Net efficiency (LHV)</t>
        </is>
      </c>
      <c r="C12" t="inlineStr">
        <is>
          <t>%</t>
        </is>
      </c>
      <c r="D12" s="51" t="n">
        <v>0.53</v>
      </c>
      <c r="E12" s="7" t="n"/>
      <c r="F12" s="7" t="n"/>
      <c r="G12" s="7" t="n"/>
    </row>
    <row r="13">
      <c r="B13" t="inlineStr">
        <is>
          <t>Hurdle rate</t>
        </is>
      </c>
      <c r="C13" t="inlineStr">
        <is>
          <t>%</t>
        </is>
      </c>
      <c r="D13" s="8" t="n">
        <v>0.075</v>
      </c>
    </row>
    <row r="14">
      <c r="B14" t="inlineStr">
        <is>
          <t>Hours per year</t>
        </is>
      </c>
      <c r="C14" t="inlineStr">
        <is>
          <t>hours</t>
        </is>
      </c>
      <c r="D14" s="4" t="n">
        <v>8760</v>
      </c>
    </row>
    <row r="15">
      <c r="B15" t="inlineStr">
        <is>
          <t>Fuel calorific value (gross)</t>
        </is>
      </c>
      <c r="C15" t="inlineStr">
        <is>
          <t>MWh/therm</t>
        </is>
      </c>
      <c r="D15" s="4" t="n">
        <v>0.0293</v>
      </c>
    </row>
    <row r="16" ht="15" customHeight="1" thickBot="1"/>
    <row r="17" ht="15" customHeight="1" thickBot="1">
      <c r="B17" t="inlineStr">
        <is>
          <t>Total levelised cost excluding decommissioning</t>
        </is>
      </c>
      <c r="C17" t="inlineStr">
        <is>
          <t>£/MWh</t>
        </is>
      </c>
      <c r="D17" s="60">
        <f>F30+F39+F48+F58+F63+F76+F85</f>
        <v/>
      </c>
    </row>
    <row r="19" ht="40.4" customFormat="1" customHeight="1" s="1">
      <c r="H19" s="1">
        <f>IF(H20=$D$5,$B$5,IF(H20=$D$6,$B$6,IF(H20=$D$7,$B$7,IF(H20=$D$8,$B$8,IF(H20=$D$9,$B$9,"")))))</f>
        <v/>
      </c>
      <c r="I19" s="1">
        <f>IF(I20=$D$5,$B$5,IF(I20=$D$6,$B$6,IF(I20=$D$7,$B$7,IF(I20=$D$8,$B$8,IF(I20=$D$9,$B$9,"")))))</f>
        <v/>
      </c>
      <c r="J19" s="1">
        <f>IF(J20=$D$5,$B$5,IF(J20=$D$6,$B$6,IF(J20=$D$7,$B$7,IF(J20=$D$8,$B$8,IF(J20=$D$9,$B$9,"")))))</f>
        <v/>
      </c>
      <c r="K19" s="1">
        <f>IF(K20=$D$5,$B$5,IF(K20=$D$6,$B$6,IF(K20=$D$7,$B$7,IF(K20=$D$8,$B$8,IF(K20=$D$9,$B$9,"")))))</f>
        <v/>
      </c>
      <c r="L19" s="1">
        <f>IF(L20=$D$5,$B$5,IF(L20=$D$6,$B$6,IF(L20=$D$7,$B$7,IF(L20=$D$8,$B$8,IF(L20=$D$9,$B$9,"")))))</f>
        <v/>
      </c>
      <c r="M19" s="1">
        <f>IF(M20=$D$5,$B$5,IF(M20=$D$6,$B$6,IF(M20=$D$7,$B$7,IF(M20=$D$8,$B$8,IF(M20=$D$9,$B$9,"")))))</f>
        <v/>
      </c>
      <c r="N19" s="1">
        <f>IF(N20=$D$5,$B$5,IF(N20=$D$6,$B$6,IF(N20=$D$7,$B$7,IF(N20=$D$8,$B$8,IF(N20=$D$9,$B$9,"")))))</f>
        <v/>
      </c>
      <c r="O19" s="1">
        <f>IF(O20=$D$5,$B$5,IF(O20=$D$6,$B$6,IF(O20=$D$7,$B$7,IF(O20=$D$8,$B$8,IF(O20=$D$9,$B$9,"")))))</f>
        <v/>
      </c>
      <c r="P19" s="1">
        <f>IF(P20=$D$5,$B$5,IF(P20=$D$6,$B$6,IF(P20=$D$7,$B$7,IF(P20=$D$8,$B$8,IF(P20=$D$9,$B$9,"")))))</f>
        <v/>
      </c>
      <c r="Q19" s="1">
        <f>IF(Q20=$D$5,$B$5,IF(Q20=$D$6,$B$6,IF(Q20=$D$7,$B$7,IF(Q20=$D$8,$B$8,IF(Q20=$D$9,$B$9,"")))))</f>
        <v/>
      </c>
      <c r="R19" s="1">
        <f>IF(R20=$D$5,$B$5,IF(R20=$D$6,$B$6,IF(R20=$D$7,$B$7,IF(R20=$D$8,$B$8,IF(R20=$D$9,$B$9,"")))))</f>
        <v/>
      </c>
      <c r="S19" s="1">
        <f>IF(S20=$D$5,$B$5,IF(S20=$D$6,$B$6,IF(S20=$D$7,$B$7,IF(S20=$D$8,$B$8,IF(S20=$D$9,$B$9,"")))))</f>
        <v/>
      </c>
      <c r="T19" s="1">
        <f>IF(T20=$D$5,$B$5,IF(T20=$D$6,$B$6,IF(T20=$D$7,$B$7,IF(T20=$D$8,$B$8,IF(T20=$D$9,$B$9,"")))))</f>
        <v/>
      </c>
      <c r="U19" s="1">
        <f>IF(U20=$D$5,$B$5,IF(U20=$D$6,$B$6,IF(U20=$D$7,$B$7,IF(U20=$D$8,$B$8,IF(U20=$D$9,$B$9,"")))))</f>
        <v/>
      </c>
      <c r="V19" s="1">
        <f>IF(V20=$D$5,$B$5,IF(V20=$D$6,$B$6,IF(V20=$D$7,$B$7,IF(V20=$D$8,$B$8,IF(V20=$D$9,$B$9,"")))))</f>
        <v/>
      </c>
      <c r="W19" s="1">
        <f>IF(W20=$D$5,$B$5,IF(W20=$D$6,$B$6,IF(W20=$D$7,$B$7,IF(W20=$D$8,$B$8,IF(W20=$D$9,$B$9,"")))))</f>
        <v/>
      </c>
      <c r="X19" s="1">
        <f>IF(X20=$D$5,$B$5,IF(X20=$D$6,$B$6,IF(X20=$D$7,$B$7,IF(X20=$D$8,$B$8,IF(X20=$D$9,$B$9,"")))))</f>
        <v/>
      </c>
      <c r="Y19" s="1">
        <f>IF(Y20=$D$5,$B$5,IF(Y20=$D$6,$B$6,IF(Y20=$D$7,$B$7,IF(Y20=$D$8,$B$8,IF(Y20=$D$9,$B$9,"")))))</f>
        <v/>
      </c>
      <c r="Z19" s="1">
        <f>IF(Z20=$D$5,$B$5,IF(Z20=$D$6,$B$6,IF(Z20=$D$7,$B$7,IF(Z20=$D$8,$B$8,IF(Z20=$D$9,$B$9,"")))))</f>
        <v/>
      </c>
      <c r="AA19" s="1">
        <f>IF(AA20=$D$5,$B$5,IF(AA20=$D$6,$B$6,IF(AA20=$D$7,$B$7,IF(AA20=$D$8,$B$8,IF(AA20=$D$9,$B$9,"")))))</f>
        <v/>
      </c>
      <c r="AB19" s="1">
        <f>IF(AB20=$D$5,$B$5,IF(AB20=$D$6,$B$6,IF(AB20=$D$7,$B$7,IF(AB20=$D$8,$B$8,IF(AB20=$D$9,$B$9,"")))))</f>
        <v/>
      </c>
      <c r="AC19" s="1">
        <f>IF(AC20=$D$5,$B$5,IF(AC20=$D$6,$B$6,IF(AC20=$D$7,$B$7,IF(AC20=$D$8,$B$8,IF(AC20=$D$9,$B$9,"")))))</f>
        <v/>
      </c>
      <c r="AD19" s="1">
        <f>IF(AD20=$D$5,$B$5,IF(AD20=$D$6,$B$6,IF(AD20=$D$7,$B$7,IF(AD20=$D$8,$B$8,IF(AD20=$D$9,$B$9,"")))))</f>
        <v/>
      </c>
      <c r="AE19" s="1">
        <f>IF(AE20=$D$5,$B$5,IF(AE20=$D$6,$B$6,IF(AE20=$D$7,$B$7,IF(AE20=$D$8,$B$8,IF(AE20=$D$9,$B$9,"")))))</f>
        <v/>
      </c>
      <c r="AF19" s="1">
        <f>IF(AF20=$D$5,$B$5,IF(AF20=$D$6,$B$6,IF(AF20=$D$7,$B$7,IF(AF20=$D$8,$B$8,IF(AF20=$D$9,$B$9,"")))))</f>
        <v/>
      </c>
      <c r="AG19" s="39">
        <f>IF(AG20=$D$5,$B$5,IF(AG20=$D$6,$B$6,IF(AG20=$D$7,$B$7,IF(AG20=$D$8,$B$8,IF(AG20=$D$9,$B$9,"")))))</f>
        <v/>
      </c>
      <c r="AH19" s="1">
        <f>IF(AH20=$D$5,$B$5,IF(AH20=$D$6,$B$6,IF(AH20=$D$7,$B$7,IF(AH20=$D$8,$B$8,IF(AH20=$D$9,$B$9,"")))))</f>
        <v/>
      </c>
      <c r="AI19" s="1">
        <f>IF(AI20=$D$5,$B$5,IF(AI20=$D$6,$B$6,IF(AI20=$D$7,$B$7,IF(AI20=$D$8,$B$8,IF(AI20=$D$9,$B$9,"")))))</f>
        <v/>
      </c>
      <c r="AJ19" s="1">
        <f>IF(AJ20=$D$5,$B$5,IF(AJ20=$D$6,$B$6,IF(AJ20=$D$7,$B$7,IF(AJ20=$D$8,$B$8,IF(AJ20=$D$9,$B$9,"")))))</f>
        <v/>
      </c>
      <c r="AK19" s="1">
        <f>IF(AK20=$D$5,$B$5,IF(AK20=$D$6,$B$6,IF(AK20=$D$7,$B$7,IF(AK20=$D$8,$B$8,IF(AK20=$D$9,$B$9,"")))))</f>
        <v/>
      </c>
      <c r="AL19" s="1">
        <f>IF(AL20=$D$5,$B$5,IF(AL20=$D$6,$B$6,IF(AL20=$D$7,$B$7,IF(AL20=$D$8,$B$8,IF(AL20=$D$9,$B$9,"")))))</f>
        <v/>
      </c>
      <c r="AM19" s="1">
        <f>IF(AM20=$D$5,$B$5,IF(AM20=$D$6,$B$6,IF(AM20=$D$7,$B$7,IF(AM20=$D$8,$B$8,IF(AM20=$D$9,$B$9,"")))))</f>
        <v/>
      </c>
      <c r="AN19" s="1">
        <f>IF(AN20=$D$5,$B$5,IF(AN20=$D$6,$B$6,IF(AN20=$D$7,$B$7,IF(AN20=$D$8,$B$8,IF(AN20=$D$9,$B$9,"")))))</f>
        <v/>
      </c>
      <c r="AO19" s="1">
        <f>IF(AO20=$D$5,$B$5,IF(AO20=$D$6,$B$6,IF(AO20=$D$7,$B$7,IF(AO20=$D$8,$B$8,IF(AO20=$D$9,$B$9,"")))))</f>
        <v/>
      </c>
      <c r="AP19" s="1">
        <f>IF(AP20=$D$5,$B$5,IF(AP20=$D$6,$B$6,IF(AP20=$D$7,$B$7,IF(AP20=$D$8,$B$8,IF(AP20=$D$9,$B$9,"")))))</f>
        <v/>
      </c>
      <c r="AQ19" s="1">
        <f>IF(AQ20=$D$5,$B$5,IF(AQ20=$D$6,$B$6,IF(AQ20=$D$7,$B$7,IF(AQ20=$D$8,$B$8,IF(AQ20=$D$9,$B$9,"")))))</f>
        <v/>
      </c>
      <c r="AR19" s="1">
        <f>IF(AR20=$D$5,$B$5,IF(AR20=$D$6,$B$6,IF(AR20=$D$7,$B$7,IF(AR20=$D$8,$B$8,IF(AR20=$D$9,$B$9,"")))))</f>
        <v/>
      </c>
      <c r="AS19" s="1">
        <f>IF(AS20=$D$5,$B$5,IF(AS20=$D$6,$B$6,IF(AS20=$D$7,$B$7,IF(AS20=$D$8,$B$8,IF(AS20=$D$9,$B$9,"")))))</f>
        <v/>
      </c>
      <c r="AT19" s="1">
        <f>IF(AT20=$D$5,$B$5,IF(AT20=$D$6,$B$6,IF(AT20=$D$7,$B$7,IF(AT20=$D$8,$B$8,IF(AT20=$D$9,$B$9,"")))))</f>
        <v/>
      </c>
      <c r="AU19" s="1">
        <f>IF(AU20=$D$5,$B$5,IF(AU20=$D$6,$B$6,IF(AU20=$D$7,$B$7,IF(AU20=$D$8,$B$8,IF(AU20=$D$9,$B$9,"")))))</f>
        <v/>
      </c>
      <c r="AV19" s="1">
        <f>IF(AV20=$D$5,$B$5,IF(AV20=$D$6,$B$6,IF(AV20=$D$7,$B$7,IF(AV20=$D$8,$B$8,IF(AV20=$D$9,$B$9,"")))))</f>
        <v/>
      </c>
      <c r="AW19" s="1">
        <f>IF(AW20=$D$5,$B$5,IF(AW20=$D$6,$B$6,IF(AW20=$D$7,$B$7,IF(AW20=$D$8,$B$8,IF(AW20=$D$9,$B$9,"")))))</f>
        <v/>
      </c>
      <c r="AX19" s="1">
        <f>IF(AX20=$D$5,$B$5,IF(AX20=$D$6,$B$6,IF(AX20=$D$7,$B$7,IF(AX20=$D$8,$B$8,IF(AX20=$D$9,$B$9,"")))))</f>
        <v/>
      </c>
      <c r="AY19" s="1">
        <f>IF(AY20=$D$5,$B$5,IF(AY20=$D$6,$B$6,IF(AY20=$D$7,$B$7,IF(AY20=$D$8,$B$8,IF(AY20=$D$9,$B$9,"")))))</f>
        <v/>
      </c>
      <c r="AZ19" s="1">
        <f>IF(AZ20=$D$5,$B$5,IF(AZ20=$D$6,$B$6,IF(AZ20=$D$7,$B$7,IF(AZ20=$D$8,$B$8,IF(AZ20=$D$9,$B$9,"")))))</f>
        <v/>
      </c>
      <c r="BA19" s="1">
        <f>IF(BA20=$D$5,$B$5,IF(BA20=$D$6,$B$6,IF(BA20=$D$7,$B$7,IF(BA20=$D$8,$B$8,IF(BA20=$D$9,$B$9,"")))))</f>
        <v/>
      </c>
      <c r="BB19" s="1">
        <f>IF(BB20=$D$5,$B$5,IF(BB20=$D$6,$B$6,IF(BB20=$D$7,$B$7,IF(BB20=$D$8,$B$8,IF(BB20=$D$9,$B$9,"")))))</f>
        <v/>
      </c>
      <c r="BC19" s="1">
        <f>IF(BC20=$D$5,$B$5,IF(BC20=$D$6,$B$6,IF(BC20=$D$7,$B$7,IF(BC20=$D$8,$B$8,IF(BC20=$D$9,$B$9,"")))))</f>
        <v/>
      </c>
      <c r="BD19" s="1">
        <f>IF(BD20=$D$5,$B$5,IF(BD20=$D$6,$B$6,IF(BD20=$D$7,$B$7,IF(BD20=$D$8,$B$8,IF(BD20=$D$9,$B$9,"")))))</f>
        <v/>
      </c>
      <c r="BE19" s="1">
        <f>IF(BE20=$D$5,$B$5,IF(BE20=$D$6,$B$6,IF(BE20=$D$7,$B$7,IF(BE20=$D$8,$B$8,IF(BE20=$D$9,$B$9,"")))))</f>
        <v/>
      </c>
      <c r="BF19" s="1">
        <f>IF(BF20=$D$5,$B$5,IF(BF20=$D$6,$B$6,IF(BF20=$D$7,$B$7,IF(BF20=$D$8,$B$8,IF(BF20=$D$9,$B$9,"")))))</f>
        <v/>
      </c>
      <c r="BG19" s="1">
        <f>IF(BG20=$D$5,$B$5,IF(BG20=$D$6,$B$6,IF(BG20=$D$7,$B$7,IF(BG20=$D$8,$B$8,IF(BG20=$D$9,$B$9,"")))))</f>
        <v/>
      </c>
      <c r="BH19" s="1">
        <f>IF(BH20=$D$5,$B$5,IF(BH20=$D$6,$B$6,IF(BH20=$D$7,$B$7,IF(BH20=$D$8,$B$8,IF(BH20=$D$9,$B$9,"")))))</f>
        <v/>
      </c>
      <c r="BI19" s="1">
        <f>IF(BI20=$D$5,$B$5,IF(BI20=$D$6,$B$6,IF(BI20=$D$7,$B$7,IF(BI20=$D$8,$B$8,IF(BI20=$D$9,$B$9,"")))))</f>
        <v/>
      </c>
      <c r="BJ19" s="1">
        <f>IF(BJ20=$D$5,$B$5,IF(BJ20=$D$6,$B$6,IF(BJ20=$D$7,$B$7,IF(BJ20=$D$8,$B$8,IF(BJ20=$D$9,$B$9,"")))))</f>
        <v/>
      </c>
      <c r="BK19" s="1">
        <f>IF(BK20=$D$5,$B$5,IF(BK20=$D$6,$B$6,IF(BK20=$D$7,$B$7,IF(BK20=$D$8,$B$8,IF(BK20=$D$9,$B$9,"")))))</f>
        <v/>
      </c>
      <c r="BL19" s="1">
        <f>IF(BL20=$D$5,$B$5,IF(BL20=$D$6,$B$6,IF(BL20=$D$7,$B$7,IF(BL20=$D$8,$B$8,IF(BL20=$D$9,$B$9,"")))))</f>
        <v/>
      </c>
      <c r="BM19" s="1">
        <f>IF(BM20=$D$5,$B$5,IF(BM20=$D$6,$B$6,IF(BM20=$D$7,$B$7,IF(BM20=$D$8,$B$8,IF(BM20=$D$9,$B$9,"")))))</f>
        <v/>
      </c>
      <c r="BN19" s="1">
        <f>IF(BN20=$D$5,$B$5,IF(BN20=$D$6,$B$6,IF(BN20=$D$7,$B$7,IF(BN20=$D$8,$B$8,IF(BN20=$D$9,$B$9,"")))))</f>
        <v/>
      </c>
      <c r="BO19" s="1">
        <f>IF(BO20=$D$5,$B$5,IF(BO20=$D$6,$B$6,IF(BO20=$D$7,$B$7,IF(BO20=$D$8,$B$8,IF(BO20=$D$9,$B$9,"")))))</f>
        <v/>
      </c>
      <c r="BP19" s="1">
        <f>IF(BP20=$D$5,$B$5,IF(BP20=$D$6,$B$6,IF(BP20=$D$7,$B$7,IF(BP20=$D$8,$B$8,IF(BP20=$D$9,$B$9,"")))))</f>
        <v/>
      </c>
      <c r="BQ19" s="1">
        <f>IF(BQ20=$D$5,$B$5,IF(BQ20=$D$6,$B$6,IF(BQ20=$D$7,$B$7,IF(BQ20=$D$8,$B$8,IF(BQ20=$D$9,$B$9,"")))))</f>
        <v/>
      </c>
    </row>
    <row r="20">
      <c r="H20" s="10" t="n">
        <v>2020</v>
      </c>
      <c r="I20" s="10" t="n">
        <v>2021</v>
      </c>
      <c r="J20" s="10" t="n">
        <v>2022</v>
      </c>
      <c r="K20" s="10" t="n">
        <v>2023</v>
      </c>
      <c r="L20" s="10" t="n">
        <v>2024</v>
      </c>
      <c r="M20" s="10" t="n">
        <v>2025</v>
      </c>
      <c r="N20" s="10" t="n">
        <v>2026</v>
      </c>
      <c r="O20" s="10" t="n">
        <v>2027</v>
      </c>
      <c r="P20" s="10" t="n">
        <v>2028</v>
      </c>
      <c r="Q20" s="10" t="n">
        <v>2029</v>
      </c>
      <c r="R20" s="10" t="n">
        <v>2030</v>
      </c>
      <c r="S20" s="10" t="n">
        <v>2031</v>
      </c>
      <c r="T20" s="10" t="n">
        <v>2032</v>
      </c>
      <c r="U20" s="10" t="n">
        <v>2033</v>
      </c>
      <c r="V20" s="10" t="n">
        <v>2034</v>
      </c>
      <c r="W20" s="10" t="n">
        <v>2035</v>
      </c>
      <c r="X20" s="10" t="n">
        <v>2036</v>
      </c>
      <c r="Y20" s="10" t="n">
        <v>2037</v>
      </c>
      <c r="Z20" s="10" t="n">
        <v>2038</v>
      </c>
      <c r="AA20" s="10" t="n">
        <v>2039</v>
      </c>
      <c r="AB20" s="10" t="n">
        <v>2040</v>
      </c>
      <c r="AC20" s="10" t="n">
        <v>2041</v>
      </c>
      <c r="AD20" s="10" t="n">
        <v>2042</v>
      </c>
      <c r="AE20" s="10" t="n">
        <v>2043</v>
      </c>
      <c r="AF20" s="10" t="n">
        <v>2044</v>
      </c>
      <c r="AG20" s="10" t="n">
        <v>2045</v>
      </c>
      <c r="AH20" s="10" t="n">
        <v>2046</v>
      </c>
      <c r="AI20" s="10" t="n">
        <v>2047</v>
      </c>
      <c r="AJ20" s="10" t="n">
        <v>2048</v>
      </c>
      <c r="AK20" s="10" t="n">
        <v>2049</v>
      </c>
      <c r="AL20" s="10" t="n">
        <v>2050</v>
      </c>
      <c r="AM20" s="10" t="n">
        <v>2051</v>
      </c>
      <c r="AN20" s="10" t="n">
        <v>2052</v>
      </c>
      <c r="AO20" s="10" t="n">
        <v>2053</v>
      </c>
      <c r="AP20" s="10" t="n">
        <v>2054</v>
      </c>
      <c r="AQ20" s="10" t="n">
        <v>2055</v>
      </c>
      <c r="AR20" s="10" t="n">
        <v>2056</v>
      </c>
      <c r="AS20" s="10" t="n">
        <v>2057</v>
      </c>
      <c r="AT20" s="10" t="n">
        <v>2058</v>
      </c>
      <c r="AU20" s="10" t="n">
        <v>2059</v>
      </c>
      <c r="AV20" s="10" t="n">
        <v>2060</v>
      </c>
      <c r="AW20" s="10" t="n">
        <v>2061</v>
      </c>
      <c r="AX20" s="10" t="n">
        <v>2062</v>
      </c>
      <c r="AY20" s="10" t="n">
        <v>2063</v>
      </c>
      <c r="AZ20" s="10" t="n">
        <v>2064</v>
      </c>
      <c r="BA20" s="10" t="n">
        <v>2065</v>
      </c>
      <c r="BB20" s="10" t="n">
        <v>2066</v>
      </c>
      <c r="BC20" s="10" t="n">
        <v>2067</v>
      </c>
      <c r="BD20" s="10" t="n">
        <v>2068</v>
      </c>
      <c r="BE20" s="10" t="n">
        <v>2069</v>
      </c>
      <c r="BF20" s="10" t="n">
        <v>2070</v>
      </c>
      <c r="BG20" s="10" t="n">
        <v>2071</v>
      </c>
      <c r="BH20" s="10" t="n">
        <v>2072</v>
      </c>
      <c r="BI20" s="10" t="n">
        <v>2073</v>
      </c>
      <c r="BJ20" s="10" t="n">
        <v>2074</v>
      </c>
      <c r="BK20" s="10" t="n">
        <v>2075</v>
      </c>
      <c r="BL20" s="10" t="n">
        <v>2076</v>
      </c>
      <c r="BM20" s="10" t="n">
        <v>2077</v>
      </c>
      <c r="BN20" s="10" t="n">
        <v>2078</v>
      </c>
      <c r="BO20" s="10" t="n">
        <v>2079</v>
      </c>
      <c r="BP20" s="10" t="n">
        <v>2080</v>
      </c>
      <c r="BQ20" s="10" t="n">
        <v>2081</v>
      </c>
    </row>
    <row r="22">
      <c r="B22" t="inlineStr">
        <is>
          <t>Discounting</t>
        </is>
      </c>
      <c r="C22" t="inlineStr">
        <is>
          <t>%</t>
        </is>
      </c>
      <c r="H22" s="9" t="n">
        <v>1</v>
      </c>
      <c r="I22" s="9">
        <f>H22/(1+$D$13)</f>
        <v/>
      </c>
      <c r="J22" s="9">
        <f>I22/(1+$D$13)</f>
        <v/>
      </c>
      <c r="K22" s="9">
        <f>J22/(1+$D$13)</f>
        <v/>
      </c>
      <c r="L22" s="9">
        <f>K22/(1+$D$13)</f>
        <v/>
      </c>
      <c r="M22" s="9">
        <f>L22/(1+$D$13)</f>
        <v/>
      </c>
      <c r="N22" s="9">
        <f>M22/(1+$D$13)</f>
        <v/>
      </c>
      <c r="O22" s="9">
        <f>N22/(1+$D$13)</f>
        <v/>
      </c>
      <c r="P22" s="9">
        <f>O22/(1+$D$13)</f>
        <v/>
      </c>
      <c r="Q22" s="9">
        <f>P22/(1+$D$13)</f>
        <v/>
      </c>
      <c r="R22" s="9">
        <f>Q22/(1+$D$13)</f>
        <v/>
      </c>
      <c r="S22" s="9">
        <f>R22/(1+$D$13)</f>
        <v/>
      </c>
      <c r="T22" s="9">
        <f>S22/(1+$D$13)</f>
        <v/>
      </c>
      <c r="U22" s="9">
        <f>T22/(1+$D$13)</f>
        <v/>
      </c>
      <c r="V22" s="9">
        <f>U22/(1+$D$13)</f>
        <v/>
      </c>
      <c r="W22" s="9">
        <f>V22/(1+$D$13)</f>
        <v/>
      </c>
      <c r="X22" s="9">
        <f>W22/(1+$D$13)</f>
        <v/>
      </c>
      <c r="Y22" s="9">
        <f>X22/(1+$D$13)</f>
        <v/>
      </c>
      <c r="Z22" s="9">
        <f>Y22/(1+$D$13)</f>
        <v/>
      </c>
      <c r="AA22" s="9">
        <f>Z22/(1+$D$13)</f>
        <v/>
      </c>
      <c r="AB22" s="9">
        <f>AA22/(1+$D$13)</f>
        <v/>
      </c>
      <c r="AC22" s="9">
        <f>AB22/(1+$D$13)</f>
        <v/>
      </c>
      <c r="AD22" s="9">
        <f>AC22/(1+$D$13)</f>
        <v/>
      </c>
      <c r="AE22" s="9">
        <f>AD22/(1+$D$13)</f>
        <v/>
      </c>
      <c r="AF22" s="9">
        <f>AE22/(1+$D$13)</f>
        <v/>
      </c>
      <c r="AG22" s="9">
        <f>AF22/(1+$D$13)</f>
        <v/>
      </c>
      <c r="AH22" s="9">
        <f>AG22/(1+$D$13)</f>
        <v/>
      </c>
      <c r="AI22" s="9">
        <f>AH22/(1+$D$13)</f>
        <v/>
      </c>
      <c r="AJ22" s="9">
        <f>AI22/(1+$D$13)</f>
        <v/>
      </c>
      <c r="AK22" s="9">
        <f>AJ22/(1+$D$13)</f>
        <v/>
      </c>
      <c r="AL22" s="9">
        <f>AK22/(1+$D$13)</f>
        <v/>
      </c>
      <c r="AM22" s="9">
        <f>AL22/(1+$D$13)</f>
        <v/>
      </c>
      <c r="AN22" s="9">
        <f>AM22/(1+$D$13)</f>
        <v/>
      </c>
      <c r="AO22" s="9">
        <f>AN22/(1+$D$13)</f>
        <v/>
      </c>
      <c r="AP22" s="9">
        <f>AO22/(1+$D$13)</f>
        <v/>
      </c>
      <c r="AQ22" s="9">
        <f>AP22/(1+$D$13)</f>
        <v/>
      </c>
      <c r="AR22" s="9">
        <f>AQ22/(1+$D$13)</f>
        <v/>
      </c>
      <c r="AS22" s="9">
        <f>AR22/(1+$D$13)</f>
        <v/>
      </c>
      <c r="AT22" s="9">
        <f>AS22/(1+$D$13)</f>
        <v/>
      </c>
      <c r="AU22" s="9">
        <f>AT22/(1+$D$13)</f>
        <v/>
      </c>
      <c r="AV22" s="9">
        <f>AU22/(1+$D$13)</f>
        <v/>
      </c>
      <c r="AW22" s="9">
        <f>AV22/(1+$D$13)</f>
        <v/>
      </c>
      <c r="AX22" s="9">
        <f>AW22/(1+$D$13)</f>
        <v/>
      </c>
      <c r="AY22" s="9">
        <f>AX22/(1+$D$13)</f>
        <v/>
      </c>
      <c r="AZ22" s="9">
        <f>AY22/(1+$D$13)</f>
        <v/>
      </c>
      <c r="BA22" s="9">
        <f>AZ22/(1+$D$13)</f>
        <v/>
      </c>
      <c r="BB22" s="9">
        <f>BA22/(1+$D$13)</f>
        <v/>
      </c>
      <c r="BC22" s="9">
        <f>BB22/(1+$D$13)</f>
        <v/>
      </c>
      <c r="BD22" s="9">
        <f>BC22/(1+$D$13)</f>
        <v/>
      </c>
      <c r="BE22" s="9">
        <f>BD22/(1+$D$13)</f>
        <v/>
      </c>
      <c r="BF22" s="9">
        <f>BE22/(1+$D$13)</f>
        <v/>
      </c>
      <c r="BG22" s="9">
        <f>BF22/(1+$D$13)</f>
        <v/>
      </c>
      <c r="BH22" s="9">
        <f>BG22/(1+$D$13)</f>
        <v/>
      </c>
      <c r="BI22" s="9">
        <f>BH22/(1+$D$13)</f>
        <v/>
      </c>
      <c r="BJ22" s="9">
        <f>BI22/(1+$D$13)</f>
        <v/>
      </c>
      <c r="BK22" s="9">
        <f>BJ22/(1+$D$13)</f>
        <v/>
      </c>
      <c r="BL22" s="9">
        <f>BK22/(1+$D$13)</f>
        <v/>
      </c>
      <c r="BM22" s="9">
        <f>BL22/(1+$D$13)</f>
        <v/>
      </c>
      <c r="BN22" s="9">
        <f>BM22/(1+$D$13)</f>
        <v/>
      </c>
      <c r="BO22" s="9">
        <f>BN22/(1+$D$13)</f>
        <v/>
      </c>
      <c r="BP22" s="9">
        <f>BO22/(1+$D$13)</f>
        <v/>
      </c>
      <c r="BQ22" s="9">
        <f>BP22/(1+$D$13)</f>
        <v/>
      </c>
    </row>
    <row r="24" ht="15" customHeight="1" thickBot="1">
      <c r="B24" s="11" t="inlineStr">
        <is>
          <t>Plant Output</t>
        </is>
      </c>
      <c r="C24" s="11" t="n"/>
      <c r="D24" s="11" t="n"/>
      <c r="E24" s="11" t="n"/>
      <c r="F24" s="11" t="inlineStr">
        <is>
          <t>Total</t>
        </is>
      </c>
    </row>
    <row r="25">
      <c r="B25" s="45" t="inlineStr">
        <is>
          <t>Gross load factor</t>
        </is>
      </c>
      <c r="C25" t="inlineStr">
        <is>
          <t>%</t>
        </is>
      </c>
      <c r="E25" t="inlineStr">
        <is>
          <t>First value in load factor trajectory relates to 1st year of operation</t>
        </is>
      </c>
      <c r="M25" s="9" t="n">
        <v>1</v>
      </c>
      <c r="N25" s="9" t="n">
        <v>1</v>
      </c>
      <c r="O25" s="9" t="n">
        <v>1</v>
      </c>
      <c r="P25" s="9" t="n">
        <v>1</v>
      </c>
      <c r="Q25" s="9" t="n">
        <v>1</v>
      </c>
      <c r="R25" s="9" t="n">
        <v>1</v>
      </c>
      <c r="S25" s="9" t="n">
        <v>1</v>
      </c>
      <c r="T25" s="9" t="n">
        <v>1</v>
      </c>
      <c r="U25" s="9" t="n">
        <v>1</v>
      </c>
      <c r="V25" s="9" t="n">
        <v>1</v>
      </c>
      <c r="W25" s="9" t="n">
        <v>1</v>
      </c>
      <c r="X25" s="9" t="n">
        <v>1</v>
      </c>
      <c r="Y25" s="9" t="n">
        <v>1</v>
      </c>
      <c r="Z25" s="9" t="n">
        <v>1</v>
      </c>
      <c r="AA25" s="9" t="n">
        <v>1</v>
      </c>
      <c r="AB25" s="9" t="n">
        <v>1</v>
      </c>
      <c r="AC25" s="9" t="n">
        <v>1</v>
      </c>
      <c r="AD25" s="9" t="n">
        <v>1</v>
      </c>
      <c r="AE25" s="9" t="n">
        <v>1</v>
      </c>
      <c r="AF25" s="9" t="n">
        <v>1</v>
      </c>
      <c r="AG25" s="9" t="n">
        <v>1</v>
      </c>
      <c r="AH25" s="9" t="n">
        <v>1</v>
      </c>
      <c r="AI25" s="9" t="n">
        <v>1</v>
      </c>
      <c r="AJ25" s="9" t="n">
        <v>1</v>
      </c>
      <c r="AK25" s="9" t="n">
        <v>1</v>
      </c>
      <c r="AL25" s="9" t="n"/>
      <c r="AM25" s="9" t="n"/>
      <c r="AN25" s="9" t="n"/>
      <c r="AO25" s="9" t="n"/>
      <c r="AP25" s="9" t="n"/>
      <c r="AQ25" s="9" t="n"/>
      <c r="AR25" s="9" t="n"/>
    </row>
    <row r="26">
      <c r="B26" s="45" t="inlineStr">
        <is>
          <t>Availability</t>
        </is>
      </c>
      <c r="C26" t="inlineStr">
        <is>
          <t>%</t>
        </is>
      </c>
      <c r="E26" t="inlineStr">
        <is>
          <t>First value in availability trajectory relates to 1st year of operation</t>
        </is>
      </c>
      <c r="M26" s="8" t="n">
        <v>0.93</v>
      </c>
      <c r="N26" s="8" t="n">
        <v>0.93</v>
      </c>
      <c r="O26" s="8" t="n">
        <v>0.93</v>
      </c>
      <c r="P26" s="8" t="n">
        <v>0.93</v>
      </c>
      <c r="Q26" s="8" t="n">
        <v>0.93</v>
      </c>
      <c r="R26" s="8" t="n">
        <v>0.93</v>
      </c>
      <c r="S26" s="8" t="n">
        <v>0.93</v>
      </c>
      <c r="T26" s="8" t="n">
        <v>0.93</v>
      </c>
      <c r="U26" s="8" t="n">
        <v>0.93</v>
      </c>
      <c r="V26" s="8" t="n">
        <v>0.93</v>
      </c>
      <c r="W26" s="8" t="n">
        <v>0.93</v>
      </c>
      <c r="X26" s="8" t="n">
        <v>0.93</v>
      </c>
      <c r="Y26" s="8" t="n">
        <v>0.93</v>
      </c>
      <c r="Z26" s="8" t="n">
        <v>0.93</v>
      </c>
      <c r="AA26" s="8" t="n">
        <v>0.93</v>
      </c>
      <c r="AB26" s="8" t="n">
        <v>0.93</v>
      </c>
      <c r="AC26" s="8" t="n">
        <v>0.93</v>
      </c>
      <c r="AD26" s="8" t="n">
        <v>0.93</v>
      </c>
      <c r="AE26" s="8" t="n">
        <v>0.93</v>
      </c>
      <c r="AF26" s="8" t="n">
        <v>0.93</v>
      </c>
      <c r="AG26" s="8" t="n">
        <v>0.93</v>
      </c>
      <c r="AH26" s="8" t="n">
        <v>0.93</v>
      </c>
      <c r="AI26" s="8" t="n">
        <v>0.93</v>
      </c>
      <c r="AJ26" s="8" t="n">
        <v>0.93</v>
      </c>
      <c r="AK26" s="8" t="n">
        <v>0.93</v>
      </c>
      <c r="AL26" s="12" t="n"/>
      <c r="AM26" s="12" t="n"/>
      <c r="AN26" s="12" t="n"/>
      <c r="AO26" s="12" t="n"/>
      <c r="AP26" s="12" t="n"/>
      <c r="AQ26" s="12" t="n"/>
      <c r="AR26" s="12" t="n"/>
    </row>
    <row r="27">
      <c r="B27" s="45" t="inlineStr">
        <is>
          <t>Generation</t>
        </is>
      </c>
      <c r="C27" t="inlineStr">
        <is>
          <t>MWh</t>
        </is>
      </c>
      <c r="E27" t="inlineStr">
        <is>
          <t>Net power output x Gross load factor x Availability x Hours per year</t>
        </is>
      </c>
      <c r="M27" s="13">
        <f>$D$11*M25*M26*$D$14</f>
        <v/>
      </c>
      <c r="N27" s="13">
        <f>$D$11*N25*N26*$D$14</f>
        <v/>
      </c>
      <c r="O27" s="13">
        <f>$D$11*O25*O26*$D$14</f>
        <v/>
      </c>
      <c r="P27" s="13">
        <f>$D$11*P25*P26*$D$14</f>
        <v/>
      </c>
      <c r="Q27" s="13">
        <f>$D$11*Q25*Q26*$D$14</f>
        <v/>
      </c>
      <c r="R27" s="13">
        <f>$D$11*R25*R26*$D$14</f>
        <v/>
      </c>
      <c r="S27" s="13">
        <f>$D$11*S25*S26*$D$14</f>
        <v/>
      </c>
      <c r="T27" s="13">
        <f>$D$11*T25*T26*$D$14</f>
        <v/>
      </c>
      <c r="U27" s="13">
        <f>$D$11*U25*U26*$D$14</f>
        <v/>
      </c>
      <c r="V27" s="13">
        <f>$D$11*V25*V26*$D$14</f>
        <v/>
      </c>
      <c r="W27" s="13">
        <f>$D$11*W25*W26*$D$14</f>
        <v/>
      </c>
      <c r="X27" s="13">
        <f>$D$11*X25*X26*$D$14</f>
        <v/>
      </c>
      <c r="Y27" s="13">
        <f>$D$11*Y25*Y26*$D$14</f>
        <v/>
      </c>
      <c r="Z27" s="13">
        <f>$D$11*Z25*Z26*$D$14</f>
        <v/>
      </c>
      <c r="AA27" s="13">
        <f>$D$11*AA25*AA26*$D$14</f>
        <v/>
      </c>
      <c r="AB27" s="13">
        <f>$D$11*AB25*AB26*$D$14</f>
        <v/>
      </c>
      <c r="AC27" s="13">
        <f>$D$11*AC25*AC26*$D$14</f>
        <v/>
      </c>
      <c r="AD27" s="13">
        <f>$D$11*AD25*AD26*$D$14</f>
        <v/>
      </c>
      <c r="AE27" s="13">
        <f>$D$11*AE25*AE26*$D$14</f>
        <v/>
      </c>
      <c r="AF27" s="13">
        <f>$D$11*AF25*AF26*$D$14</f>
        <v/>
      </c>
      <c r="AG27" s="13">
        <f>$D$11*AG25*AG26*$D$14</f>
        <v/>
      </c>
      <c r="AH27" s="13">
        <f>$D$11*AH25*AH26*$D$14</f>
        <v/>
      </c>
      <c r="AI27" s="13">
        <f>$D$11*AI25*AI26*$D$14</f>
        <v/>
      </c>
      <c r="AJ27" s="13">
        <f>$D$11*AJ25*AJ26*$D$14</f>
        <v/>
      </c>
      <c r="AK27" s="13">
        <f>$D$11*AK25*AK26*$D$14</f>
        <v/>
      </c>
      <c r="AL27" s="13" t="n"/>
      <c r="AM27" s="13" t="n"/>
      <c r="AN27" s="13" t="n"/>
      <c r="AO27" s="13" t="n"/>
      <c r="AP27" s="13" t="n"/>
      <c r="AQ27" s="13" t="n"/>
      <c r="AR27" s="13" t="n"/>
    </row>
    <row r="28">
      <c r="B28" s="45" t="inlineStr">
        <is>
          <t>Discounted generation</t>
        </is>
      </c>
      <c r="C28" t="inlineStr">
        <is>
          <t>MWh</t>
        </is>
      </c>
      <c r="E28" t="inlineStr">
        <is>
          <t>Generation x Discounting factor</t>
        </is>
      </c>
      <c r="F28" s="69">
        <f>SUM(H28:BQ28)</f>
        <v/>
      </c>
      <c r="M28" s="14">
        <f>M27*M22</f>
        <v/>
      </c>
      <c r="N28" s="14">
        <f>N27*N22</f>
        <v/>
      </c>
      <c r="O28" s="14">
        <f>O27*O22</f>
        <v/>
      </c>
      <c r="P28" s="14">
        <f>P27*P22</f>
        <v/>
      </c>
      <c r="Q28" s="14">
        <f>Q27*Q22</f>
        <v/>
      </c>
      <c r="R28" s="14">
        <f>R27*R22</f>
        <v/>
      </c>
      <c r="S28" s="14">
        <f>S27*S22</f>
        <v/>
      </c>
      <c r="T28" s="14">
        <f>T27*T22</f>
        <v/>
      </c>
      <c r="U28" s="14">
        <f>U27*U22</f>
        <v/>
      </c>
      <c r="V28" s="14">
        <f>V27*V22</f>
        <v/>
      </c>
      <c r="W28" s="14">
        <f>W27*W22</f>
        <v/>
      </c>
      <c r="X28" s="14">
        <f>X27*X22</f>
        <v/>
      </c>
      <c r="Y28" s="14">
        <f>Y27*Y22</f>
        <v/>
      </c>
      <c r="Z28" s="14">
        <f>Z27*Z22</f>
        <v/>
      </c>
      <c r="AA28" s="14">
        <f>AA27*AA22</f>
        <v/>
      </c>
      <c r="AB28" s="14">
        <f>AB27*AB22</f>
        <v/>
      </c>
      <c r="AC28" s="14">
        <f>AC27*AC22</f>
        <v/>
      </c>
      <c r="AD28" s="14">
        <f>AD27*AD22</f>
        <v/>
      </c>
      <c r="AE28" s="14">
        <f>AE27*AE22</f>
        <v/>
      </c>
      <c r="AF28" s="14">
        <f>AF27*AF22</f>
        <v/>
      </c>
      <c r="AG28" s="14">
        <f>AG27*AG22</f>
        <v/>
      </c>
      <c r="AH28" s="14">
        <f>AH27*AH22</f>
        <v/>
      </c>
      <c r="AI28" s="14">
        <f>AI27*AI22</f>
        <v/>
      </c>
      <c r="AJ28" s="14">
        <f>AJ27*AJ22</f>
        <v/>
      </c>
      <c r="AK28" s="14">
        <f>AK27*AK22</f>
        <v/>
      </c>
      <c r="AL28" s="14" t="n"/>
      <c r="AM28" s="14" t="n"/>
      <c r="AN28" s="14" t="n"/>
      <c r="AO28" s="14" t="n"/>
      <c r="AP28" s="14" t="n"/>
      <c r="AQ28" s="14" t="n"/>
      <c r="AR28" s="14" t="n"/>
    </row>
    <row r="29" ht="15" customHeight="1" thickBot="1"/>
    <row r="30" ht="15" customHeight="1" thickBot="1">
      <c r="B30" s="11" t="inlineStr">
        <is>
          <t>Pre-development</t>
        </is>
      </c>
      <c r="C30" s="11" t="n"/>
      <c r="D30" s="11" t="n"/>
      <c r="E30" s="11" t="n"/>
      <c r="F30" s="61">
        <f>F37*10^6/F28</f>
        <v/>
      </c>
    </row>
    <row r="31">
      <c r="B31" t="inlineStr">
        <is>
          <t>Phasing profile</t>
        </is>
      </c>
      <c r="C31" t="inlineStr">
        <is>
          <t>%</t>
        </is>
      </c>
      <c r="E31" t="inlineStr">
        <is>
          <t>First value in phasing profile relates to 1st year of pre-development</t>
        </is>
      </c>
      <c r="H31" s="51" t="n">
        <v>0.43</v>
      </c>
      <c r="I31" s="51" t="n">
        <v>0.57</v>
      </c>
    </row>
    <row r="32">
      <c r="B32" t="inlineStr">
        <is>
          <t>Pre-licensing costs, technical and design</t>
        </is>
      </c>
      <c r="C32" t="inlineStr">
        <is>
          <t>£/kW</t>
        </is>
      </c>
      <c r="F32" s="52" t="n">
        <v>10</v>
      </c>
    </row>
    <row r="33">
      <c r="C33" t="inlineStr">
        <is>
          <t>£m</t>
        </is>
      </c>
      <c r="E33" t="inlineStr">
        <is>
          <t>£/kW x Net power output (MW) x 1000 / 1000000 x phasing profile</t>
        </is>
      </c>
      <c r="F33" s="40">
        <f>F32*D11*1000*10^-6</f>
        <v/>
      </c>
      <c r="H33" s="62">
        <f>$F$33*H31</f>
        <v/>
      </c>
      <c r="I33" s="62">
        <f>$F$33*I31</f>
        <v/>
      </c>
    </row>
    <row r="34">
      <c r="B34" t="inlineStr">
        <is>
          <t>Regulatory + licensing + public enquiry</t>
        </is>
      </c>
      <c r="C34" t="inlineStr">
        <is>
          <t>£/kW</t>
        </is>
      </c>
      <c r="F34" s="63" t="n">
        <v>0</v>
      </c>
      <c r="H34" s="64" t="n"/>
      <c r="I34" s="64" t="n"/>
    </row>
    <row r="35">
      <c r="C35" t="inlineStr">
        <is>
          <t>£m</t>
        </is>
      </c>
      <c r="E35" t="inlineStr">
        <is>
          <t>£/kW x Net power output (MW) x 1000 / 1000000 x phasing profile</t>
        </is>
      </c>
      <c r="F35" s="40">
        <f>F34*D11*1000*10^-6</f>
        <v/>
      </c>
      <c r="H35" s="62">
        <f>$F$35*H31</f>
        <v/>
      </c>
      <c r="I35" s="62">
        <f>$F$35*I31</f>
        <v/>
      </c>
    </row>
    <row r="36">
      <c r="B36" t="inlineStr">
        <is>
          <t>Total pre-development costs</t>
        </is>
      </c>
      <c r="C36" t="inlineStr">
        <is>
          <t>£m</t>
        </is>
      </c>
      <c r="E36" t="inlineStr">
        <is>
          <t>Sum of pre-licensing + Regulatory</t>
        </is>
      </c>
      <c r="H36" s="65">
        <f>H33+H35</f>
        <v/>
      </c>
      <c r="I36" s="65">
        <f>I33+I35</f>
        <v/>
      </c>
    </row>
    <row r="37">
      <c r="B37" t="inlineStr">
        <is>
          <t>Discounted pre-development costs</t>
        </is>
      </c>
      <c r="C37" t="inlineStr">
        <is>
          <t>£m</t>
        </is>
      </c>
      <c r="E37" t="inlineStr">
        <is>
          <t>Pre-development costs x Discounting factor</t>
        </is>
      </c>
      <c r="F37" s="66">
        <f>SUM(H37:BQ37)</f>
        <v/>
      </c>
      <c r="H37" s="66">
        <f>H36*H22</f>
        <v/>
      </c>
      <c r="I37" s="66">
        <f>I36*I22</f>
        <v/>
      </c>
    </row>
    <row r="38" ht="15" customHeight="1" thickBot="1"/>
    <row r="39" ht="15" customHeight="1" thickBot="1">
      <c r="B39" s="11" t="inlineStr">
        <is>
          <t>Construction costs</t>
        </is>
      </c>
      <c r="C39" s="11" t="n"/>
      <c r="D39" s="11" t="n"/>
      <c r="E39" s="11" t="n"/>
      <c r="F39" s="61">
        <f>F46*10^6/F28</f>
        <v/>
      </c>
    </row>
    <row r="40">
      <c r="B40" t="inlineStr">
        <is>
          <t>Construction phasing profile</t>
        </is>
      </c>
      <c r="C40" t="inlineStr">
        <is>
          <t>%</t>
        </is>
      </c>
      <c r="E40" t="inlineStr">
        <is>
          <t>First year in phasing profile relates to 1st year of construction</t>
        </is>
      </c>
      <c r="J40" s="51" t="n">
        <v>0.4</v>
      </c>
      <c r="K40" s="51" t="n">
        <v>0.4</v>
      </c>
      <c r="L40" s="51" t="n">
        <v>0.2</v>
      </c>
    </row>
    <row r="41">
      <c r="B41" s="7" t="inlineStr">
        <is>
          <t>Capital cost</t>
        </is>
      </c>
      <c r="C41" t="inlineStr">
        <is>
          <t>£/kW</t>
        </is>
      </c>
      <c r="F41" s="54" t="n">
        <v>600</v>
      </c>
    </row>
    <row r="42">
      <c r="B42" t="inlineStr">
        <is>
          <t>Capital cost after accounting for cost adjustment</t>
        </is>
      </c>
      <c r="C42" t="inlineStr">
        <is>
          <t>£m</t>
        </is>
      </c>
      <c r="E42" t="inlineStr">
        <is>
          <t>£/kW x cost adjustment x Net power output (MW) x 1000 / 1000000 x phasing profile</t>
        </is>
      </c>
      <c r="F42" s="66">
        <f>(F41*D11*1000)*10^-6</f>
        <v/>
      </c>
      <c r="J42" s="66">
        <f>$F$42*J40</f>
        <v/>
      </c>
      <c r="K42" s="66">
        <f>$F$42*K40</f>
        <v/>
      </c>
      <c r="L42" s="66">
        <f>$F$42*L40</f>
        <v/>
      </c>
    </row>
    <row r="43">
      <c r="B43" t="inlineStr">
        <is>
          <t>Infrastructure cost</t>
        </is>
      </c>
      <c r="C43" t="inlineStr">
        <is>
          <t>£'000s</t>
        </is>
      </c>
      <c r="F43" s="70" t="n">
        <v>17300</v>
      </c>
      <c r="G43" s="68" t="n"/>
    </row>
    <row r="44">
      <c r="C44" t="inlineStr">
        <is>
          <t>£m</t>
        </is>
      </c>
      <c r="E44" t="inlineStr">
        <is>
          <t>£'000s /1000 x phasing profile</t>
        </is>
      </c>
      <c r="F44" s="66">
        <f>F43/1000</f>
        <v/>
      </c>
      <c r="J44" s="65">
        <f>$F$44*J40</f>
        <v/>
      </c>
      <c r="K44" s="65">
        <f>$F$44*K40</f>
        <v/>
      </c>
      <c r="L44" s="65">
        <f>$F$44*L40</f>
        <v/>
      </c>
      <c r="M44" s="68" t="n"/>
      <c r="N44" s="68" t="n"/>
    </row>
    <row r="45">
      <c r="B45" t="inlineStr">
        <is>
          <t>Totl construction costs</t>
        </is>
      </c>
      <c r="C45" t="inlineStr">
        <is>
          <t>£m</t>
        </is>
      </c>
      <c r="E45" t="inlineStr">
        <is>
          <t>Sum of capital costs + infrastructure costs</t>
        </is>
      </c>
      <c r="J45" s="66">
        <f>J42+J44</f>
        <v/>
      </c>
      <c r="K45" s="66">
        <f>K42+K44</f>
        <v/>
      </c>
      <c r="L45" s="66">
        <f>L42+L44</f>
        <v/>
      </c>
      <c r="M45" s="68" t="n"/>
      <c r="N45" s="68" t="n"/>
    </row>
    <row r="46">
      <c r="B46" t="inlineStr">
        <is>
          <t>Discounted construction costs</t>
        </is>
      </c>
      <c r="C46" t="inlineStr">
        <is>
          <t>£m</t>
        </is>
      </c>
      <c r="E46" t="inlineStr">
        <is>
          <t>Construction costs  x Discounting factor</t>
        </is>
      </c>
      <c r="F46" s="71">
        <f>SUM(J46:L46)</f>
        <v/>
      </c>
      <c r="J46" s="65">
        <f>J45*J22</f>
        <v/>
      </c>
      <c r="K46" s="65">
        <f>K45*K22</f>
        <v/>
      </c>
      <c r="L46" s="65">
        <f>L45*L22</f>
        <v/>
      </c>
      <c r="M46" s="68" t="n"/>
      <c r="N46" s="68" t="n"/>
    </row>
    <row r="47" ht="15" customHeight="1" thickBot="1"/>
    <row r="48" ht="15" customHeight="1" thickBot="1">
      <c r="B48" s="11" t="inlineStr">
        <is>
          <t>Fixed O&amp;M</t>
        </is>
      </c>
      <c r="C48" s="11" t="n"/>
      <c r="D48" s="11" t="n"/>
      <c r="E48" s="11" t="n"/>
      <c r="F48" s="61">
        <f>F56*10^6/F28</f>
        <v/>
      </c>
    </row>
    <row r="49">
      <c r="B49" t="inlineStr">
        <is>
          <t>Fixed O&amp;M</t>
        </is>
      </c>
      <c r="C49" t="inlineStr">
        <is>
          <t>£/MW</t>
        </is>
      </c>
      <c r="E49" t="inlineStr">
        <is>
          <t>First year in O&amp;M trajectory relates to 1st year of operation</t>
        </is>
      </c>
      <c r="M49" s="56" t="n">
        <v>14000</v>
      </c>
      <c r="N49" s="56" t="n">
        <v>14000</v>
      </c>
      <c r="O49" s="56" t="n">
        <v>14000</v>
      </c>
      <c r="P49" s="56" t="n">
        <v>14000</v>
      </c>
      <c r="Q49" s="56" t="n">
        <v>14000</v>
      </c>
      <c r="R49" s="56" t="n">
        <v>14000</v>
      </c>
      <c r="S49" s="56" t="n">
        <v>14000</v>
      </c>
      <c r="T49" s="56" t="n">
        <v>14000</v>
      </c>
      <c r="U49" s="56" t="n">
        <v>14000</v>
      </c>
      <c r="V49" s="56" t="n">
        <v>14000</v>
      </c>
      <c r="W49" s="56" t="n">
        <v>14000</v>
      </c>
      <c r="X49" s="56" t="n">
        <v>14000</v>
      </c>
      <c r="Y49" s="56" t="n">
        <v>14000</v>
      </c>
      <c r="Z49" s="56" t="n">
        <v>14000</v>
      </c>
      <c r="AA49" s="56" t="n">
        <v>14000</v>
      </c>
      <c r="AB49" s="56" t="n">
        <v>14000</v>
      </c>
      <c r="AC49" s="56" t="n">
        <v>14000</v>
      </c>
      <c r="AD49" s="56" t="n">
        <v>14000</v>
      </c>
      <c r="AE49" s="56" t="n">
        <v>14000</v>
      </c>
      <c r="AF49" s="56" t="n">
        <v>14000</v>
      </c>
      <c r="AG49" s="56" t="n">
        <v>14000</v>
      </c>
      <c r="AH49" s="56" t="n">
        <v>14000</v>
      </c>
      <c r="AI49" s="56" t="n">
        <v>14000</v>
      </c>
      <c r="AJ49" s="56" t="n">
        <v>14000</v>
      </c>
      <c r="AK49" s="56" t="n">
        <v>14000</v>
      </c>
      <c r="AL49" s="72" t="n"/>
      <c r="AM49" s="72" t="n"/>
      <c r="AN49" s="72" t="n"/>
      <c r="AO49" s="72" t="n"/>
      <c r="AP49" s="72" t="n"/>
      <c r="AQ49" s="72" t="n"/>
      <c r="AR49" s="72" t="n"/>
    </row>
    <row r="50">
      <c r="C50" t="inlineStr">
        <is>
          <t>£m</t>
        </is>
      </c>
      <c r="E50" t="inlineStr">
        <is>
          <t>£/MW x Net power output (MW) /1000000</t>
        </is>
      </c>
      <c r="M50" s="15">
        <f>M49*$D$11*10^-6</f>
        <v/>
      </c>
      <c r="N50" s="15">
        <f>N49*$D$11*10^-6</f>
        <v/>
      </c>
      <c r="O50" s="15">
        <f>O49*$D$11*10^-6</f>
        <v/>
      </c>
      <c r="P50" s="15">
        <f>P49*$D$11*10^-6</f>
        <v/>
      </c>
      <c r="Q50" s="15">
        <f>Q49*$D$11*10^-6</f>
        <v/>
      </c>
      <c r="R50" s="15">
        <f>R49*$D$11*10^-6</f>
        <v/>
      </c>
      <c r="S50" s="15">
        <f>S49*$D$11*10^-6</f>
        <v/>
      </c>
      <c r="T50" s="15">
        <f>T49*$D$11*10^-6</f>
        <v/>
      </c>
      <c r="U50" s="15">
        <f>U49*$D$11*10^-6</f>
        <v/>
      </c>
      <c r="V50" s="15">
        <f>V49*$D$11*10^-6</f>
        <v/>
      </c>
      <c r="W50" s="15">
        <f>W49*$D$11*10^-6</f>
        <v/>
      </c>
      <c r="X50" s="15">
        <f>X49*$D$11*10^-6</f>
        <v/>
      </c>
      <c r="Y50" s="15">
        <f>Y49*$D$11*10^-6</f>
        <v/>
      </c>
      <c r="Z50" s="15">
        <f>Z49*$D$11*10^-6</f>
        <v/>
      </c>
      <c r="AA50" s="15">
        <f>AA49*$D$11*10^-6</f>
        <v/>
      </c>
      <c r="AB50" s="15">
        <f>AB49*$D$11*10^-6</f>
        <v/>
      </c>
      <c r="AC50" s="15">
        <f>AC49*$D$11*10^-6</f>
        <v/>
      </c>
      <c r="AD50" s="15">
        <f>AD49*$D$11*10^-6</f>
        <v/>
      </c>
      <c r="AE50" s="15">
        <f>AE49*$D$11*10^-6</f>
        <v/>
      </c>
      <c r="AF50" s="15">
        <f>AF49*$D$11*10^-6</f>
        <v/>
      </c>
      <c r="AG50" s="15">
        <f>AG49*$D$11*10^-6</f>
        <v/>
      </c>
      <c r="AH50" s="15">
        <f>AH49*$D$11*10^-6</f>
        <v/>
      </c>
      <c r="AI50" s="15">
        <f>AI49*$D$11*10^-6</f>
        <v/>
      </c>
      <c r="AJ50" s="15">
        <f>AJ49*$D$11*10^-6</f>
        <v/>
      </c>
      <c r="AK50" s="15">
        <f>AK49*$D$11*10^-6</f>
        <v/>
      </c>
      <c r="AL50" s="68" t="n"/>
      <c r="AM50" s="68" t="n"/>
      <c r="AN50" s="68" t="n"/>
      <c r="AO50" s="68" t="n"/>
      <c r="AP50" s="68" t="n"/>
      <c r="AQ50" s="68" t="n"/>
      <c r="AR50" s="68" t="n"/>
    </row>
    <row r="51">
      <c r="B51" t="inlineStr">
        <is>
          <t>Insurance</t>
        </is>
      </c>
      <c r="C51" t="inlineStr">
        <is>
          <t>£/MW</t>
        </is>
      </c>
      <c r="M51" s="56" t="n">
        <v>2400</v>
      </c>
      <c r="N51" s="56" t="n">
        <v>2400</v>
      </c>
      <c r="O51" s="56" t="n">
        <v>2400</v>
      </c>
      <c r="P51" s="56" t="n">
        <v>2400</v>
      </c>
      <c r="Q51" s="56" t="n">
        <v>2400</v>
      </c>
      <c r="R51" s="56" t="n">
        <v>2400</v>
      </c>
      <c r="S51" s="56" t="n">
        <v>2400</v>
      </c>
      <c r="T51" s="56" t="n">
        <v>2400</v>
      </c>
      <c r="U51" s="56" t="n">
        <v>2400</v>
      </c>
      <c r="V51" s="56" t="n">
        <v>2400</v>
      </c>
      <c r="W51" s="56" t="n">
        <v>2400</v>
      </c>
      <c r="X51" s="56" t="n">
        <v>2400</v>
      </c>
      <c r="Y51" s="56" t="n">
        <v>2400</v>
      </c>
      <c r="Z51" s="56" t="n">
        <v>2400</v>
      </c>
      <c r="AA51" s="56" t="n">
        <v>2400</v>
      </c>
      <c r="AB51" s="56" t="n">
        <v>2400</v>
      </c>
      <c r="AC51" s="56" t="n">
        <v>2400</v>
      </c>
      <c r="AD51" s="56" t="n">
        <v>2400</v>
      </c>
      <c r="AE51" s="56" t="n">
        <v>2400</v>
      </c>
      <c r="AF51" s="56" t="n">
        <v>2400</v>
      </c>
      <c r="AG51" s="56" t="n">
        <v>2400</v>
      </c>
      <c r="AH51" s="56" t="n">
        <v>2400</v>
      </c>
      <c r="AI51" s="56" t="n">
        <v>2400</v>
      </c>
      <c r="AJ51" s="56" t="n">
        <v>2400</v>
      </c>
      <c r="AK51" s="56" t="n">
        <v>2400</v>
      </c>
      <c r="AL51" s="72" t="n"/>
      <c r="AM51" s="72" t="n"/>
      <c r="AN51" s="72" t="n"/>
      <c r="AO51" s="72" t="n"/>
      <c r="AP51" s="72" t="n"/>
      <c r="AQ51" s="72" t="n"/>
      <c r="AR51" s="72" t="n"/>
    </row>
    <row r="52">
      <c r="C52" t="inlineStr">
        <is>
          <t>£m</t>
        </is>
      </c>
      <c r="E52" t="inlineStr">
        <is>
          <t>£/MW x Net power output (MW) /1000000</t>
        </is>
      </c>
      <c r="M52" s="15">
        <f>M51*$D$11*10^-6</f>
        <v/>
      </c>
      <c r="N52" s="15">
        <f>N51*$D$11*10^-6</f>
        <v/>
      </c>
      <c r="O52" s="15">
        <f>O51*$D$11*10^-6</f>
        <v/>
      </c>
      <c r="P52" s="15">
        <f>P51*$D$11*10^-6</f>
        <v/>
      </c>
      <c r="Q52" s="15">
        <f>Q51*$D$11*10^-6</f>
        <v/>
      </c>
      <c r="R52" s="15">
        <f>R51*$D$11*10^-6</f>
        <v/>
      </c>
      <c r="S52" s="15">
        <f>S51*$D$11*10^-6</f>
        <v/>
      </c>
      <c r="T52" s="15">
        <f>T51*$D$11*10^-6</f>
        <v/>
      </c>
      <c r="U52" s="15">
        <f>U51*$D$11*10^-6</f>
        <v/>
      </c>
      <c r="V52" s="15">
        <f>V51*$D$11*10^-6</f>
        <v/>
      </c>
      <c r="W52" s="15">
        <f>W51*$D$11*10^-6</f>
        <v/>
      </c>
      <c r="X52" s="15">
        <f>X51*$D$11*10^-6</f>
        <v/>
      </c>
      <c r="Y52" s="15">
        <f>Y51*$D$11*10^-6</f>
        <v/>
      </c>
      <c r="Z52" s="15">
        <f>Z51*$D$11*10^-6</f>
        <v/>
      </c>
      <c r="AA52" s="15">
        <f>AA51*$D$11*10^-6</f>
        <v/>
      </c>
      <c r="AB52" s="15">
        <f>AB51*$D$11*10^-6</f>
        <v/>
      </c>
      <c r="AC52" s="15">
        <f>AC51*$D$11*10^-6</f>
        <v/>
      </c>
      <c r="AD52" s="15">
        <f>AD51*$D$11*10^-6</f>
        <v/>
      </c>
      <c r="AE52" s="15">
        <f>AE51*$D$11*10^-6</f>
        <v/>
      </c>
      <c r="AF52" s="15">
        <f>AF51*$D$11*10^-6</f>
        <v/>
      </c>
      <c r="AG52" s="15">
        <f>AG51*$D$11*10^-6</f>
        <v/>
      </c>
      <c r="AH52" s="15">
        <f>AH51*$D$11*10^-6</f>
        <v/>
      </c>
      <c r="AI52" s="15">
        <f>AI51*$D$11*10^-6</f>
        <v/>
      </c>
      <c r="AJ52" s="15">
        <f>AJ51*$D$11*10^-6</f>
        <v/>
      </c>
      <c r="AK52" s="15">
        <f>AK51*$D$11*10^-6</f>
        <v/>
      </c>
      <c r="AL52" s="68" t="n"/>
      <c r="AM52" s="68" t="n"/>
      <c r="AN52" s="68" t="n"/>
      <c r="AO52" s="68" t="n"/>
      <c r="AP52" s="68" t="n"/>
      <c r="AQ52" s="68" t="n"/>
      <c r="AR52" s="68" t="n"/>
    </row>
    <row r="53">
      <c r="B53" t="inlineStr">
        <is>
          <t>Connection and UoS charge</t>
        </is>
      </c>
      <c r="C53" t="inlineStr">
        <is>
          <t>£/MW</t>
        </is>
      </c>
      <c r="M53" s="56" t="n">
        <v>3800</v>
      </c>
      <c r="N53" s="56" t="n">
        <v>3800</v>
      </c>
      <c r="O53" s="56" t="n">
        <v>3800</v>
      </c>
      <c r="P53" s="56" t="n">
        <v>3800</v>
      </c>
      <c r="Q53" s="56" t="n">
        <v>3800</v>
      </c>
      <c r="R53" s="56" t="n">
        <v>3800</v>
      </c>
      <c r="S53" s="56" t="n">
        <v>3800</v>
      </c>
      <c r="T53" s="56" t="n">
        <v>3800</v>
      </c>
      <c r="U53" s="56" t="n">
        <v>3800</v>
      </c>
      <c r="V53" s="56" t="n">
        <v>3800</v>
      </c>
      <c r="W53" s="56" t="n">
        <v>3800</v>
      </c>
      <c r="X53" s="56" t="n">
        <v>3800</v>
      </c>
      <c r="Y53" s="56" t="n">
        <v>3800</v>
      </c>
      <c r="Z53" s="56" t="n">
        <v>3800</v>
      </c>
      <c r="AA53" s="56" t="n">
        <v>3800</v>
      </c>
      <c r="AB53" s="56" t="n">
        <v>3800</v>
      </c>
      <c r="AC53" s="56" t="n">
        <v>3800</v>
      </c>
      <c r="AD53" s="56" t="n">
        <v>3800</v>
      </c>
      <c r="AE53" s="56" t="n">
        <v>3800</v>
      </c>
      <c r="AF53" s="56" t="n">
        <v>3800</v>
      </c>
      <c r="AG53" s="56" t="n">
        <v>3800</v>
      </c>
      <c r="AH53" s="56" t="n">
        <v>3800</v>
      </c>
      <c r="AI53" s="56" t="n">
        <v>3800</v>
      </c>
      <c r="AJ53" s="56" t="n">
        <v>3800</v>
      </c>
      <c r="AK53" s="56" t="n">
        <v>3800</v>
      </c>
      <c r="AL53" s="72" t="n"/>
      <c r="AM53" s="72" t="n"/>
      <c r="AN53" s="72" t="n"/>
      <c r="AO53" s="72" t="n"/>
      <c r="AP53" s="72" t="n"/>
      <c r="AQ53" s="72" t="n"/>
      <c r="AR53" s="72" t="n"/>
    </row>
    <row r="54">
      <c r="C54" t="inlineStr">
        <is>
          <t>£m</t>
        </is>
      </c>
      <c r="E54" t="inlineStr">
        <is>
          <t>£/MW x Net power output (MW) /1000000</t>
        </is>
      </c>
      <c r="M54" s="15">
        <f>M53*$D$11*10^-6</f>
        <v/>
      </c>
      <c r="N54" s="15">
        <f>N53*$D$11*10^-6</f>
        <v/>
      </c>
      <c r="O54" s="15">
        <f>O53*$D$11*10^-6</f>
        <v/>
      </c>
      <c r="P54" s="15">
        <f>P53*$D$11*10^-6</f>
        <v/>
      </c>
      <c r="Q54" s="15">
        <f>Q53*$D$11*10^-6</f>
        <v/>
      </c>
      <c r="R54" s="15">
        <f>R53*$D$11*10^-6</f>
        <v/>
      </c>
      <c r="S54" s="15">
        <f>S53*$D$11*10^-6</f>
        <v/>
      </c>
      <c r="T54" s="15">
        <f>T53*$D$11*10^-6</f>
        <v/>
      </c>
      <c r="U54" s="15">
        <f>U53*$D$11*10^-6</f>
        <v/>
      </c>
      <c r="V54" s="15">
        <f>V53*$D$11*10^-6</f>
        <v/>
      </c>
      <c r="W54" s="15">
        <f>W53*$D$11*10^-6</f>
        <v/>
      </c>
      <c r="X54" s="15">
        <f>X53*$D$11*10^-6</f>
        <v/>
      </c>
      <c r="Y54" s="15">
        <f>Y53*$D$11*10^-6</f>
        <v/>
      </c>
      <c r="Z54" s="15">
        <f>Z53*$D$11*10^-6</f>
        <v/>
      </c>
      <c r="AA54" s="15">
        <f>AA53*$D$11*10^-6</f>
        <v/>
      </c>
      <c r="AB54" s="15">
        <f>AB53*$D$11*10^-6</f>
        <v/>
      </c>
      <c r="AC54" s="15">
        <f>AC53*$D$11*10^-6</f>
        <v/>
      </c>
      <c r="AD54" s="15">
        <f>AD53*$D$11*10^-6</f>
        <v/>
      </c>
      <c r="AE54" s="15">
        <f>AE53*$D$11*10^-6</f>
        <v/>
      </c>
      <c r="AF54" s="15">
        <f>AF53*$D$11*10^-6</f>
        <v/>
      </c>
      <c r="AG54" s="15">
        <f>AG53*$D$11*10^-6</f>
        <v/>
      </c>
      <c r="AH54" s="15">
        <f>AH53*$D$11*10^-6</f>
        <v/>
      </c>
      <c r="AI54" s="15">
        <f>AI53*$D$11*10^-6</f>
        <v/>
      </c>
      <c r="AJ54" s="15">
        <f>AJ53*$D$11*10^-6</f>
        <v/>
      </c>
      <c r="AK54" s="15">
        <f>AK53*$D$11*10^-6</f>
        <v/>
      </c>
      <c r="AL54" s="68" t="n"/>
      <c r="AM54" s="68" t="n"/>
      <c r="AN54" s="68" t="n"/>
      <c r="AO54" s="68" t="n"/>
      <c r="AP54" s="68" t="n"/>
      <c r="AQ54" s="68" t="n"/>
      <c r="AR54" s="68" t="n"/>
    </row>
    <row r="55">
      <c r="B55" t="inlineStr">
        <is>
          <t>Total fixed O&amp;M</t>
        </is>
      </c>
      <c r="C55" t="inlineStr">
        <is>
          <t>£m</t>
        </is>
      </c>
      <c r="E55" t="inlineStr">
        <is>
          <t>Fixed O&amp;M + Insurance + Connection and UoS charge</t>
        </is>
      </c>
      <c r="M55" s="24">
        <f>M50+M52+M54</f>
        <v/>
      </c>
      <c r="N55" s="24">
        <f>N50+N52+N54</f>
        <v/>
      </c>
      <c r="O55" s="65">
        <f>O50+O52+O54</f>
        <v/>
      </c>
      <c r="P55" s="65">
        <f>P50+P52+P54</f>
        <v/>
      </c>
      <c r="Q55" s="65">
        <f>Q50+Q52+Q54</f>
        <v/>
      </c>
      <c r="R55" s="65">
        <f>R50+R52+R54</f>
        <v/>
      </c>
      <c r="S55" s="65">
        <f>S50+S52+S54</f>
        <v/>
      </c>
      <c r="T55" s="65">
        <f>T50+T52+T54</f>
        <v/>
      </c>
      <c r="U55" s="65">
        <f>U50+U52+U54</f>
        <v/>
      </c>
      <c r="V55" s="65">
        <f>V50+V52+V54</f>
        <v/>
      </c>
      <c r="W55" s="65">
        <f>W50+W52+W54</f>
        <v/>
      </c>
      <c r="X55" s="65">
        <f>X50+X52+X54</f>
        <v/>
      </c>
      <c r="Y55" s="65">
        <f>Y50+Y52+Y54</f>
        <v/>
      </c>
      <c r="Z55" s="65">
        <f>Z50+Z52+Z54</f>
        <v/>
      </c>
      <c r="AA55" s="65">
        <f>AA50+AA52+AA54</f>
        <v/>
      </c>
      <c r="AB55" s="65">
        <f>AB50+AB52+AB54</f>
        <v/>
      </c>
      <c r="AC55" s="65">
        <f>AC50+AC52+AC54</f>
        <v/>
      </c>
      <c r="AD55" s="65">
        <f>AD50+AD52+AD54</f>
        <v/>
      </c>
      <c r="AE55" s="65">
        <f>AE50+AE52+AE54</f>
        <v/>
      </c>
      <c r="AF55" s="65">
        <f>AF50+AF52+AF54</f>
        <v/>
      </c>
      <c r="AG55" s="65">
        <f>AG50+AG52+AG54</f>
        <v/>
      </c>
      <c r="AH55" s="65">
        <f>AH50+AH52+AH54</f>
        <v/>
      </c>
      <c r="AI55" s="65">
        <f>AI50+AI52+AI54</f>
        <v/>
      </c>
      <c r="AJ55" s="65">
        <f>AJ50+AJ52+AJ54</f>
        <v/>
      </c>
      <c r="AK55" s="65">
        <f>AK50+AK52+AK54</f>
        <v/>
      </c>
      <c r="AL55" s="68" t="n"/>
      <c r="AM55" s="68" t="n"/>
      <c r="AN55" s="68" t="n"/>
      <c r="AO55" s="68" t="n"/>
      <c r="AP55" s="68" t="n"/>
      <c r="AQ55" s="68" t="n"/>
      <c r="AR55" s="68" t="n"/>
    </row>
    <row r="56">
      <c r="B56" t="inlineStr">
        <is>
          <t>Discounted Total Fixed O&amp;M</t>
        </is>
      </c>
      <c r="C56" t="inlineStr">
        <is>
          <t>£m</t>
        </is>
      </c>
      <c r="E56" t="inlineStr">
        <is>
          <t>Total Fixed O&amp;M x Discounting factor</t>
        </is>
      </c>
      <c r="F56" s="65">
        <f>SUM(M56:AK56)</f>
        <v/>
      </c>
      <c r="M56" s="15">
        <f>M55*M22</f>
        <v/>
      </c>
      <c r="N56" s="15">
        <f>N55*N22</f>
        <v/>
      </c>
      <c r="O56" s="66">
        <f>O55*O22</f>
        <v/>
      </c>
      <c r="P56" s="66">
        <f>P55*P22</f>
        <v/>
      </c>
      <c r="Q56" s="66">
        <f>Q55*Q22</f>
        <v/>
      </c>
      <c r="R56" s="66">
        <f>R55*R22</f>
        <v/>
      </c>
      <c r="S56" s="66">
        <f>S55*S22</f>
        <v/>
      </c>
      <c r="T56" s="66">
        <f>T55*T22</f>
        <v/>
      </c>
      <c r="U56" s="66">
        <f>U55*U22</f>
        <v/>
      </c>
      <c r="V56" s="66">
        <f>V55*V22</f>
        <v/>
      </c>
      <c r="W56" s="66">
        <f>W55*W22</f>
        <v/>
      </c>
      <c r="X56" s="66">
        <f>X55*X22</f>
        <v/>
      </c>
      <c r="Y56" s="66">
        <f>Y55*Y22</f>
        <v/>
      </c>
      <c r="Z56" s="66">
        <f>Z55*Z22</f>
        <v/>
      </c>
      <c r="AA56" s="66">
        <f>AA55*AA22</f>
        <v/>
      </c>
      <c r="AB56" s="66">
        <f>AB55*AB22</f>
        <v/>
      </c>
      <c r="AC56" s="66">
        <f>AC55*AC22</f>
        <v/>
      </c>
      <c r="AD56" s="66">
        <f>AD55*AD22</f>
        <v/>
      </c>
      <c r="AE56" s="66">
        <f>AE55*AE22</f>
        <v/>
      </c>
      <c r="AF56" s="66">
        <f>AF55*AF22</f>
        <v/>
      </c>
      <c r="AG56" s="66">
        <f>AG55*AG22</f>
        <v/>
      </c>
      <c r="AH56" s="66">
        <f>AH55*AH22</f>
        <v/>
      </c>
      <c r="AI56" s="66">
        <f>AI55*AI22</f>
        <v/>
      </c>
      <c r="AJ56" s="66">
        <f>AJ55*AJ22</f>
        <v/>
      </c>
      <c r="AK56" s="66">
        <f>AK55*AK22</f>
        <v/>
      </c>
      <c r="AL56" s="68" t="n"/>
      <c r="AM56" s="68" t="n"/>
      <c r="AN56" s="68" t="n"/>
      <c r="AO56" s="68" t="n"/>
      <c r="AP56" s="68" t="n"/>
      <c r="AQ56" s="68" t="n"/>
      <c r="AR56" s="68" t="n"/>
    </row>
    <row r="57" ht="15" customHeight="1" thickBot="1"/>
    <row r="58" ht="15" customHeight="1" thickBot="1">
      <c r="B58" s="11" t="inlineStr">
        <is>
          <t>Variable O&amp;M</t>
        </is>
      </c>
      <c r="C58" s="11" t="n"/>
      <c r="D58" s="11" t="n"/>
      <c r="E58" s="11" t="n"/>
      <c r="F58" s="61">
        <f>F61*10^6/F28</f>
        <v/>
      </c>
    </row>
    <row r="59">
      <c r="B59" t="inlineStr">
        <is>
          <t>Variable O&amp;M</t>
        </is>
      </c>
      <c r="C59" t="inlineStr">
        <is>
          <t>£/MWh</t>
        </is>
      </c>
      <c r="E59" t="inlineStr">
        <is>
          <t>First year in O&amp;M trajectory relates to 1st year of operation</t>
        </is>
      </c>
      <c r="M59" s="54" t="n">
        <v>2</v>
      </c>
      <c r="N59" s="54" t="n">
        <v>2</v>
      </c>
      <c r="O59" s="54" t="n">
        <v>2</v>
      </c>
      <c r="P59" s="54" t="n">
        <v>2</v>
      </c>
      <c r="Q59" s="54" t="n">
        <v>2</v>
      </c>
      <c r="R59" s="54" t="n">
        <v>2</v>
      </c>
      <c r="S59" s="54" t="n">
        <v>2</v>
      </c>
      <c r="T59" s="54" t="n">
        <v>2</v>
      </c>
      <c r="U59" s="54" t="n">
        <v>2</v>
      </c>
      <c r="V59" s="54" t="n">
        <v>2</v>
      </c>
      <c r="W59" s="54" t="n">
        <v>2</v>
      </c>
      <c r="X59" s="54" t="n">
        <v>2</v>
      </c>
      <c r="Y59" s="54" t="n">
        <v>2</v>
      </c>
      <c r="Z59" s="54" t="n">
        <v>2</v>
      </c>
      <c r="AA59" s="54" t="n">
        <v>2</v>
      </c>
      <c r="AB59" s="54" t="n">
        <v>2</v>
      </c>
      <c r="AC59" s="54" t="n">
        <v>2</v>
      </c>
      <c r="AD59" s="54" t="n">
        <v>2</v>
      </c>
      <c r="AE59" s="54" t="n">
        <v>2</v>
      </c>
      <c r="AF59" s="54" t="n">
        <v>2</v>
      </c>
      <c r="AG59" s="54" t="n">
        <v>2</v>
      </c>
      <c r="AH59" s="54" t="n">
        <v>2</v>
      </c>
      <c r="AI59" s="54" t="n">
        <v>2</v>
      </c>
      <c r="AJ59" s="54" t="n">
        <v>2</v>
      </c>
      <c r="AK59" s="54" t="n">
        <v>2</v>
      </c>
    </row>
    <row r="60">
      <c r="C60" t="inlineStr">
        <is>
          <t>£m</t>
        </is>
      </c>
      <c r="E60" t="inlineStr">
        <is>
          <t>£/MWh x cost adjustment factor x generation /1000000</t>
        </is>
      </c>
      <c r="M60" s="66">
        <f>M59*M27*10^-6</f>
        <v/>
      </c>
      <c r="N60" s="66">
        <f>N59*N27*10^-6</f>
        <v/>
      </c>
      <c r="O60" s="66">
        <f>O59*O27*10^-6</f>
        <v/>
      </c>
      <c r="P60" s="66">
        <f>P59*P27*10^-6</f>
        <v/>
      </c>
      <c r="Q60" s="66">
        <f>Q59*Q27*10^-6</f>
        <v/>
      </c>
      <c r="R60" s="66">
        <f>R59*R27*10^-6</f>
        <v/>
      </c>
      <c r="S60" s="66">
        <f>S59*S27*10^-6</f>
        <v/>
      </c>
      <c r="T60" s="66">
        <f>T59*T27*10^-6</f>
        <v/>
      </c>
      <c r="U60" s="66">
        <f>U59*U27*10^-6</f>
        <v/>
      </c>
      <c r="V60" s="66">
        <f>V59*V27*10^-6</f>
        <v/>
      </c>
      <c r="W60" s="66">
        <f>W59*W27*10^-6</f>
        <v/>
      </c>
      <c r="X60" s="66">
        <f>X59*X27*10^-6</f>
        <v/>
      </c>
      <c r="Y60" s="66">
        <f>Y59*Y27*10^-6</f>
        <v/>
      </c>
      <c r="Z60" s="66">
        <f>Z59*Z27*10^-6</f>
        <v/>
      </c>
      <c r="AA60" s="66">
        <f>AA59*AA27*10^-6</f>
        <v/>
      </c>
      <c r="AB60" s="66">
        <f>AB59*AB27*10^-6</f>
        <v/>
      </c>
      <c r="AC60" s="66">
        <f>AC59*AC27*10^-6</f>
        <v/>
      </c>
      <c r="AD60" s="66">
        <f>AD59*AD27*10^-6</f>
        <v/>
      </c>
      <c r="AE60" s="66">
        <f>AE59*AE27*10^-6</f>
        <v/>
      </c>
      <c r="AF60" s="66">
        <f>AF59*AF27*10^-6</f>
        <v/>
      </c>
      <c r="AG60" s="66">
        <f>AG59*AG27*10^-6</f>
        <v/>
      </c>
      <c r="AH60" s="66">
        <f>AH59*AH27*10^-6</f>
        <v/>
      </c>
      <c r="AI60" s="66">
        <f>AI59*AI27*10^-6</f>
        <v/>
      </c>
      <c r="AJ60" s="66">
        <f>AJ59*AJ27*10^-6</f>
        <v/>
      </c>
      <c r="AK60" s="66">
        <f>AK59*AK27*10^-6</f>
        <v/>
      </c>
    </row>
    <row r="61">
      <c r="B61" t="inlineStr">
        <is>
          <t>Discounted Variable O&amp;M</t>
        </is>
      </c>
      <c r="C61" t="inlineStr">
        <is>
          <t>£m</t>
        </is>
      </c>
      <c r="E61" t="inlineStr">
        <is>
          <t>Variable O&amp;M x Discounting factor</t>
        </is>
      </c>
      <c r="F61" s="65">
        <f>SUM(M61:AK61)</f>
        <v/>
      </c>
      <c r="M61" s="65">
        <f>M60*M22</f>
        <v/>
      </c>
      <c r="N61" s="65">
        <f>N60*N22</f>
        <v/>
      </c>
      <c r="O61" s="65">
        <f>O60*O22</f>
        <v/>
      </c>
      <c r="P61" s="65">
        <f>P60*P22</f>
        <v/>
      </c>
      <c r="Q61" s="65">
        <f>Q60*Q22</f>
        <v/>
      </c>
      <c r="R61" s="65">
        <f>R60*R22</f>
        <v/>
      </c>
      <c r="S61" s="65">
        <f>S60*S22</f>
        <v/>
      </c>
      <c r="T61" s="65">
        <f>T60*T22</f>
        <v/>
      </c>
      <c r="U61" s="65">
        <f>U60*U22</f>
        <v/>
      </c>
      <c r="V61" s="65">
        <f>V60*V22</f>
        <v/>
      </c>
      <c r="W61" s="65">
        <f>W60*W22</f>
        <v/>
      </c>
      <c r="X61" s="65">
        <f>X60*X22</f>
        <v/>
      </c>
      <c r="Y61" s="65">
        <f>Y60*Y22</f>
        <v/>
      </c>
      <c r="Z61" s="65">
        <f>Z60*Z22</f>
        <v/>
      </c>
      <c r="AA61" s="65">
        <f>AA60*AA22</f>
        <v/>
      </c>
      <c r="AB61" s="65">
        <f>AB60*AB22</f>
        <v/>
      </c>
      <c r="AC61" s="65">
        <f>AC60*AC22</f>
        <v/>
      </c>
      <c r="AD61" s="65">
        <f>AD60*AD22</f>
        <v/>
      </c>
      <c r="AE61" s="65">
        <f>AE60*AE22</f>
        <v/>
      </c>
      <c r="AF61" s="65">
        <f>AF60*AF22</f>
        <v/>
      </c>
      <c r="AG61" s="65">
        <f>AG60*AG22</f>
        <v/>
      </c>
      <c r="AH61" s="65">
        <f>AH60*AH22</f>
        <v/>
      </c>
      <c r="AI61" s="65">
        <f>AI60*AI22</f>
        <v/>
      </c>
      <c r="AJ61" s="65">
        <f>AJ60*AJ22</f>
        <v/>
      </c>
      <c r="AK61" s="65">
        <f>AK60*AK22</f>
        <v/>
      </c>
    </row>
    <row r="62" ht="15" customHeight="1" thickBot="1"/>
    <row r="63" ht="15" customHeight="1" thickBot="1">
      <c r="B63" s="11" t="inlineStr">
        <is>
          <t>Fuel costs</t>
        </is>
      </c>
      <c r="C63" s="11" t="n"/>
      <c r="D63" s="11" t="n"/>
      <c r="E63" s="11" t="n"/>
      <c r="F63" s="61">
        <f>F68*10^6/F28</f>
        <v/>
      </c>
      <c r="AL63" s="68" t="n"/>
      <c r="AM63" s="68" t="n"/>
      <c r="AN63" s="68" t="n"/>
      <c r="AO63" s="68" t="n"/>
      <c r="AP63" s="68" t="n"/>
      <c r="AQ63" s="68" t="n"/>
      <c r="AR63" s="68" t="n"/>
      <c r="AS63" s="68" t="n"/>
    </row>
    <row r="64">
      <c r="B64" t="inlineStr">
        <is>
          <t>Fuel price</t>
        </is>
      </c>
      <c r="C64" t="inlineStr">
        <is>
          <t>£/Therm</t>
        </is>
      </c>
      <c r="M64" s="63" t="n">
        <v>0.6410560041016109</v>
      </c>
      <c r="N64" s="63" t="n">
        <v>0.5633522460286884</v>
      </c>
      <c r="O64" s="63" t="n">
        <v>0.5827781855469191</v>
      </c>
      <c r="P64" s="63" t="n">
        <v>0.5924911553060342</v>
      </c>
      <c r="Q64" s="63" t="n">
        <v>0.611917094824265</v>
      </c>
      <c r="R64" s="63" t="n">
        <v>0.6216300645833803</v>
      </c>
      <c r="S64" s="63" t="n">
        <v>0.6313430343424956</v>
      </c>
      <c r="T64" s="63" t="n">
        <v>0.6410560041016109</v>
      </c>
      <c r="U64" s="63" t="n">
        <v>0.6507689738607263</v>
      </c>
      <c r="V64" s="63" t="n">
        <v>0.6604819436198416</v>
      </c>
      <c r="W64" s="63" t="n">
        <v>0.6701949133789569</v>
      </c>
      <c r="X64" s="63" t="n">
        <v>0.6701949133789569</v>
      </c>
      <c r="Y64" s="63" t="n">
        <v>0.6701949133789569</v>
      </c>
      <c r="Z64" s="63" t="n">
        <v>0.6701949133789569</v>
      </c>
      <c r="AA64" s="63" t="n">
        <v>0.6701949133789569</v>
      </c>
      <c r="AB64" s="63" t="n">
        <v>0.6701949133789569</v>
      </c>
      <c r="AC64" s="63" t="n">
        <v>0.6701949133789569</v>
      </c>
      <c r="AD64" s="63" t="n">
        <v>0.6701949133789569</v>
      </c>
      <c r="AE64" s="63" t="n">
        <v>0.6701949133789569</v>
      </c>
      <c r="AF64" s="63" t="n">
        <v>0.6701949133789569</v>
      </c>
      <c r="AG64" s="63" t="n">
        <v>0.6701949133789569</v>
      </c>
      <c r="AH64" s="63" t="n">
        <v>0.6701949133789569</v>
      </c>
      <c r="AI64" s="63" t="n">
        <v>0.6701949133789569</v>
      </c>
      <c r="AJ64" s="63" t="n">
        <v>0.6701949133789569</v>
      </c>
      <c r="AK64" s="63" t="n">
        <v>0.6701949133789569</v>
      </c>
      <c r="AL64" s="68" t="n"/>
      <c r="AM64" s="68" t="n"/>
      <c r="AN64" s="68" t="n"/>
      <c r="AO64" s="68" t="n"/>
      <c r="AP64" s="68" t="n"/>
      <c r="AQ64" s="68" t="n"/>
      <c r="AR64" s="68" t="n"/>
      <c r="AS64" s="68" t="n"/>
    </row>
    <row r="65">
      <c r="B65" t="inlineStr">
        <is>
          <t>Fuel consumption</t>
        </is>
      </c>
      <c r="C65" t="inlineStr">
        <is>
          <t>MWh</t>
        </is>
      </c>
      <c r="E65" t="inlineStr">
        <is>
          <t>Generation / fuel efficiency (LHV)</t>
        </is>
      </c>
      <c r="M65" s="14">
        <f>M27/$D$12</f>
        <v/>
      </c>
      <c r="N65" s="14">
        <f>N27/$D$12</f>
        <v/>
      </c>
      <c r="O65" s="14">
        <f>O27/$D$12</f>
        <v/>
      </c>
      <c r="P65" s="14">
        <f>P27/$D$12</f>
        <v/>
      </c>
      <c r="Q65" s="14">
        <f>Q27/$D$12</f>
        <v/>
      </c>
      <c r="R65" s="14">
        <f>R27/$D$12</f>
        <v/>
      </c>
      <c r="S65" s="14">
        <f>S27/$D$12</f>
        <v/>
      </c>
      <c r="T65" s="14">
        <f>T27/$D$12</f>
        <v/>
      </c>
      <c r="U65" s="14">
        <f>U27/$D$12</f>
        <v/>
      </c>
      <c r="V65" s="14">
        <f>V27/$D$12</f>
        <v/>
      </c>
      <c r="W65" s="14">
        <f>W27/$D$12</f>
        <v/>
      </c>
      <c r="X65" s="14">
        <f>X27/$D$12</f>
        <v/>
      </c>
      <c r="Y65" s="14">
        <f>Y27/$D$12</f>
        <v/>
      </c>
      <c r="Z65" s="14">
        <f>Z27/$D$12</f>
        <v/>
      </c>
      <c r="AA65" s="14">
        <f>AA27/$D$12</f>
        <v/>
      </c>
      <c r="AB65" s="14">
        <f>AB27/$D$12</f>
        <v/>
      </c>
      <c r="AC65" s="14">
        <f>AC27/$D$12</f>
        <v/>
      </c>
      <c r="AD65" s="14">
        <f>AD27/$D$12</f>
        <v/>
      </c>
      <c r="AE65" s="14">
        <f>AE27/$D$12</f>
        <v/>
      </c>
      <c r="AF65" s="14">
        <f>AF27/$D$12</f>
        <v/>
      </c>
      <c r="AG65" s="14">
        <f>AG27/$D$12</f>
        <v/>
      </c>
      <c r="AH65" s="14">
        <f>AH27/$D$12</f>
        <v/>
      </c>
      <c r="AI65" s="14">
        <f>AI27/$D$12</f>
        <v/>
      </c>
      <c r="AJ65" s="14">
        <f>AJ27/$D$12</f>
        <v/>
      </c>
      <c r="AK65" s="14">
        <f>AK27/$D$12</f>
        <v/>
      </c>
      <c r="AL65" s="68" t="n"/>
      <c r="AM65" s="68" t="n"/>
      <c r="AN65" s="68" t="n"/>
      <c r="AO65" s="68" t="n"/>
      <c r="AP65" s="68" t="n"/>
      <c r="AQ65" s="68" t="n"/>
      <c r="AR65" s="68" t="n"/>
      <c r="AS65" s="68" t="n"/>
    </row>
    <row r="66">
      <c r="C66" t="inlineStr">
        <is>
          <t>Therm</t>
        </is>
      </c>
      <c r="M66" s="13">
        <f>M65/$D$15</f>
        <v/>
      </c>
      <c r="N66" s="13">
        <f>N65/$D$15</f>
        <v/>
      </c>
      <c r="O66" s="13">
        <f>O65/$D$15</f>
        <v/>
      </c>
      <c r="P66" s="13">
        <f>P65/$D$15</f>
        <v/>
      </c>
      <c r="Q66" s="13">
        <f>Q65/$D$15</f>
        <v/>
      </c>
      <c r="R66" s="13">
        <f>R65/$D$15</f>
        <v/>
      </c>
      <c r="S66" s="13">
        <f>S65/$D$15</f>
        <v/>
      </c>
      <c r="T66" s="13">
        <f>T65/$D$15</f>
        <v/>
      </c>
      <c r="U66" s="13">
        <f>U65/$D$15</f>
        <v/>
      </c>
      <c r="V66" s="13">
        <f>V65/$D$15</f>
        <v/>
      </c>
      <c r="W66" s="13">
        <f>W65/$D$15</f>
        <v/>
      </c>
      <c r="X66" s="13">
        <f>X65/$D$15</f>
        <v/>
      </c>
      <c r="Y66" s="13">
        <f>Y65/$D$15</f>
        <v/>
      </c>
      <c r="Z66" s="13">
        <f>Z65/$D$15</f>
        <v/>
      </c>
      <c r="AA66" s="13">
        <f>AA65/$D$15</f>
        <v/>
      </c>
      <c r="AB66" s="13">
        <f>AB65/$D$15</f>
        <v/>
      </c>
      <c r="AC66" s="13">
        <f>AC65/$D$15</f>
        <v/>
      </c>
      <c r="AD66" s="13">
        <f>AD65/$D$15</f>
        <v/>
      </c>
      <c r="AE66" s="13">
        <f>AE65/$D$15</f>
        <v/>
      </c>
      <c r="AF66" s="13">
        <f>AF65/$D$15</f>
        <v/>
      </c>
      <c r="AG66" s="13">
        <f>AG65/$D$15</f>
        <v/>
      </c>
      <c r="AH66" s="13">
        <f>AH65/$D$15</f>
        <v/>
      </c>
      <c r="AI66" s="13">
        <f>AI65/$D$15</f>
        <v/>
      </c>
      <c r="AJ66" s="13">
        <f>AJ65/$D$15</f>
        <v/>
      </c>
      <c r="AK66" s="13">
        <f>AK65/$D$15</f>
        <v/>
      </c>
      <c r="AL66" s="68" t="n"/>
      <c r="AM66" s="68" t="n"/>
      <c r="AN66" s="68" t="n"/>
      <c r="AO66" s="68" t="n"/>
      <c r="AP66" s="68" t="n"/>
      <c r="AQ66" s="68" t="n"/>
      <c r="AR66" s="68" t="n"/>
      <c r="AS66" s="68" t="n"/>
    </row>
    <row r="67">
      <c r="B67" t="inlineStr">
        <is>
          <t>Fuel cost</t>
        </is>
      </c>
      <c r="C67" t="inlineStr">
        <is>
          <t>£m</t>
        </is>
      </c>
      <c r="E67" t="inlineStr">
        <is>
          <t>Gate fee price/fuel price x fuel consumption /1000000</t>
        </is>
      </c>
      <c r="M67" s="73">
        <f>M64*M66*10^-6</f>
        <v/>
      </c>
      <c r="N67" s="73">
        <f>N64*N66*10^-6</f>
        <v/>
      </c>
      <c r="O67" s="73">
        <f>O64*O66*10^-6</f>
        <v/>
      </c>
      <c r="P67" s="73">
        <f>P64*P66*10^-6</f>
        <v/>
      </c>
      <c r="Q67" s="73">
        <f>Q64*Q66*10^-6</f>
        <v/>
      </c>
      <c r="R67" s="73">
        <f>R64*R66*10^-6</f>
        <v/>
      </c>
      <c r="S67" s="73">
        <f>S64*S66*10^-6</f>
        <v/>
      </c>
      <c r="T67" s="73">
        <f>T64*T66*10^-6</f>
        <v/>
      </c>
      <c r="U67" s="73">
        <f>U64*U66*10^-6</f>
        <v/>
      </c>
      <c r="V67" s="73">
        <f>V64*V66*10^-6</f>
        <v/>
      </c>
      <c r="W67" s="73">
        <f>W64*W66*10^-6</f>
        <v/>
      </c>
      <c r="X67" s="73">
        <f>X64*X66*10^-6</f>
        <v/>
      </c>
      <c r="Y67" s="73">
        <f>Y64*Y66*10^-6</f>
        <v/>
      </c>
      <c r="Z67" s="73">
        <f>Z64*Z66*10^-6</f>
        <v/>
      </c>
      <c r="AA67" s="73">
        <f>AA64*AA66*10^-6</f>
        <v/>
      </c>
      <c r="AB67" s="73">
        <f>AB64*AB66*10^-6</f>
        <v/>
      </c>
      <c r="AC67" s="73">
        <f>AC64*AC66*10^-6</f>
        <v/>
      </c>
      <c r="AD67" s="73">
        <f>AD64*AD66*10^-6</f>
        <v/>
      </c>
      <c r="AE67" s="73">
        <f>AE64*AE66*10^-6</f>
        <v/>
      </c>
      <c r="AF67" s="73">
        <f>AF64*AF66*10^-6</f>
        <v/>
      </c>
      <c r="AG67" s="73">
        <f>AG64*AG66*10^-6</f>
        <v/>
      </c>
      <c r="AH67" s="73">
        <f>AH64*AH66*10^-6</f>
        <v/>
      </c>
      <c r="AI67" s="73">
        <f>AI64*AI66*10^-6</f>
        <v/>
      </c>
      <c r="AJ67" s="73">
        <f>AJ64*AJ66*10^-6</f>
        <v/>
      </c>
      <c r="AK67" s="73">
        <f>AK64*AK66*10^-6</f>
        <v/>
      </c>
      <c r="AL67" s="68" t="n"/>
      <c r="AM67" s="68" t="n"/>
      <c r="AN67" s="68" t="n"/>
      <c r="AO67" s="68" t="n"/>
      <c r="AP67" s="68" t="n"/>
      <c r="AQ67" s="68" t="n"/>
      <c r="AR67" s="68" t="n"/>
      <c r="AS67" s="68" t="n"/>
    </row>
    <row r="68">
      <c r="B68" t="inlineStr">
        <is>
          <t>Discounted fuel cost</t>
        </is>
      </c>
      <c r="C68" t="inlineStr">
        <is>
          <t>£m</t>
        </is>
      </c>
      <c r="E68" t="inlineStr">
        <is>
          <t>Gate fee cost/fuel cost x Discounting Factor</t>
        </is>
      </c>
      <c r="F68" s="24">
        <f>SUM(M68:AK68)</f>
        <v/>
      </c>
      <c r="M68" s="66">
        <f>M67*M22</f>
        <v/>
      </c>
      <c r="N68" s="66">
        <f>N67*N22</f>
        <v/>
      </c>
      <c r="O68" s="66">
        <f>O67*O22</f>
        <v/>
      </c>
      <c r="P68" s="66">
        <f>P67*P22</f>
        <v/>
      </c>
      <c r="Q68" s="66">
        <f>Q67*Q22</f>
        <v/>
      </c>
      <c r="R68" s="66">
        <f>R67*R22</f>
        <v/>
      </c>
      <c r="S68" s="66">
        <f>S67*S22</f>
        <v/>
      </c>
      <c r="T68" s="66">
        <f>T67*T22</f>
        <v/>
      </c>
      <c r="U68" s="66">
        <f>U67*U22</f>
        <v/>
      </c>
      <c r="V68" s="66">
        <f>V67*V22</f>
        <v/>
      </c>
      <c r="W68" s="66">
        <f>W67*W22</f>
        <v/>
      </c>
      <c r="X68" s="66">
        <f>X67*X22</f>
        <v/>
      </c>
      <c r="Y68" s="66">
        <f>Y67*Y22</f>
        <v/>
      </c>
      <c r="Z68" s="66">
        <f>Z67*Z22</f>
        <v/>
      </c>
      <c r="AA68" s="66">
        <f>AA67*AA22</f>
        <v/>
      </c>
      <c r="AB68" s="66">
        <f>AB67*AB22</f>
        <v/>
      </c>
      <c r="AC68" s="66">
        <f>AC67*AC22</f>
        <v/>
      </c>
      <c r="AD68" s="66">
        <f>AD67*AD22</f>
        <v/>
      </c>
      <c r="AE68" s="66">
        <f>AE67*AE22</f>
        <v/>
      </c>
      <c r="AF68" s="66">
        <f>AF67*AF22</f>
        <v/>
      </c>
      <c r="AG68" s="66">
        <f>AG67*AG22</f>
        <v/>
      </c>
      <c r="AH68" s="66">
        <f>AH67*AH22</f>
        <v/>
      </c>
      <c r="AI68" s="66">
        <f>AI67*AI22</f>
        <v/>
      </c>
      <c r="AJ68" s="66">
        <f>AJ67*AJ22</f>
        <v/>
      </c>
      <c r="AK68" s="66">
        <f>AK67*AK22</f>
        <v/>
      </c>
      <c r="AL68" s="68" t="n"/>
      <c r="AM68" s="68" t="n"/>
      <c r="AN68" s="68" t="n"/>
      <c r="AO68" s="68" t="n"/>
      <c r="AP68" s="68" t="n"/>
      <c r="AQ68" s="68" t="n"/>
      <c r="AR68" s="68" t="n"/>
      <c r="AS68" s="68" t="n"/>
    </row>
    <row r="69" ht="15" customHeight="1" thickBot="1"/>
    <row r="70" ht="15" customHeight="1" thickBot="1">
      <c r="B70" s="11" t="inlineStr">
        <is>
          <t>Decommissioning and waste costs</t>
        </is>
      </c>
      <c r="C70" s="11" t="n"/>
      <c r="D70" s="11" t="n"/>
      <c r="E70" s="26" t="n"/>
      <c r="F70" s="61">
        <f>F74*10^6/F28</f>
        <v/>
      </c>
    </row>
    <row r="71">
      <c r="B71" s="45" t="inlineStr">
        <is>
          <t>Waste cost</t>
        </is>
      </c>
      <c r="C71" t="inlineStr">
        <is>
          <t>£m</t>
        </is>
      </c>
      <c r="D71" s="42" t="n"/>
      <c r="E71" s="42" t="n"/>
      <c r="M71" s="62" t="n">
        <v>0</v>
      </c>
      <c r="N71" s="62" t="n">
        <v>0</v>
      </c>
      <c r="O71" s="62" t="n">
        <v>0</v>
      </c>
      <c r="P71" s="62" t="n">
        <v>0</v>
      </c>
      <c r="Q71" s="62" t="n">
        <v>0</v>
      </c>
      <c r="R71" s="62" t="n">
        <v>0</v>
      </c>
      <c r="S71" s="62" t="n">
        <v>0</v>
      </c>
      <c r="T71" s="62" t="n">
        <v>0</v>
      </c>
      <c r="U71" s="62" t="n">
        <v>0</v>
      </c>
      <c r="V71" s="62" t="n">
        <v>0</v>
      </c>
      <c r="W71" s="62" t="n">
        <v>0</v>
      </c>
      <c r="X71" s="62" t="n">
        <v>0</v>
      </c>
      <c r="Y71" s="62" t="n">
        <v>0</v>
      </c>
      <c r="Z71" s="62" t="n">
        <v>0</v>
      </c>
      <c r="AA71" s="62" t="n">
        <v>0</v>
      </c>
      <c r="AB71" s="62" t="n">
        <v>0</v>
      </c>
      <c r="AC71" s="62" t="n">
        <v>0</v>
      </c>
      <c r="AD71" s="62" t="n">
        <v>0</v>
      </c>
      <c r="AE71" s="62" t="n">
        <v>0</v>
      </c>
      <c r="AF71" s="62" t="n">
        <v>0</v>
      </c>
      <c r="AG71" s="62" t="n">
        <v>0</v>
      </c>
      <c r="AH71" s="62" t="n">
        <v>0</v>
      </c>
      <c r="AI71" s="62" t="n">
        <v>0</v>
      </c>
      <c r="AJ71" s="62" t="n">
        <v>0</v>
      </c>
      <c r="AK71" s="62" t="n">
        <v>0</v>
      </c>
      <c r="AL71" s="62" t="n">
        <v>0</v>
      </c>
      <c r="AM71" s="62" t="n">
        <v>0</v>
      </c>
      <c r="AN71" s="62" t="n">
        <v>0</v>
      </c>
      <c r="AO71" s="62" t="n">
        <v>0</v>
      </c>
      <c r="AP71" s="62" t="n">
        <v>0</v>
      </c>
      <c r="AQ71" s="62" t="n">
        <v>0</v>
      </c>
      <c r="AR71" s="62" t="n">
        <v>0</v>
      </c>
    </row>
    <row r="72">
      <c r="B72" t="inlineStr">
        <is>
          <t>Decommissioning cost</t>
        </is>
      </c>
      <c r="C72" t="inlineStr">
        <is>
          <t>£m</t>
        </is>
      </c>
      <c r="M72" s="65" t="n">
        <v>0</v>
      </c>
      <c r="N72" s="65" t="n">
        <v>0</v>
      </c>
      <c r="O72" s="65" t="n">
        <v>0</v>
      </c>
      <c r="P72" s="65" t="n">
        <v>0</v>
      </c>
      <c r="Q72" s="65" t="n">
        <v>0</v>
      </c>
      <c r="R72" s="65" t="n">
        <v>0</v>
      </c>
      <c r="S72" s="65" t="n">
        <v>0</v>
      </c>
      <c r="T72" s="65" t="n">
        <v>0</v>
      </c>
      <c r="U72" s="65" t="n">
        <v>0</v>
      </c>
      <c r="V72" s="65" t="n">
        <v>0</v>
      </c>
      <c r="W72" s="65" t="n">
        <v>0</v>
      </c>
      <c r="X72" s="65" t="n">
        <v>0</v>
      </c>
      <c r="Y72" s="65" t="n">
        <v>0</v>
      </c>
      <c r="Z72" s="65" t="n">
        <v>0</v>
      </c>
      <c r="AA72" s="65" t="n">
        <v>0</v>
      </c>
      <c r="AB72" s="65" t="n">
        <v>0</v>
      </c>
      <c r="AC72" s="65" t="n">
        <v>0</v>
      </c>
      <c r="AD72" s="65" t="n">
        <v>0</v>
      </c>
      <c r="AE72" s="65" t="n">
        <v>0</v>
      </c>
      <c r="AF72" s="65" t="n">
        <v>0</v>
      </c>
      <c r="AG72" s="65" t="n">
        <v>0</v>
      </c>
      <c r="AH72" s="65" t="n">
        <v>0</v>
      </c>
      <c r="AI72" s="65" t="n">
        <v>0</v>
      </c>
      <c r="AJ72" s="65" t="n">
        <v>0</v>
      </c>
      <c r="AK72" s="65" t="n">
        <v>0</v>
      </c>
      <c r="AL72" s="65" t="n">
        <v>0</v>
      </c>
      <c r="AM72" s="65" t="n">
        <v>0</v>
      </c>
      <c r="AN72" s="65" t="n">
        <v>0</v>
      </c>
      <c r="AO72" s="65" t="n">
        <v>0</v>
      </c>
      <c r="AP72" s="65" t="n">
        <v>0</v>
      </c>
      <c r="AQ72" s="65" t="n">
        <v>0</v>
      </c>
      <c r="AR72" s="65" t="n">
        <v>0</v>
      </c>
    </row>
    <row r="73">
      <c r="B73" t="inlineStr">
        <is>
          <t>Decommissioning and waste cost</t>
        </is>
      </c>
      <c r="C73" t="inlineStr">
        <is>
          <t>£m</t>
        </is>
      </c>
      <c r="E73" s="45" t="inlineStr">
        <is>
          <t>((Decommissioning cost x Net power output) + Waste cost x Net generation)/1000000</t>
        </is>
      </c>
      <c r="M73" s="62">
        <f>((M72*$D$11)+M71*M27)/10^6</f>
        <v/>
      </c>
      <c r="N73" s="62">
        <f>((N72*$D$11)+N71*N27)/10^6</f>
        <v/>
      </c>
      <c r="O73" s="62">
        <f>((O72*$D$11)+O71*O27)/10^6</f>
        <v/>
      </c>
      <c r="P73" s="62">
        <f>((P72*$D$11)+P71*P27)/10^6</f>
        <v/>
      </c>
      <c r="Q73" s="62">
        <f>((Q72*$D$11)+Q71*Q27)/10^6</f>
        <v/>
      </c>
      <c r="R73" s="62">
        <f>((R72*$D$11)+R71*R27)/10^6</f>
        <v/>
      </c>
      <c r="S73" s="62">
        <f>((S72*$D$11)+S71*S27)/10^6</f>
        <v/>
      </c>
      <c r="T73" s="62">
        <f>((T72*$D$11)+T71*T27)/10^6</f>
        <v/>
      </c>
      <c r="U73" s="62">
        <f>((U72*$D$11)+U71*U27)/10^6</f>
        <v/>
      </c>
      <c r="V73" s="62">
        <f>((V72*$D$11)+V71*V27)/10^6</f>
        <v/>
      </c>
      <c r="W73" s="62">
        <f>((W72*$D$11)+W71*W27)/10^6</f>
        <v/>
      </c>
      <c r="X73" s="62">
        <f>((X72*$D$11)+X71*X27)/10^6</f>
        <v/>
      </c>
      <c r="Y73" s="74">
        <f>((Y72*$D$11)+Y71*Y27)/10^6</f>
        <v/>
      </c>
      <c r="Z73" s="74">
        <f>((Z72*$D$11)+Z71*Z27)/10^6</f>
        <v/>
      </c>
      <c r="AA73" s="74">
        <f>((AA72*$D$11)+AA71*AA27)/10^6</f>
        <v/>
      </c>
      <c r="AB73" s="74">
        <f>((AB72*$D$11)+AB71*AB27)/10^6</f>
        <v/>
      </c>
      <c r="AC73" s="74">
        <f>((AC72*$D$11)+AC71*AC27)/10^6</f>
        <v/>
      </c>
      <c r="AD73" s="74">
        <f>((AD72*$D$11)+AD71*AD27)/10^6</f>
        <v/>
      </c>
      <c r="AE73" s="74">
        <f>((AE72*$D$11)+AE71*AE27)/10^6</f>
        <v/>
      </c>
      <c r="AF73" s="74">
        <f>((AF72*$D$11)+AF71*AF27)/10^6</f>
        <v/>
      </c>
      <c r="AG73" s="74">
        <f>((AG72*$D$11)+AG71*AG27)/10^6</f>
        <v/>
      </c>
      <c r="AH73" s="74">
        <f>((AH72*$D$11)+AH71*AH27)/10^6</f>
        <v/>
      </c>
      <c r="AI73" s="74">
        <f>((AI72*$D$11)+AI71*AI27)/10^6</f>
        <v/>
      </c>
      <c r="AJ73" s="74">
        <f>((AJ72*$D$11)+AJ71*AJ27)/10^6</f>
        <v/>
      </c>
      <c r="AK73" s="74">
        <f>((AK72*$D$11)+AK71*AK27)/10^6</f>
        <v/>
      </c>
      <c r="AL73" s="74">
        <f>((AL72*$D$11)+AL71*AL27)/10^6</f>
        <v/>
      </c>
      <c r="AM73" s="74">
        <f>((AM72*$D$11)+AM71*AM27)/10^6</f>
        <v/>
      </c>
      <c r="AN73" s="74">
        <f>((AN72*$D$11)+AN71*AN27)/10^6</f>
        <v/>
      </c>
      <c r="AO73" s="74">
        <f>((AO72*$D$11)+AO71*AO27)/10^6</f>
        <v/>
      </c>
      <c r="AP73" s="74">
        <f>((AP72*$D$11)+AP71*AP27)/10^6</f>
        <v/>
      </c>
      <c r="AQ73" s="74">
        <f>((AQ72*$D$11)+AQ71*AQ27)/10^6</f>
        <v/>
      </c>
      <c r="AR73" s="74">
        <f>((AR72*$D$11)+AR71*AR27)/10^6</f>
        <v/>
      </c>
    </row>
    <row r="74">
      <c r="B74" t="inlineStr">
        <is>
          <t>Discounted decommissioning and waste cost</t>
        </is>
      </c>
      <c r="C74" t="inlineStr">
        <is>
          <t>£m</t>
        </is>
      </c>
      <c r="E74" t="inlineStr">
        <is>
          <t>Decommissioning and waste cost x Discounting factor</t>
        </is>
      </c>
      <c r="F74" s="48">
        <f>SUM(O74:BB74)</f>
        <v/>
      </c>
      <c r="M74" s="65">
        <f>M73*M22</f>
        <v/>
      </c>
      <c r="N74" s="65">
        <f>N73*N22</f>
        <v/>
      </c>
      <c r="O74" s="65">
        <f>O73*O22</f>
        <v/>
      </c>
      <c r="P74" s="65">
        <f>P73*P22</f>
        <v/>
      </c>
      <c r="Q74" s="65">
        <f>Q73*Q22</f>
        <v/>
      </c>
      <c r="R74" s="65">
        <f>R73*R22</f>
        <v/>
      </c>
      <c r="S74" s="65">
        <f>S73*S22</f>
        <v/>
      </c>
      <c r="T74" s="65">
        <f>T73*T22</f>
        <v/>
      </c>
      <c r="U74" s="65">
        <f>U73*U22</f>
        <v/>
      </c>
      <c r="V74" s="65">
        <f>V73*V22</f>
        <v/>
      </c>
      <c r="W74" s="65">
        <f>W73*W22</f>
        <v/>
      </c>
      <c r="X74" s="65">
        <f>X73*X22</f>
        <v/>
      </c>
      <c r="Y74" s="71">
        <f>Y73*Y22</f>
        <v/>
      </c>
      <c r="Z74" s="71">
        <f>Z73*Z22</f>
        <v/>
      </c>
      <c r="AA74" s="71">
        <f>AA73*AA22</f>
        <v/>
      </c>
      <c r="AB74" s="71">
        <f>AB73*AB22</f>
        <v/>
      </c>
      <c r="AC74" s="71">
        <f>AC73*AC22</f>
        <v/>
      </c>
      <c r="AD74" s="71">
        <f>AD73*AD22</f>
        <v/>
      </c>
      <c r="AE74" s="71">
        <f>AE73*AE22</f>
        <v/>
      </c>
      <c r="AF74" s="71">
        <f>AF73*AF22</f>
        <v/>
      </c>
      <c r="AG74" s="71">
        <f>AG73*AG22</f>
        <v/>
      </c>
      <c r="AH74" s="71">
        <f>AH73*AH22</f>
        <v/>
      </c>
      <c r="AI74" s="71">
        <f>AI73*AI22</f>
        <v/>
      </c>
      <c r="AJ74" s="71">
        <f>AJ73*AJ22</f>
        <v/>
      </c>
      <c r="AK74" s="71">
        <f>AK73*AK22</f>
        <v/>
      </c>
      <c r="AL74" s="71">
        <f>AL73*AL22</f>
        <v/>
      </c>
      <c r="AM74" s="71">
        <f>AM73*AM22</f>
        <v/>
      </c>
      <c r="AN74" s="71">
        <f>AN73*AN22</f>
        <v/>
      </c>
      <c r="AO74" s="71">
        <f>AO73*AO22</f>
        <v/>
      </c>
      <c r="AP74" s="71">
        <f>AP73*AP22</f>
        <v/>
      </c>
      <c r="AQ74" s="71">
        <f>AQ73*AQ22</f>
        <v/>
      </c>
      <c r="AR74" s="71">
        <f>AR73*AR22</f>
        <v/>
      </c>
    </row>
    <row r="75" ht="15" customHeight="1" thickBot="1"/>
    <row r="76" ht="15" customHeight="1" thickBot="1">
      <c r="B76" s="11" t="inlineStr">
        <is>
          <t>Carbon costs</t>
        </is>
      </c>
      <c r="C76" s="37" t="n"/>
      <c r="D76" s="37" t="n"/>
      <c r="E76" s="37" t="n"/>
      <c r="F76" s="61">
        <f>F83*10^6/F28</f>
        <v/>
      </c>
    </row>
    <row r="77">
      <c r="B77" t="inlineStr">
        <is>
          <t>Carbon price</t>
        </is>
      </c>
      <c r="C77" t="inlineStr">
        <is>
          <t>£/tCO2</t>
        </is>
      </c>
      <c r="E77" t="inlineStr">
        <is>
          <t>Captures the social costs of carbon emissions</t>
        </is>
      </c>
      <c r="M77" s="63" t="n">
        <v>83.03</v>
      </c>
      <c r="N77" s="63" t="n">
        <v>83.03</v>
      </c>
      <c r="O77" s="63" t="n">
        <v>83.03</v>
      </c>
      <c r="P77" s="63" t="n">
        <v>83.03</v>
      </c>
      <c r="Q77" s="63" t="n">
        <v>83.03</v>
      </c>
      <c r="R77" s="63" t="n">
        <v>83.03</v>
      </c>
      <c r="S77" s="63" t="n">
        <v>83.03</v>
      </c>
      <c r="T77" s="63" t="n">
        <v>83.03</v>
      </c>
      <c r="U77" s="63" t="n">
        <v>83.03</v>
      </c>
      <c r="V77" s="63" t="n">
        <v>83.03</v>
      </c>
      <c r="W77" s="63" t="n">
        <v>83.03</v>
      </c>
      <c r="X77" s="63" t="n">
        <v>83.03</v>
      </c>
      <c r="Y77" s="63" t="n">
        <v>83.03</v>
      </c>
      <c r="Z77" s="63" t="n">
        <v>83.03</v>
      </c>
      <c r="AA77" s="63" t="n">
        <v>83.03</v>
      </c>
      <c r="AB77" s="63" t="n">
        <v>83.03</v>
      </c>
      <c r="AC77" s="63" t="n">
        <v>83.03</v>
      </c>
      <c r="AD77" s="63" t="n">
        <v>83.03</v>
      </c>
      <c r="AE77" s="63" t="n">
        <v>83.03</v>
      </c>
      <c r="AF77" s="63" t="n">
        <v>83.03</v>
      </c>
      <c r="AG77" s="63" t="n">
        <v>83.03</v>
      </c>
      <c r="AH77" s="63" t="n">
        <v>83.03</v>
      </c>
      <c r="AI77" s="63" t="n">
        <v>83.03</v>
      </c>
      <c r="AJ77" s="63" t="n">
        <v>83.03</v>
      </c>
      <c r="AK77" s="63" t="n">
        <v>83.03</v>
      </c>
      <c r="AL77" s="62" t="n"/>
      <c r="AM77" s="62" t="n"/>
      <c r="AN77" s="62" t="n"/>
      <c r="AO77" s="62" t="n"/>
      <c r="AP77" s="62" t="n"/>
      <c r="AQ77" s="62" t="n"/>
      <c r="AR77" s="62" t="n"/>
    </row>
    <row r="78">
      <c r="B78" t="inlineStr">
        <is>
          <t>CO2 scrubbing</t>
        </is>
      </c>
      <c r="C78" t="inlineStr">
        <is>
          <t>%</t>
        </is>
      </c>
      <c r="E78" t="inlineStr">
        <is>
          <t>Percentage adjustment</t>
        </is>
      </c>
      <c r="M78" s="65" t="n">
        <v>0.25</v>
      </c>
      <c r="N78" s="65" t="n">
        <v>0.25</v>
      </c>
      <c r="O78" s="65" t="n">
        <v>0.25</v>
      </c>
      <c r="P78" s="65" t="n">
        <v>0.25</v>
      </c>
      <c r="Q78" s="65" t="n">
        <v>0.25</v>
      </c>
      <c r="R78" s="65" t="n">
        <v>0.25</v>
      </c>
      <c r="S78" s="65" t="n">
        <v>0.25</v>
      </c>
      <c r="T78" s="65" t="n">
        <v>0.25</v>
      </c>
      <c r="U78" s="65" t="n">
        <v>0.25</v>
      </c>
      <c r="V78" s="65" t="n">
        <v>0.25</v>
      </c>
      <c r="W78" s="65" t="n">
        <v>0.25</v>
      </c>
      <c r="X78" s="65" t="n">
        <v>0.25</v>
      </c>
      <c r="Y78" s="65" t="n">
        <v>0.25</v>
      </c>
      <c r="Z78" s="65" t="n">
        <v>0.25</v>
      </c>
      <c r="AA78" s="65" t="n">
        <v>0.25</v>
      </c>
      <c r="AB78" s="65" t="n">
        <v>0.25</v>
      </c>
      <c r="AC78" s="65" t="n">
        <v>0.25</v>
      </c>
      <c r="AD78" s="65" t="n">
        <v>0.25</v>
      </c>
      <c r="AE78" s="65" t="n">
        <v>0.25</v>
      </c>
      <c r="AF78" s="65" t="n">
        <v>0.25</v>
      </c>
      <c r="AG78" s="65" t="n">
        <v>0.25</v>
      </c>
      <c r="AH78" s="65" t="n">
        <v>0.25</v>
      </c>
      <c r="AI78" s="65" t="n">
        <v>0.25</v>
      </c>
      <c r="AJ78" s="65" t="n">
        <v>0.25</v>
      </c>
      <c r="AK78" s="65" t="n">
        <v>0.25</v>
      </c>
      <c r="AL78" s="65" t="n"/>
      <c r="AM78" s="65" t="n"/>
      <c r="AN78" s="65" t="n"/>
      <c r="AO78" s="65" t="n"/>
      <c r="AP78" s="65" t="n"/>
      <c r="AQ78" s="65" t="n"/>
      <c r="AR78" s="65" t="n"/>
    </row>
    <row r="79">
      <c r="B79" t="inlineStr">
        <is>
          <t>Fuel carbon content</t>
        </is>
      </c>
      <c r="C79" t="inlineStr">
        <is>
          <t>kgCO2/Therm</t>
        </is>
      </c>
      <c r="M79" s="63" t="n">
        <v>5.36</v>
      </c>
      <c r="N79" s="63" t="n">
        <v>5.36</v>
      </c>
      <c r="O79" s="63" t="n">
        <v>5.36</v>
      </c>
      <c r="P79" s="63" t="n">
        <v>5.36</v>
      </c>
      <c r="Q79" s="63" t="n">
        <v>5.36</v>
      </c>
      <c r="R79" s="63" t="n">
        <v>5.36</v>
      </c>
      <c r="S79" s="63" t="n">
        <v>5.36</v>
      </c>
      <c r="T79" s="63" t="n">
        <v>5.36</v>
      </c>
      <c r="U79" s="63" t="n">
        <v>5.36</v>
      </c>
      <c r="V79" s="63" t="n">
        <v>5.36</v>
      </c>
      <c r="W79" s="63" t="n">
        <v>5.36</v>
      </c>
      <c r="X79" s="63" t="n">
        <v>5.36</v>
      </c>
      <c r="Y79" s="63" t="n">
        <v>5.36</v>
      </c>
      <c r="Z79" s="63" t="n">
        <v>5.36</v>
      </c>
      <c r="AA79" s="63" t="n">
        <v>5.36</v>
      </c>
      <c r="AB79" s="63" t="n">
        <v>5.36</v>
      </c>
      <c r="AC79" s="63" t="n">
        <v>5.36</v>
      </c>
      <c r="AD79" s="63" t="n">
        <v>5.36</v>
      </c>
      <c r="AE79" s="63" t="n">
        <v>5.36</v>
      </c>
      <c r="AF79" s="63" t="n">
        <v>5.36</v>
      </c>
      <c r="AG79" s="63" t="n">
        <v>5.36</v>
      </c>
      <c r="AH79" s="63" t="n">
        <v>5.36</v>
      </c>
      <c r="AI79" s="63" t="n">
        <v>5.36</v>
      </c>
      <c r="AJ79" s="63" t="n">
        <v>5.36</v>
      </c>
      <c r="AK79" s="63" t="n">
        <v>5.36</v>
      </c>
      <c r="AL79" s="62" t="n"/>
      <c r="AM79" s="62" t="n"/>
      <c r="AN79" s="62" t="n"/>
      <c r="AO79" s="62" t="n"/>
      <c r="AP79" s="62" t="n"/>
      <c r="AQ79" s="62" t="n"/>
      <c r="AR79" s="62" t="n"/>
    </row>
    <row r="80">
      <c r="B80" s="45" t="inlineStr">
        <is>
          <t>Carbon emissions</t>
        </is>
      </c>
      <c r="C80" t="inlineStr">
        <is>
          <t>KgCO2</t>
        </is>
      </c>
      <c r="E80" t="inlineStr">
        <is>
          <t>Fuel consumption x Fuel carbon content</t>
        </is>
      </c>
      <c r="M80" s="75">
        <f>M79*M66</f>
        <v/>
      </c>
      <c r="N80" s="75">
        <f>N79*N66</f>
        <v/>
      </c>
      <c r="O80" s="75">
        <f>O79*O66</f>
        <v/>
      </c>
      <c r="P80" s="75">
        <f>P79*P66</f>
        <v/>
      </c>
      <c r="Q80" s="75">
        <f>Q79*Q66</f>
        <v/>
      </c>
      <c r="R80" s="75">
        <f>R79*R66</f>
        <v/>
      </c>
      <c r="S80" s="75">
        <f>S79*S66</f>
        <v/>
      </c>
      <c r="T80" s="75">
        <f>T79*T66</f>
        <v/>
      </c>
      <c r="U80" s="75">
        <f>U79*U66</f>
        <v/>
      </c>
      <c r="V80" s="75">
        <f>V79*V66</f>
        <v/>
      </c>
      <c r="W80" s="75">
        <f>W79*W66</f>
        <v/>
      </c>
      <c r="X80" s="75">
        <f>X79*X66</f>
        <v/>
      </c>
      <c r="Y80" s="75">
        <f>Y79*Y66</f>
        <v/>
      </c>
      <c r="Z80" s="75">
        <f>Z79*Z66</f>
        <v/>
      </c>
      <c r="AA80" s="75">
        <f>AA79*AA66</f>
        <v/>
      </c>
      <c r="AB80" s="75">
        <f>AB79*AB66</f>
        <v/>
      </c>
      <c r="AC80" s="75">
        <f>AC79*AC66</f>
        <v/>
      </c>
      <c r="AD80" s="75">
        <f>AD79*AD66</f>
        <v/>
      </c>
      <c r="AE80" s="75">
        <f>AE79*AE66</f>
        <v/>
      </c>
      <c r="AF80" s="75">
        <f>AF79*AF66</f>
        <v/>
      </c>
      <c r="AG80" s="75">
        <f>AG79*AG66</f>
        <v/>
      </c>
      <c r="AH80" s="75">
        <f>AH79*AH66</f>
        <v/>
      </c>
      <c r="AI80" s="75">
        <f>AI79*AI66</f>
        <v/>
      </c>
      <c r="AJ80" s="75">
        <f>AJ79*AJ66</f>
        <v/>
      </c>
      <c r="AK80" s="75">
        <f>AK79*AK66</f>
        <v/>
      </c>
      <c r="AL80" s="65" t="n"/>
      <c r="AM80" s="65" t="n"/>
      <c r="AN80" s="65" t="n"/>
      <c r="AO80" s="65" t="n"/>
      <c r="AP80" s="65" t="n"/>
      <c r="AQ80" s="65" t="n"/>
      <c r="AR80" s="65" t="n"/>
    </row>
    <row r="81">
      <c r="B81" t="inlineStr">
        <is>
          <t>Carbon captured</t>
        </is>
      </c>
      <c r="C81" t="inlineStr">
        <is>
          <t>KgCO2</t>
        </is>
      </c>
      <c r="E81" t="inlineStr">
        <is>
          <t>Carbon emissions x CO2 scrubbing</t>
        </is>
      </c>
      <c r="M81" s="76">
        <f>M78*M80</f>
        <v/>
      </c>
      <c r="N81" s="76">
        <f>N78*N80</f>
        <v/>
      </c>
      <c r="O81" s="76">
        <f>O78*O80</f>
        <v/>
      </c>
      <c r="P81" s="66">
        <f>P78*P80</f>
        <v/>
      </c>
      <c r="Q81" s="66">
        <f>Q78*Q80</f>
        <v/>
      </c>
      <c r="R81" s="66">
        <f>R78*R80</f>
        <v/>
      </c>
      <c r="S81" s="66">
        <f>S78*S80</f>
        <v/>
      </c>
      <c r="T81" s="66">
        <f>T78*T80</f>
        <v/>
      </c>
      <c r="U81" s="66">
        <f>U78*U80</f>
        <v/>
      </c>
      <c r="V81" s="66">
        <f>V78*V80</f>
        <v/>
      </c>
      <c r="W81" s="66">
        <f>W78*W80</f>
        <v/>
      </c>
      <c r="X81" s="66">
        <f>X78*X80</f>
        <v/>
      </c>
      <c r="Y81" s="66">
        <f>Y78*Y80</f>
        <v/>
      </c>
      <c r="Z81" s="66">
        <f>Z78*Z80</f>
        <v/>
      </c>
      <c r="AA81" s="66">
        <f>AA78*AA80</f>
        <v/>
      </c>
      <c r="AB81" s="66">
        <f>AB78*AB80</f>
        <v/>
      </c>
      <c r="AC81" s="66">
        <f>AC78*AC80</f>
        <v/>
      </c>
      <c r="AD81" s="66">
        <f>AD78*AD80</f>
        <v/>
      </c>
      <c r="AE81" s="66">
        <f>AE78*AE80</f>
        <v/>
      </c>
      <c r="AF81" s="66">
        <f>AF78*AF80</f>
        <v/>
      </c>
      <c r="AG81" s="66">
        <f>AG78*AG80</f>
        <v/>
      </c>
      <c r="AH81" s="66">
        <f>AH78*AH80</f>
        <v/>
      </c>
      <c r="AI81" s="66">
        <f>AI78*AI80</f>
        <v/>
      </c>
      <c r="AJ81" s="66">
        <f>AJ78*AJ80</f>
        <v/>
      </c>
      <c r="AK81" s="66">
        <f>AK78*AK80</f>
        <v/>
      </c>
      <c r="AL81" s="66" t="n"/>
      <c r="AM81" s="66" t="n"/>
      <c r="AN81" s="66" t="n"/>
      <c r="AO81" s="66" t="n"/>
      <c r="AP81" s="66" t="n"/>
      <c r="AQ81" s="66" t="n"/>
      <c r="AR81" s="66" t="n"/>
    </row>
    <row r="82">
      <c r="B82" t="inlineStr">
        <is>
          <t>Carbon cost</t>
        </is>
      </c>
      <c r="C82" t="inlineStr">
        <is>
          <t>£m</t>
        </is>
      </c>
      <c r="E82" t="inlineStr">
        <is>
          <t>(Carbon emissions - Carbon captured) x Carbon Price / 1000000</t>
        </is>
      </c>
      <c r="M82" s="65">
        <f>(M80-M81)*M77*10^-9</f>
        <v/>
      </c>
      <c r="N82" s="65">
        <f>(N80-N81)*N77*10^-9</f>
        <v/>
      </c>
      <c r="O82" s="65">
        <f>(O80-O81)*O77*10^-9</f>
        <v/>
      </c>
      <c r="P82" s="65">
        <f>(P80-P81)*P77*10^-9</f>
        <v/>
      </c>
      <c r="Q82" s="65">
        <f>(Q80-Q81)*Q77*10^-9</f>
        <v/>
      </c>
      <c r="R82" s="65">
        <f>(R80-R81)*R77*10^-9</f>
        <v/>
      </c>
      <c r="S82" s="65">
        <f>(S80-S81)*S77*10^-9</f>
        <v/>
      </c>
      <c r="T82" s="65">
        <f>(T80-T81)*T77*10^-9</f>
        <v/>
      </c>
      <c r="U82" s="65">
        <f>(U80-U81)*U77*10^-9</f>
        <v/>
      </c>
      <c r="V82" s="65">
        <f>(V80-V81)*V77*10^-9</f>
        <v/>
      </c>
      <c r="W82" s="65">
        <f>(W80-W81)*W77*10^-9</f>
        <v/>
      </c>
      <c r="X82" s="65">
        <f>(X80-X81)*X77*10^-9</f>
        <v/>
      </c>
      <c r="Y82" s="65">
        <f>(Y80-Y81)*Y77*10^-9</f>
        <v/>
      </c>
      <c r="Z82" s="65">
        <f>(Z80-Z81)*Z77*10^-9</f>
        <v/>
      </c>
      <c r="AA82" s="65">
        <f>(AA80-AA81)*AA77*10^-9</f>
        <v/>
      </c>
      <c r="AB82" s="65">
        <f>(AB80-AB81)*AB77*10^-9</f>
        <v/>
      </c>
      <c r="AC82" s="65">
        <f>(AC80-AC81)*AC77*10^-9</f>
        <v/>
      </c>
      <c r="AD82" s="65">
        <f>(AD80-AD81)*AD77*10^-9</f>
        <v/>
      </c>
      <c r="AE82" s="65">
        <f>(AE80-AE81)*AE77*10^-9</f>
        <v/>
      </c>
      <c r="AF82" s="65">
        <f>(AF80-AF81)*AF77*10^-9</f>
        <v/>
      </c>
      <c r="AG82" s="65">
        <f>(AG80-AG81)*AG77*10^-9</f>
        <v/>
      </c>
      <c r="AH82" s="65">
        <f>(AH80-AH81)*AH77*10^-9</f>
        <v/>
      </c>
      <c r="AI82" s="65">
        <f>(AI80-AI81)*AI77*10^-9</f>
        <v/>
      </c>
      <c r="AJ82" s="65">
        <f>(AJ80-AJ81)*AJ77*10^-9</f>
        <v/>
      </c>
      <c r="AK82" s="65">
        <f>(AK80-AK81)*AK77*10^-9</f>
        <v/>
      </c>
      <c r="AL82" s="65" t="n"/>
      <c r="AM82" s="65" t="n"/>
      <c r="AN82" s="65" t="n"/>
      <c r="AO82" s="65" t="n"/>
      <c r="AP82" s="65" t="n"/>
      <c r="AQ82" s="65" t="n"/>
      <c r="AR82" s="65" t="n"/>
    </row>
    <row r="83">
      <c r="B83" t="inlineStr">
        <is>
          <t>Discounted carbon cost</t>
        </is>
      </c>
      <c r="C83" t="inlineStr">
        <is>
          <t>£m</t>
        </is>
      </c>
      <c r="E83" t="inlineStr">
        <is>
          <t>Carbon cost x Discounting factor</t>
        </is>
      </c>
      <c r="F83" s="24">
        <f>SUM(M83:AK83)</f>
        <v/>
      </c>
      <c r="M83" s="77">
        <f>M82*M22</f>
        <v/>
      </c>
      <c r="N83" s="77">
        <f>N82*N22</f>
        <v/>
      </c>
      <c r="O83" s="77">
        <f>O82*O22</f>
        <v/>
      </c>
      <c r="P83" s="77">
        <f>P82*P22</f>
        <v/>
      </c>
      <c r="Q83" s="77">
        <f>Q82*Q22</f>
        <v/>
      </c>
      <c r="R83" s="77">
        <f>R82*R22</f>
        <v/>
      </c>
      <c r="S83" s="77">
        <f>S82*S22</f>
        <v/>
      </c>
      <c r="T83" s="77">
        <f>T82*T22</f>
        <v/>
      </c>
      <c r="U83" s="77">
        <f>U82*U22</f>
        <v/>
      </c>
      <c r="V83" s="77">
        <f>V82*V22</f>
        <v/>
      </c>
      <c r="W83" s="77">
        <f>W82*W22</f>
        <v/>
      </c>
      <c r="X83" s="77">
        <f>X82*X22</f>
        <v/>
      </c>
      <c r="Y83" s="77">
        <f>Y82*Y22</f>
        <v/>
      </c>
      <c r="Z83" s="77">
        <f>Z82*Z22</f>
        <v/>
      </c>
      <c r="AA83" s="77">
        <f>AA82*AA22</f>
        <v/>
      </c>
      <c r="AB83" s="77">
        <f>AB82*AB22</f>
        <v/>
      </c>
      <c r="AC83" s="77">
        <f>AC82*AC22</f>
        <v/>
      </c>
      <c r="AD83" s="77">
        <f>AD82*AD22</f>
        <v/>
      </c>
      <c r="AE83" s="77">
        <f>AE82*AE22</f>
        <v/>
      </c>
      <c r="AF83" s="77">
        <f>AF82*AF22</f>
        <v/>
      </c>
      <c r="AG83" s="77">
        <f>AG82*AG22</f>
        <v/>
      </c>
      <c r="AH83" s="77">
        <f>AH82*AH22</f>
        <v/>
      </c>
      <c r="AI83" s="77">
        <f>AI82*AI22</f>
        <v/>
      </c>
      <c r="AJ83" s="77">
        <f>AJ82*AJ22</f>
        <v/>
      </c>
      <c r="AK83" s="77">
        <f>AK82*AK22</f>
        <v/>
      </c>
      <c r="AL83" s="62" t="n"/>
      <c r="AM83" s="62" t="n"/>
      <c r="AN83" s="62" t="n"/>
      <c r="AO83" s="62" t="n"/>
      <c r="AP83" s="62" t="n"/>
      <c r="AQ83" s="62" t="n"/>
      <c r="AR83" s="62" t="n"/>
    </row>
    <row r="84" ht="15" customHeight="1" thickBot="1"/>
    <row r="85" ht="15" customHeight="1" thickBot="1">
      <c r="B85" s="11" t="inlineStr">
        <is>
          <t>CO2 capture and storage costs</t>
        </is>
      </c>
      <c r="C85" s="37" t="n"/>
      <c r="D85" s="37" t="n"/>
      <c r="E85" s="37" t="n"/>
      <c r="F85" s="61">
        <f>F88*10^6/F37</f>
        <v/>
      </c>
    </row>
    <row r="86">
      <c r="B86" t="inlineStr">
        <is>
          <t>CO2 capture and storage</t>
        </is>
      </c>
      <c r="C86" t="inlineStr">
        <is>
          <t>£/kgCO2</t>
        </is>
      </c>
      <c r="O86" s="62" t="n">
        <v>0</v>
      </c>
      <c r="P86" s="62" t="n">
        <v>0</v>
      </c>
      <c r="Q86" s="62" t="n">
        <v>0</v>
      </c>
      <c r="R86" s="62" t="n">
        <v>0</v>
      </c>
      <c r="S86" s="62" t="n">
        <v>0</v>
      </c>
      <c r="T86" s="62" t="n">
        <v>0</v>
      </c>
      <c r="U86" s="62" t="n">
        <v>0</v>
      </c>
      <c r="V86" s="62" t="n">
        <v>0</v>
      </c>
      <c r="W86" s="62" t="n">
        <v>0</v>
      </c>
      <c r="X86" s="62" t="n">
        <v>0</v>
      </c>
      <c r="Y86" s="62" t="n">
        <v>0</v>
      </c>
      <c r="Z86" s="62" t="n">
        <v>0</v>
      </c>
      <c r="AA86" s="62" t="n">
        <v>0</v>
      </c>
      <c r="AB86" s="62" t="n">
        <v>0</v>
      </c>
      <c r="AC86" s="62" t="n">
        <v>0</v>
      </c>
      <c r="AD86" s="62" t="n">
        <v>0</v>
      </c>
      <c r="AE86" s="62" t="n">
        <v>0</v>
      </c>
      <c r="AF86" s="62" t="n">
        <v>0</v>
      </c>
      <c r="AG86" s="62" t="n">
        <v>0</v>
      </c>
      <c r="AH86" s="62" t="n">
        <v>0</v>
      </c>
      <c r="AI86" s="62" t="n">
        <v>0</v>
      </c>
      <c r="AJ86" s="62" t="n">
        <v>0</v>
      </c>
      <c r="AK86" s="62" t="n">
        <v>0</v>
      </c>
      <c r="AL86" s="62" t="n">
        <v>0</v>
      </c>
      <c r="AM86" s="62" t="n">
        <v>0</v>
      </c>
      <c r="AN86" s="62" t="n">
        <v>0</v>
      </c>
      <c r="AO86" s="62" t="n">
        <v>0</v>
      </c>
      <c r="AP86" s="62" t="n">
        <v>0</v>
      </c>
      <c r="AQ86" s="62" t="n">
        <v>0</v>
      </c>
      <c r="AR86" s="62" t="n">
        <v>0</v>
      </c>
    </row>
    <row r="87">
      <c r="B87" t="inlineStr">
        <is>
          <t>Carbon capture and storage cost</t>
        </is>
      </c>
      <c r="C87" t="inlineStr">
        <is>
          <t>£m</t>
        </is>
      </c>
      <c r="E87" t="inlineStr">
        <is>
          <t xml:space="preserve">Carbon captured x CO2 capture and storage </t>
        </is>
      </c>
      <c r="O87" s="65">
        <f>O86*O81/10^6</f>
        <v/>
      </c>
      <c r="P87" s="65">
        <f>P86*P81/10^6</f>
        <v/>
      </c>
      <c r="Q87" s="65">
        <f>Q86*Q81/10^6</f>
        <v/>
      </c>
      <c r="R87" s="65">
        <f>R86*R81/10^6</f>
        <v/>
      </c>
      <c r="S87" s="65">
        <f>S86*S81/10^6</f>
        <v/>
      </c>
      <c r="T87" s="65">
        <f>T86*T81/10^6</f>
        <v/>
      </c>
      <c r="U87" s="65">
        <f>U86*U81/10^6</f>
        <v/>
      </c>
      <c r="V87" s="65">
        <f>V86*V81/10^6</f>
        <v/>
      </c>
      <c r="W87" s="65">
        <f>W86*W81/10^6</f>
        <v/>
      </c>
      <c r="X87" s="65">
        <f>X86*X81/10^6</f>
        <v/>
      </c>
      <c r="Y87" s="65">
        <f>Y86*Y81/10^6</f>
        <v/>
      </c>
      <c r="Z87" s="65">
        <f>Z86*Z81/10^6</f>
        <v/>
      </c>
      <c r="AA87" s="65">
        <f>AA86*AA81/10^6</f>
        <v/>
      </c>
      <c r="AB87" s="65">
        <f>AB86*AB81/10^6</f>
        <v/>
      </c>
      <c r="AC87" s="65">
        <f>AC86*AC81/10^6</f>
        <v/>
      </c>
      <c r="AD87" s="65">
        <f>AD86*AD81/10^6</f>
        <v/>
      </c>
      <c r="AE87" s="65">
        <f>AE86*AE81/10^6</f>
        <v/>
      </c>
      <c r="AF87" s="65">
        <f>AF86*AF81/10^6</f>
        <v/>
      </c>
      <c r="AG87" s="65">
        <f>AG86*AG81/10^6</f>
        <v/>
      </c>
      <c r="AH87" s="65">
        <f>AH86*AH81/10^6</f>
        <v/>
      </c>
      <c r="AI87" s="65">
        <f>AI86*AI81/10^6</f>
        <v/>
      </c>
      <c r="AJ87" s="65">
        <f>AJ86*AJ81/10^6</f>
        <v/>
      </c>
      <c r="AK87" s="65">
        <f>AK86*AK81/10^6</f>
        <v/>
      </c>
      <c r="AL87" s="65">
        <f>AL86*AL81/10^6</f>
        <v/>
      </c>
      <c r="AM87" s="65">
        <f>AM86*AM81/10^6</f>
        <v/>
      </c>
      <c r="AN87" s="65">
        <f>AN86*AN81/10^6</f>
        <v/>
      </c>
      <c r="AO87" s="65">
        <f>AO86*AO81/10^6</f>
        <v/>
      </c>
      <c r="AP87" s="65">
        <f>AP86*AP81/10^6</f>
        <v/>
      </c>
      <c r="AQ87" s="65">
        <f>AQ86*AQ81/10^6</f>
        <v/>
      </c>
      <c r="AR87" s="65">
        <f>AR86*AR81/10^6</f>
        <v/>
      </c>
    </row>
    <row r="88">
      <c r="B88" t="inlineStr">
        <is>
          <t>Discounted Carbon capture and storage costs</t>
        </is>
      </c>
      <c r="C88" t="inlineStr">
        <is>
          <t>£m</t>
        </is>
      </c>
      <c r="E88" t="inlineStr">
        <is>
          <t>Carbon capture and storage cost x Discounting factor</t>
        </is>
      </c>
      <c r="F88" s="24">
        <f>SUM(O88:AW88)</f>
        <v/>
      </c>
      <c r="O88" s="62">
        <f>O87*O22</f>
        <v/>
      </c>
      <c r="P88" s="62">
        <f>P87*P22</f>
        <v/>
      </c>
      <c r="Q88" s="62">
        <f>Q87*Q22</f>
        <v/>
      </c>
      <c r="R88" s="62">
        <f>R87*R22</f>
        <v/>
      </c>
      <c r="S88" s="62">
        <f>S87*S22</f>
        <v/>
      </c>
      <c r="T88" s="62">
        <f>T87*T22</f>
        <v/>
      </c>
      <c r="U88" s="62">
        <f>U87*U22</f>
        <v/>
      </c>
      <c r="V88" s="62">
        <f>V87*V22</f>
        <v/>
      </c>
      <c r="W88" s="62">
        <f>W87*W22</f>
        <v/>
      </c>
      <c r="X88" s="62">
        <f>X87*X22</f>
        <v/>
      </c>
      <c r="Y88" s="62">
        <f>Y87*Y22</f>
        <v/>
      </c>
      <c r="Z88" s="62">
        <f>Z87*Z22</f>
        <v/>
      </c>
      <c r="AA88" s="62">
        <f>AA87*AA22</f>
        <v/>
      </c>
      <c r="AB88" s="62">
        <f>AB87*AB22</f>
        <v/>
      </c>
      <c r="AC88" s="62">
        <f>AC87*AC22</f>
        <v/>
      </c>
      <c r="AD88" s="62">
        <f>AD87*AD22</f>
        <v/>
      </c>
      <c r="AE88" s="62">
        <f>AE87*AE22</f>
        <v/>
      </c>
      <c r="AF88" s="62">
        <f>AF87*AF22</f>
        <v/>
      </c>
      <c r="AG88" s="62">
        <f>AG87*AG22</f>
        <v/>
      </c>
      <c r="AH88" s="62">
        <f>AH87*AH22</f>
        <v/>
      </c>
      <c r="AI88" s="62">
        <f>AI87*AI22</f>
        <v/>
      </c>
      <c r="AJ88" s="62">
        <f>AJ87*AJ22</f>
        <v/>
      </c>
      <c r="AK88" s="62">
        <f>AK87*AK22</f>
        <v/>
      </c>
      <c r="AL88" s="62">
        <f>AL87*AL22</f>
        <v/>
      </c>
      <c r="AM88" s="62">
        <f>AM87*AM22</f>
        <v/>
      </c>
      <c r="AN88" s="62">
        <f>AN87*AN22</f>
        <v/>
      </c>
      <c r="AO88" s="62">
        <f>AO87*AO22</f>
        <v/>
      </c>
      <c r="AP88" s="62">
        <f>AP87*AP22</f>
        <v/>
      </c>
      <c r="AQ88" s="62">
        <f>AQ87*AQ22</f>
        <v/>
      </c>
      <c r="AR88" s="62">
        <f>AR87*AR22</f>
        <v/>
      </c>
    </row>
  </sheetData>
  <pageMargins left="0.7" right="0.7" top="0.75" bottom="0.75" header="0.3" footer="0.3"/>
  <pageSetup orientation="portrait" paperSize="9" verticalDpi="0"/>
</worksheet>
</file>

<file path=xl/worksheets/sheet4.xml><?xml version="1.0" encoding="utf-8"?>
<worksheet xmlns="http://schemas.openxmlformats.org/spreadsheetml/2006/main">
  <sheetPr codeName="Sheet3">
    <outlinePr summaryBelow="1" summaryRight="1"/>
    <pageSetUpPr/>
  </sheetPr>
  <dimension ref="A1:D86"/>
  <sheetViews>
    <sheetView showGridLines="0" topLeftCell="A11" zoomScale="85" zoomScaleNormal="85" workbookViewId="0">
      <selection activeCell="A11" sqref="A11"/>
    </sheetView>
  </sheetViews>
  <sheetFormatPr baseColWidth="8" defaultRowHeight="14.5"/>
  <cols>
    <col width="15.453125" customWidth="1" min="2" max="2"/>
    <col width="15.1796875" customWidth="1" min="3" max="3"/>
  </cols>
  <sheetData>
    <row r="1" ht="21" customFormat="1" customHeight="1" s="3">
      <c r="A1" s="3" t="inlineStr">
        <is>
          <t>GDP Deflators</t>
        </is>
      </c>
    </row>
    <row r="3">
      <c r="A3" t="inlineStr">
        <is>
          <t>Source</t>
        </is>
      </c>
      <c r="B3" s="38" t="inlineStr">
        <is>
          <t>https://www.gov.uk/government/statistics/gdp-deflators-at-market-prices-and-money-gdp-march-2022-spring-statement</t>
        </is>
      </c>
    </row>
    <row r="5">
      <c r="B5" t="inlineStr">
        <is>
          <t>GDP DEFLATORS AT MARKET PRICES, AND MONEY GDP</t>
        </is>
      </c>
    </row>
    <row r="7" ht="15" customHeight="1">
      <c r="B7" t="inlineStr">
        <is>
          <t>Outturn data are as at the Quarterly National Accounts from ONS - last updated 31 March 2022.</t>
        </is>
      </c>
      <c r="C7" s="64" t="n"/>
    </row>
    <row r="8">
      <c r="B8" t="inlineStr">
        <is>
          <t>Forecast data are consistent with OBR Spring Statement EFO data as at 23 March 2022.</t>
        </is>
      </c>
      <c r="C8" s="64" t="n"/>
    </row>
    <row r="12" ht="17.5" customHeight="1" thickBot="1">
      <c r="B12" s="31" t="inlineStr">
        <is>
          <t>Calendar year</t>
        </is>
      </c>
      <c r="C12" s="31" t="n"/>
    </row>
    <row r="13" ht="15" customHeight="1" thickTop="1">
      <c r="C13" t="inlineStr">
        <is>
          <t xml:space="preserve">GDP deflator at market prices </t>
        </is>
      </c>
    </row>
    <row r="14" ht="15" customFormat="1" customHeight="1" s="1" thickBot="1">
      <c r="B14" s="25" t="inlineStr">
        <is>
          <t>Calendar year</t>
        </is>
      </c>
      <c r="C14" s="25" t="inlineStr">
        <is>
          <t>2021 = 100</t>
        </is>
      </c>
    </row>
    <row r="15">
      <c r="B15" t="inlineStr">
        <is>
          <t>1955</t>
        </is>
      </c>
      <c r="C15" t="n">
        <v>3.6756</v>
      </c>
    </row>
    <row r="16">
      <c r="B16" t="inlineStr">
        <is>
          <t>1956</t>
        </is>
      </c>
      <c r="C16" t="n">
        <v>3.9304</v>
      </c>
    </row>
    <row r="17">
      <c r="B17" t="inlineStr">
        <is>
          <t>1957</t>
        </is>
      </c>
      <c r="C17" t="n">
        <v>4.0878</v>
      </c>
    </row>
    <row r="18">
      <c r="B18" t="inlineStr">
        <is>
          <t>1958</t>
        </is>
      </c>
      <c r="C18" t="n">
        <v>4.2374</v>
      </c>
    </row>
    <row r="19">
      <c r="B19" t="inlineStr">
        <is>
          <t>1959</t>
        </is>
      </c>
      <c r="C19" t="n">
        <v>4.2682</v>
      </c>
    </row>
    <row r="20">
      <c r="B20" t="inlineStr">
        <is>
          <t>1960</t>
        </is>
      </c>
      <c r="C20" t="n">
        <v>4.3125</v>
      </c>
    </row>
    <row r="21">
      <c r="B21" t="inlineStr">
        <is>
          <t>1961</t>
        </is>
      </c>
      <c r="C21" t="n">
        <v>4.4759</v>
      </c>
    </row>
    <row r="22">
      <c r="B22" t="inlineStr">
        <is>
          <t>1962</t>
        </is>
      </c>
      <c r="C22" t="n">
        <v>4.6372</v>
      </c>
    </row>
    <row r="23">
      <c r="B23" t="inlineStr">
        <is>
          <t>1963</t>
        </is>
      </c>
      <c r="C23" t="n">
        <v>4.7049</v>
      </c>
    </row>
    <row r="24">
      <c r="B24" t="inlineStr">
        <is>
          <t>1964</t>
        </is>
      </c>
      <c r="C24" t="n">
        <v>4.8733</v>
      </c>
    </row>
    <row r="25">
      <c r="B25" t="inlineStr">
        <is>
          <t>1965</t>
        </is>
      </c>
      <c r="C25" t="n">
        <v>5.163</v>
      </c>
    </row>
    <row r="26">
      <c r="B26" t="inlineStr">
        <is>
          <t>1966</t>
        </is>
      </c>
      <c r="C26" t="n">
        <v>5.4387</v>
      </c>
    </row>
    <row r="27">
      <c r="B27" t="inlineStr">
        <is>
          <t>1967</t>
        </is>
      </c>
      <c r="C27" t="n">
        <v>5.5991</v>
      </c>
    </row>
    <row r="28">
      <c r="B28" t="inlineStr">
        <is>
          <t>1968</t>
        </is>
      </c>
      <c r="C28" t="n">
        <v>5.8341</v>
      </c>
    </row>
    <row r="29">
      <c r="B29" t="inlineStr">
        <is>
          <t>1969</t>
        </is>
      </c>
      <c r="C29" t="n">
        <v>6.2208</v>
      </c>
    </row>
    <row r="30">
      <c r="B30" t="inlineStr">
        <is>
          <t>1970</t>
        </is>
      </c>
      <c r="C30" t="n">
        <v>6.8187</v>
      </c>
    </row>
    <row r="31">
      <c r="B31" t="inlineStr">
        <is>
          <t>1971</t>
        </is>
      </c>
      <c r="C31" t="n">
        <v>7.3835</v>
      </c>
    </row>
    <row r="32">
      <c r="B32" t="inlineStr">
        <is>
          <t>1972</t>
        </is>
      </c>
      <c r="C32" t="n">
        <v>7.9412</v>
      </c>
    </row>
    <row r="33">
      <c r="B33" t="inlineStr">
        <is>
          <t>1973</t>
        </is>
      </c>
      <c r="C33" t="n">
        <v>8.645099999999999</v>
      </c>
    </row>
    <row r="34">
      <c r="B34" t="inlineStr">
        <is>
          <t>1974</t>
        </is>
      </c>
      <c r="C34" t="n">
        <v>10.0416</v>
      </c>
    </row>
    <row r="35">
      <c r="B35" t="inlineStr">
        <is>
          <t>1975</t>
        </is>
      </c>
      <c r="C35" t="n">
        <v>12.6676</v>
      </c>
    </row>
    <row r="36">
      <c r="B36" t="inlineStr">
        <is>
          <t>1976</t>
        </is>
      </c>
      <c r="C36" t="n">
        <v>14.6271</v>
      </c>
    </row>
    <row r="37">
      <c r="B37" t="inlineStr">
        <is>
          <t>1977</t>
        </is>
      </c>
      <c r="C37" t="n">
        <v>16.6552</v>
      </c>
    </row>
    <row r="38">
      <c r="B38" t="inlineStr">
        <is>
          <t>1978</t>
        </is>
      </c>
      <c r="C38" t="n">
        <v>18.6222</v>
      </c>
    </row>
    <row r="39">
      <c r="B39" t="inlineStr">
        <is>
          <t>1979</t>
        </is>
      </c>
      <c r="C39" t="n">
        <v>21.3119</v>
      </c>
    </row>
    <row r="40">
      <c r="B40" t="inlineStr">
        <is>
          <t>1980</t>
        </is>
      </c>
      <c r="C40" t="n">
        <v>25.6187</v>
      </c>
    </row>
    <row r="41">
      <c r="B41" t="inlineStr">
        <is>
          <t>1981</t>
        </is>
      </c>
      <c r="C41" t="n">
        <v>28.7767</v>
      </c>
    </row>
    <row r="42">
      <c r="B42" t="inlineStr">
        <is>
          <t>1982</t>
        </is>
      </c>
      <c r="C42" t="n">
        <v>31.0804</v>
      </c>
    </row>
    <row r="43">
      <c r="B43" t="inlineStr">
        <is>
          <t>1983</t>
        </is>
      </c>
      <c r="C43" t="n">
        <v>32.8025</v>
      </c>
    </row>
    <row r="44">
      <c r="B44" t="inlineStr">
        <is>
          <t>1984</t>
        </is>
      </c>
      <c r="C44" t="n">
        <v>34.5151</v>
      </c>
    </row>
    <row r="45">
      <c r="B45" t="inlineStr">
        <is>
          <t>1985</t>
        </is>
      </c>
      <c r="C45" t="n">
        <v>36.3745</v>
      </c>
    </row>
    <row r="46">
      <c r="B46" t="inlineStr">
        <is>
          <t>1986</t>
        </is>
      </c>
      <c r="C46" t="n">
        <v>38.0054</v>
      </c>
    </row>
    <row r="47">
      <c r="B47" t="inlineStr">
        <is>
          <t>1987</t>
        </is>
      </c>
      <c r="C47" t="n">
        <v>40.0808</v>
      </c>
    </row>
    <row r="48">
      <c r="B48" t="inlineStr">
        <is>
          <t>1988</t>
        </is>
      </c>
      <c r="C48" t="n">
        <v>42.528</v>
      </c>
    </row>
    <row r="49">
      <c r="B49" t="inlineStr">
        <is>
          <t>1989</t>
        </is>
      </c>
      <c r="C49" t="n">
        <v>45.9383</v>
      </c>
    </row>
    <row r="50">
      <c r="B50" t="inlineStr">
        <is>
          <t>1990</t>
        </is>
      </c>
      <c r="C50" t="n">
        <v>49.7195</v>
      </c>
    </row>
    <row r="51">
      <c r="B51" t="inlineStr">
        <is>
          <t>1991</t>
        </is>
      </c>
      <c r="C51" t="n">
        <v>53.0873</v>
      </c>
    </row>
    <row r="52">
      <c r="B52" t="inlineStr">
        <is>
          <t>1992</t>
        </is>
      </c>
      <c r="C52" t="n">
        <v>54.8274</v>
      </c>
    </row>
    <row r="53">
      <c r="B53" t="inlineStr">
        <is>
          <t>1993</t>
        </is>
      </c>
      <c r="C53" t="n">
        <v>56.4006</v>
      </c>
    </row>
    <row r="54">
      <c r="B54" t="inlineStr">
        <is>
          <t>1994</t>
        </is>
      </c>
      <c r="C54" t="n">
        <v>57.2327</v>
      </c>
    </row>
    <row r="55">
      <c r="B55" t="inlineStr">
        <is>
          <t>1995</t>
        </is>
      </c>
      <c r="C55" t="n">
        <v>58.6819</v>
      </c>
    </row>
    <row r="56">
      <c r="B56" t="inlineStr">
        <is>
          <t>1996</t>
        </is>
      </c>
      <c r="C56" t="n">
        <v>61.1805</v>
      </c>
    </row>
    <row r="57">
      <c r="B57" t="inlineStr">
        <is>
          <t>1997</t>
        </is>
      </c>
      <c r="C57" t="n">
        <v>60.9721</v>
      </c>
    </row>
    <row r="58">
      <c r="B58" t="inlineStr">
        <is>
          <t>1998</t>
        </is>
      </c>
      <c r="C58" t="n">
        <v>61.9408</v>
      </c>
    </row>
    <row r="59">
      <c r="B59" t="inlineStr">
        <is>
          <t>1999</t>
        </is>
      </c>
      <c r="C59" t="n">
        <v>62.7802</v>
      </c>
    </row>
    <row r="60">
      <c r="B60" t="inlineStr">
        <is>
          <t>2000</t>
        </is>
      </c>
      <c r="C60" t="n">
        <v>63.8374</v>
      </c>
    </row>
    <row r="61">
      <c r="B61" t="inlineStr">
        <is>
          <t>2001</t>
        </is>
      </c>
      <c r="C61" t="n">
        <v>65.01900000000001</v>
      </c>
    </row>
    <row r="62">
      <c r="B62" t="inlineStr">
        <is>
          <t>2002</t>
        </is>
      </c>
      <c r="C62" t="n">
        <v>66.35850000000001</v>
      </c>
    </row>
    <row r="63">
      <c r="B63" t="inlineStr">
        <is>
          <t>2003</t>
        </is>
      </c>
      <c r="C63" t="n">
        <v>68.17359999999999</v>
      </c>
    </row>
    <row r="64">
      <c r="B64" t="inlineStr">
        <is>
          <t>2004</t>
        </is>
      </c>
      <c r="C64" t="n">
        <v>69.928</v>
      </c>
    </row>
    <row r="65">
      <c r="B65" t="inlineStr">
        <is>
          <t>2005</t>
        </is>
      </c>
      <c r="C65" t="n">
        <v>72.1178</v>
      </c>
    </row>
    <row r="66">
      <c r="B66" t="inlineStr">
        <is>
          <t>2006</t>
        </is>
      </c>
      <c r="C66" t="n">
        <v>74.1755</v>
      </c>
    </row>
    <row r="67">
      <c r="B67" t="inlineStr">
        <is>
          <t>2007</t>
        </is>
      </c>
      <c r="C67" t="n">
        <v>76.2495</v>
      </c>
    </row>
    <row r="68">
      <c r="B68" t="inlineStr">
        <is>
          <t>2008</t>
        </is>
      </c>
      <c r="C68" t="n">
        <v>78.7268</v>
      </c>
    </row>
    <row r="69">
      <c r="B69" t="inlineStr">
        <is>
          <t>2009</t>
        </is>
      </c>
      <c r="C69" t="n">
        <v>80.066</v>
      </c>
    </row>
    <row r="70">
      <c r="B70" t="inlineStr">
        <is>
          <t>2010</t>
        </is>
      </c>
      <c r="C70" t="n">
        <v>81.1657</v>
      </c>
      <c r="D70" s="32" t="n"/>
    </row>
    <row r="71">
      <c r="B71" s="2" t="n">
        <v>2011</v>
      </c>
      <c r="C71" t="n">
        <v>82.8449</v>
      </c>
      <c r="D71" s="32" t="n"/>
    </row>
    <row r="72">
      <c r="B72" s="2" t="n">
        <v>2012</v>
      </c>
      <c r="C72" t="n">
        <v>84.178</v>
      </c>
      <c r="D72" s="32" t="n"/>
    </row>
    <row r="73">
      <c r="B73" s="2" t="n">
        <v>2013</v>
      </c>
      <c r="C73" t="n">
        <v>86.06</v>
      </c>
      <c r="D73" s="32" t="n"/>
    </row>
    <row r="74">
      <c r="B74" s="2" t="n">
        <v>2014</v>
      </c>
      <c r="C74" t="n">
        <v>87.4329</v>
      </c>
      <c r="D74" s="32" t="n"/>
    </row>
    <row r="75">
      <c r="B75" s="2" t="n">
        <v>2015</v>
      </c>
      <c r="C75" t="n">
        <v>87.8815</v>
      </c>
      <c r="D75" s="32" t="n"/>
    </row>
    <row r="76">
      <c r="B76" s="2" t="n">
        <v>2016</v>
      </c>
      <c r="C76" t="n">
        <v>89.548</v>
      </c>
      <c r="D76" s="32" t="n"/>
    </row>
    <row r="77">
      <c r="B77" s="2" t="n">
        <v>2017</v>
      </c>
      <c r="C77" t="n">
        <v>91.1786</v>
      </c>
      <c r="D77" s="32" t="n"/>
    </row>
    <row r="78">
      <c r="B78" s="2" t="n">
        <v>2018</v>
      </c>
      <c r="C78" t="n">
        <v>93.00109999999999</v>
      </c>
      <c r="D78" s="32" t="n"/>
    </row>
    <row r="79">
      <c r="B79" s="2" t="n">
        <v>2019</v>
      </c>
      <c r="C79" t="n">
        <v>94.8763</v>
      </c>
    </row>
    <row r="80">
      <c r="B80" s="2" t="n">
        <v>2020</v>
      </c>
      <c r="C80" t="n">
        <v>99.9238</v>
      </c>
    </row>
    <row r="81">
      <c r="B81" s="2" t="n">
        <v>2021</v>
      </c>
      <c r="C81" t="n">
        <v>100</v>
      </c>
      <c r="D81" s="36" t="inlineStr">
        <is>
          <t>Values after 2021 are projections</t>
        </is>
      </c>
    </row>
    <row r="82">
      <c r="B82" t="inlineStr">
        <is>
          <t>2022 (1), (2)</t>
        </is>
      </c>
      <c r="C82" t="inlineStr">
        <is>
          <t>-</t>
        </is>
      </c>
    </row>
    <row r="83">
      <c r="B83" t="inlineStr">
        <is>
          <t>2023 (1), (2)</t>
        </is>
      </c>
      <c r="C83" t="inlineStr">
        <is>
          <t>-</t>
        </is>
      </c>
    </row>
    <row r="84">
      <c r="B84" t="inlineStr">
        <is>
          <t>2024 (1), (2)</t>
        </is>
      </c>
      <c r="C84" t="inlineStr">
        <is>
          <t>-</t>
        </is>
      </c>
    </row>
    <row r="85">
      <c r="B85" t="inlineStr">
        <is>
          <t>2025 (1), (2)</t>
        </is>
      </c>
      <c r="C85" t="inlineStr">
        <is>
          <t>-</t>
        </is>
      </c>
    </row>
    <row r="86">
      <c r="B86" t="inlineStr">
        <is>
          <t>2026 (1), (2)</t>
        </is>
      </c>
      <c r="C86" t="inlineStr">
        <is>
          <t>-</t>
        </is>
      </c>
    </row>
  </sheetData>
  <hyperlinks>
    <hyperlink xmlns:r="http://schemas.openxmlformats.org/officeDocument/2006/relationships" ref="B3" r:id="rId1"/>
  </hyperlinks>
  <pageMargins left="0.7" right="0.7" top="0.75" bottom="0.75" header="0.3" footer="0.3"/>
  <pageSetup orientation="portrait" paperSize="9"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Wareing, Barney (BEIS)</dc:creator>
  <dcterms:created xsi:type="dcterms:W3CDTF">2020-09-24T08:01:13Z</dcterms:created>
  <dcterms:modified xsi:type="dcterms:W3CDTF">2026-10-18T07:01:44Z</dcterms:modified>
  <cp:lastModifiedBy>Inwood, Jennifer (Energy Security)</cp:lastModifiedBy>
</cp:coreProperties>
</file>

<file path=docProps/custom.xml><?xml version="1.0" encoding="utf-8"?>
<Properties xmlns:vt="http://schemas.openxmlformats.org/officeDocument/2006/docPropsVTypes" xmlns="http://schemas.openxmlformats.org/officeDocument/2006/custom-properties">
  <property name="MSIP_Label_ba62f585-b40f-4ab9-bafe-39150f03d124_Enabled" fmtid="{D5CDD505-2E9C-101B-9397-08002B2CF9AE}" pid="2">
    <vt:lpwstr>true</vt:lpwstr>
  </property>
  <property name="MSIP_Label_ba62f585-b40f-4ab9-bafe-39150f03d124_SetDate" fmtid="{D5CDD505-2E9C-101B-9397-08002B2CF9AE}" pid="3">
    <vt:lpwstr>2020-09-24T08:11:55Z</vt:lpwstr>
  </property>
  <property name="MSIP_Label_ba62f585-b40f-4ab9-bafe-39150f03d124_Method" fmtid="{D5CDD505-2E9C-101B-9397-08002B2CF9AE}" pid="4">
    <vt:lpwstr>Standard</vt:lpwstr>
  </property>
  <property name="MSIP_Label_ba62f585-b40f-4ab9-bafe-39150f03d124_Name" fmtid="{D5CDD505-2E9C-101B-9397-08002B2CF9AE}" pid="5">
    <vt:lpwstr>OFFICIAL</vt:lpwstr>
  </property>
  <property name="MSIP_Label_ba62f585-b40f-4ab9-bafe-39150f03d124_SiteId" fmtid="{D5CDD505-2E9C-101B-9397-08002B2CF9AE}" pid="6">
    <vt:lpwstr>cbac7005-02c1-43eb-b497-e6492d1b2dd8</vt:lpwstr>
  </property>
  <property name="MSIP_Label_ba62f585-b40f-4ab9-bafe-39150f03d124_ActionId" fmtid="{D5CDD505-2E9C-101B-9397-08002B2CF9AE}" pid="7">
    <vt:lpwstr>941c74e1-4e9f-450a-af9a-0000251dacbc</vt:lpwstr>
  </property>
  <property name="MSIP_Label_ba62f585-b40f-4ab9-bafe-39150f03d124_ContentBits" fmtid="{D5CDD505-2E9C-101B-9397-08002B2CF9AE}" pid="8">
    <vt:lpwstr>0</vt:lpwstr>
  </property>
  <property name="ContentTypeId" fmtid="{D5CDD505-2E9C-101B-9397-08002B2CF9AE}" pid="9">
    <vt:lpwstr>0x010100F4582DC177B735439E316E7A5776D78C</vt:lpwstr>
  </property>
  <property name="_dlc_DocIdItemGuid" fmtid="{D5CDD505-2E9C-101B-9397-08002B2CF9AE}" pid="10">
    <vt:lpwstr>62605bc6-59cc-45c0-bae4-2bdc655bf57b</vt:lpwstr>
  </property>
  <property name="Business Unit" fmtid="{D5CDD505-2E9C-101B-9397-08002B2CF9AE}" pid="11">
    <vt:lpwstr>1;#Energy, Economics and Analysis|ad665203-77be-4374-9e87-14a4bc867ca8</vt:lpwstr>
  </property>
  <property name="MediaServiceImageTags" fmtid="{D5CDD505-2E9C-101B-9397-08002B2CF9AE}" pid="12">
    <vt:lpwstr/>
  </property>
  <property name="_ExtendedDescription" fmtid="{D5CDD505-2E9C-101B-9397-08002B2CF9AE}" pid="13">
    <vt:lpwstr/>
  </property>
</Properties>
</file>