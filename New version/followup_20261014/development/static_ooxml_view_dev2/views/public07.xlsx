
<file path=[Content_Types].xml><?xml version="1.0" encoding="utf-8"?>
<ns0:Types xmlns:ns0="http://schemas.openxmlformats.org/package/2006/content-types">
  <ns0:Default Extension="bin" ContentType="application/vnd.openxmlformats-officedocument.spreadsheetml.printerSettings"/>
  <ns0:Default Extension="rels" ContentType="application/vnd.openxmlformats-package.relationships+xml"/>
  <ns0:Default Extension="vml" ContentType="application/vnd.openxmlformats-officedocument.vmlDrawing"/>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Override PartName="/xl/drawings/drawing1.xml" ContentType="application/vnd.openxmlformats-officedocument.drawing+xml"/>
  <ns0:Override PartName="/xl/ctrlProps/ctrlProp1.xml" ContentType="application/vnd.ms-excel.controlproperties+xml"/>
  <ns0:Override PartName="/xl/ctrlProps/ctrlProp2.xml" ContentType="application/vnd.ms-excel.controlproperties+xml"/>
  <ns0:Override PartName="/xl/ctrlProps/ctrlProp3.xml" ContentType="application/vnd.ms-excel.controlproperties+xml"/>
  <ns0:Override PartName="/xl/ctrlProps/ctrlProp4.xml" ContentType="application/vnd.ms-excel.controlproperties+xml"/>
  <ns0:Override PartName="/xl/ctrlProps/ctrlProp5.xml" ContentType="application/vnd.ms-excel.controlproperties+xml"/>
  <ns0:Override PartName="/xl/calcChain.xml" ContentType="application/vnd.openxmlformats-officedocument.spreadsheetml.calcChain+xml"/>
  <ns0:Override PartName="/docProps/core.xml" ContentType="application/vnd.openxmlformats-package.core-properties+xml"/>
  <ns0:Override PartName="/docProps/app.xml" ContentType="application/vnd.openxmlformats-officedocument.extended-properties+xml"/>
</ns0: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codeName="{564CA151-5A5B-428A-3C10-775976492406}"/>
  <workbookPr filterPrivacy="1" codeName="ThisWorkbook"/>
  <xr:revisionPtr revIDLastSave="0" documentId="13_ncr:1_{8220AC07-0F62-4F72-98F6-BC75D0EA4D78}" xr6:coauthVersionLast="45" xr6:coauthVersionMax="45" xr10:uidLastSave="{00000000-0000-0000-0000-000000000000}"/>
  <bookViews>
    <workbookView xWindow="-120" yWindow="-120" windowWidth="20730" windowHeight="11160" activeTab="1" xr2:uid="{00000000-000D-0000-FFFF-FFFF00000000}"/>
  </bookViews>
  <sheets>
    <sheet name="Read Me" sheetId="4" r:id="rId1"/>
    <sheet name="Data Inputs" sheetId="5" r:id="rId2"/>
    <sheet name="Design Parameters" sheetId="6" r:id="rId3"/>
    <sheet name="Cost Estimate" sheetId="3" r:id="rId4"/>
    <sheet name="Table A" sheetId="7" r:id="rId5"/>
    <sheet name="Table B"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4" i="5" l="1"/>
  <c r="P15" i="5" l="1"/>
  <c r="R11" i="5" l="1"/>
  <c r="R10" i="5"/>
  <c r="R9" i="5"/>
  <c r="R8" i="5"/>
  <c r="R7" i="5"/>
  <c r="R6" i="5"/>
  <c r="R5" i="5"/>
  <c r="Q11" i="5"/>
  <c r="Q10" i="5"/>
  <c r="Q9" i="5"/>
  <c r="Q8" i="5"/>
  <c r="Q7" i="5"/>
  <c r="Q6" i="5"/>
  <c r="Q5" i="5"/>
  <c r="P13" i="5" l="1"/>
  <c r="A8" i="6"/>
  <c r="C56" i="5"/>
  <c r="A9" i="6"/>
  <c r="A164" i="3"/>
  <c r="A108" i="3"/>
  <c r="C66" i="6" l="1"/>
  <c r="C54" i="6"/>
  <c r="C68" i="6" s="1"/>
  <c r="B191" i="3" l="1"/>
  <c r="B180" i="3"/>
  <c r="B181" i="3"/>
  <c r="P19" i="5"/>
  <c r="A64" i="6" l="1"/>
  <c r="D201" i="3"/>
  <c r="C57" i="6"/>
  <c r="A17" i="5" l="1"/>
  <c r="D17" i="5"/>
  <c r="C168" i="3"/>
  <c r="C167" i="3"/>
  <c r="C155" i="3"/>
  <c r="D203" i="3"/>
  <c r="D195" i="3"/>
  <c r="D193" i="3"/>
  <c r="D184" i="3"/>
  <c r="D173" i="3"/>
  <c r="D48" i="5"/>
  <c r="D151" i="3"/>
  <c r="D149" i="3"/>
  <c r="C99" i="3"/>
  <c r="P14" i="5" l="1"/>
  <c r="D24" i="5"/>
  <c r="C56" i="3"/>
  <c r="C57" i="3" s="1"/>
  <c r="C58" i="3"/>
  <c r="C125" i="3"/>
  <c r="C126" i="3" s="1"/>
  <c r="C123" i="3"/>
  <c r="C124" i="3" s="1"/>
  <c r="C42" i="5"/>
  <c r="E16" i="8"/>
  <c r="E15" i="8"/>
  <c r="E12" i="8"/>
  <c r="E11" i="8"/>
  <c r="E10" i="8"/>
  <c r="E7" i="8"/>
  <c r="D17" i="8"/>
  <c r="D16" i="8"/>
  <c r="D15" i="8"/>
  <c r="D14" i="8"/>
  <c r="D13" i="8"/>
  <c r="D12" i="8"/>
  <c r="D11" i="8"/>
  <c r="D10" i="8"/>
  <c r="D9" i="8"/>
  <c r="D8" i="8"/>
  <c r="D7" i="8"/>
  <c r="D6" i="8"/>
  <c r="D5" i="8"/>
  <c r="D4" i="8"/>
  <c r="E3" i="8"/>
  <c r="D3" i="8"/>
  <c r="D143" i="3"/>
  <c r="D141" i="3"/>
  <c r="D131" i="3"/>
  <c r="D117" i="3"/>
  <c r="C112" i="3"/>
  <c r="C111" i="3"/>
  <c r="C16" i="6"/>
  <c r="C17" i="6" s="1"/>
  <c r="C58" i="6"/>
  <c r="C60" i="6" s="1"/>
  <c r="C9" i="6"/>
  <c r="C11" i="6"/>
  <c r="R1" i="5"/>
  <c r="A9" i="5" s="1"/>
  <c r="C202" i="3" l="1"/>
  <c r="C150" i="3"/>
  <c r="C59" i="6"/>
  <c r="C61" i="6"/>
  <c r="C28" i="6"/>
  <c r="B4" i="6"/>
  <c r="A5" i="3"/>
  <c r="C135" i="3"/>
  <c r="B5" i="6"/>
  <c r="D15" i="5"/>
  <c r="C15" i="5"/>
  <c r="D38" i="5"/>
  <c r="C38" i="5"/>
  <c r="C43" i="5"/>
  <c r="C46" i="5"/>
  <c r="C47" i="5"/>
  <c r="C23" i="5"/>
  <c r="C22" i="5"/>
  <c r="C21" i="5"/>
  <c r="C20" i="5"/>
  <c r="C19" i="5"/>
  <c r="C154" i="3" l="1"/>
  <c r="C156" i="3" s="1"/>
  <c r="C98" i="3"/>
  <c r="C100" i="3" s="1"/>
  <c r="C180" i="3"/>
  <c r="C181" i="3"/>
  <c r="C62" i="6"/>
  <c r="A62" i="6"/>
  <c r="B8" i="3"/>
  <c r="D18" i="6"/>
  <c r="C10" i="6"/>
  <c r="D22" i="5"/>
  <c r="D21" i="5"/>
  <c r="C19" i="6"/>
  <c r="C20" i="6"/>
  <c r="C22" i="6" s="1"/>
  <c r="C36" i="6" s="1"/>
  <c r="D20" i="5"/>
  <c r="D19" i="5"/>
  <c r="B7" i="3"/>
  <c r="A32" i="5"/>
  <c r="A31" i="5"/>
  <c r="A30" i="5"/>
  <c r="C32" i="6"/>
  <c r="C127" i="3" l="1"/>
  <c r="C128" i="3"/>
  <c r="C158" i="3"/>
  <c r="C159" i="3"/>
  <c r="C160" i="3"/>
  <c r="C103" i="3"/>
  <c r="C102" i="3"/>
  <c r="C104" i="3"/>
  <c r="C12" i="6"/>
  <c r="C13" i="6" s="1"/>
  <c r="C25" i="6"/>
  <c r="C18" i="6"/>
  <c r="C14" i="3"/>
  <c r="C85" i="3"/>
  <c r="C94" i="3"/>
  <c r="D23" i="5"/>
  <c r="C106" i="3" l="1"/>
  <c r="C162" i="3"/>
  <c r="C27" i="6"/>
  <c r="C80" i="3"/>
  <c r="C32" i="3"/>
  <c r="C31" i="3"/>
  <c r="C47" i="6"/>
  <c r="C54" i="3" s="1"/>
  <c r="D45" i="5"/>
  <c r="C45" i="5"/>
  <c r="D44" i="5"/>
  <c r="C44" i="5"/>
  <c r="D43" i="5"/>
  <c r="C37" i="5"/>
  <c r="D47" i="5"/>
  <c r="D46" i="5"/>
  <c r="D51" i="5"/>
  <c r="C51" i="5"/>
  <c r="C50" i="5"/>
  <c r="C48" i="5"/>
  <c r="D50" i="5"/>
  <c r="C166" i="3" l="1"/>
  <c r="C170" i="3" s="1"/>
  <c r="C61" i="3"/>
  <c r="C60" i="3"/>
  <c r="C110" i="3"/>
  <c r="C29" i="6"/>
  <c r="C23" i="6" s="1"/>
  <c r="C37" i="6" s="1"/>
  <c r="C38" i="6" s="1"/>
  <c r="C51" i="6"/>
  <c r="C171" i="3" l="1"/>
  <c r="C114" i="3"/>
  <c r="C115" i="3" s="1"/>
  <c r="C33" i="6"/>
  <c r="C34" i="6"/>
  <c r="C24" i="6"/>
  <c r="C41" i="6" s="1"/>
  <c r="C131" i="3"/>
  <c r="C55" i="3"/>
  <c r="C43" i="6"/>
  <c r="C173" i="3" l="1"/>
  <c r="C117" i="3"/>
  <c r="C35" i="6"/>
  <c r="C12" i="3" s="1"/>
  <c r="C42" i="6"/>
  <c r="C44" i="6" s="1"/>
  <c r="C53" i="3" s="1"/>
  <c r="C59" i="3"/>
  <c r="C179" i="3" l="1"/>
  <c r="C184" i="3" s="1"/>
  <c r="C13" i="3"/>
  <c r="C15" i="3" s="1"/>
  <c r="C19" i="3" s="1"/>
  <c r="C188" i="3"/>
  <c r="C189" i="3"/>
  <c r="C190" i="3"/>
  <c r="C68" i="3"/>
  <c r="C64" i="3"/>
  <c r="A10" i="3"/>
  <c r="C18" i="3" l="1"/>
  <c r="C21" i="3" s="1"/>
  <c r="C39" i="3" s="1"/>
  <c r="D57" i="5"/>
  <c r="C57" i="5"/>
  <c r="C28" i="3" l="1"/>
  <c r="C42" i="3"/>
  <c r="C30" i="3"/>
  <c r="C26" i="3"/>
  <c r="C38" i="3"/>
  <c r="C29" i="3"/>
  <c r="C27" i="3"/>
  <c r="C41" i="3"/>
  <c r="C25" i="3"/>
  <c r="C40" i="3"/>
  <c r="C34" i="3" l="1"/>
  <c r="C44" i="3"/>
  <c r="C136" i="3"/>
  <c r="C138" i="3"/>
  <c r="C137" i="3"/>
  <c r="C45" i="3" l="1"/>
  <c r="C47" i="3" s="1"/>
  <c r="D16" i="5"/>
  <c r="D95" i="3"/>
  <c r="C71" i="3" l="1"/>
  <c r="C69" i="3"/>
  <c r="C70" i="3"/>
  <c r="D47" i="3"/>
  <c r="C17" i="5"/>
  <c r="C54" i="5" l="1"/>
  <c r="C55" i="5"/>
  <c r="B6" i="3" l="1"/>
  <c r="C64" i="6" l="1"/>
  <c r="C72" i="3" l="1"/>
  <c r="C74" i="3" s="1"/>
  <c r="C87" i="3" s="1"/>
  <c r="C191" i="3"/>
  <c r="C193" i="3" s="1"/>
  <c r="C139" i="3"/>
  <c r="C141" i="3" s="1"/>
  <c r="D93" i="3"/>
  <c r="D87" i="3"/>
  <c r="D74" i="3"/>
  <c r="D64" i="3"/>
  <c r="A36" i="3"/>
  <c r="A23" i="3"/>
  <c r="C143" i="3" l="1"/>
  <c r="C149" i="3" s="1"/>
  <c r="C151" i="3" s="1"/>
  <c r="C195" i="3"/>
  <c r="C201" i="3" s="1"/>
  <c r="C203" i="3" s="1"/>
  <c r="C93" i="3"/>
  <c r="C95" i="3" s="1"/>
  <c r="A37" i="5"/>
</calcChain>
</file>

<file path=xl/sharedStrings.xml><?xml version="1.0" encoding="utf-8"?>
<sst xmlns="http://schemas.openxmlformats.org/spreadsheetml/2006/main" count="569" uniqueCount="352">
  <si>
    <t>hours/year</t>
  </si>
  <si>
    <t>Sales taxes =</t>
  </si>
  <si>
    <t>Freight =</t>
  </si>
  <si>
    <t>Foundations and Supports =</t>
  </si>
  <si>
    <t>Electrical =</t>
  </si>
  <si>
    <t>Piping =</t>
  </si>
  <si>
    <t>Painting =</t>
  </si>
  <si>
    <t>Site Preparation (SP) =</t>
  </si>
  <si>
    <t>Buildings (Bldg) =</t>
  </si>
  <si>
    <t xml:space="preserve">Engineering = </t>
  </si>
  <si>
    <t xml:space="preserve">Construction and field expenses = </t>
  </si>
  <si>
    <t>Contractor fees =</t>
  </si>
  <si>
    <t>Start-up =</t>
  </si>
  <si>
    <t>Performance test =</t>
  </si>
  <si>
    <t>Total Indirect Costs (IC) =</t>
  </si>
  <si>
    <t>Air Pollution Control Cost Estimation Spreadsheet</t>
  </si>
  <si>
    <t xml:space="preserve">U.S. Environmental Protection Agency </t>
  </si>
  <si>
    <t>Air Economics Group</t>
  </si>
  <si>
    <t>Health and Environmental Impacts Division</t>
  </si>
  <si>
    <t>Office of Air Quality Planning and Standards</t>
  </si>
  <si>
    <t xml:space="preserve">Instructions </t>
  </si>
  <si>
    <t>Data Inputs</t>
  </si>
  <si>
    <t>Cost Estimate</t>
  </si>
  <si>
    <t>Cost Effectiveness</t>
  </si>
  <si>
    <t>tons/year</t>
  </si>
  <si>
    <t xml:space="preserve">Cost Effectiveness = </t>
  </si>
  <si>
    <t>Annual Interest Rate (i)</t>
  </si>
  <si>
    <t>Parameter</t>
  </si>
  <si>
    <t>Equation</t>
  </si>
  <si>
    <t>Calculated Value</t>
  </si>
  <si>
    <t>Units</t>
  </si>
  <si>
    <t>Design Parameters</t>
  </si>
  <si>
    <t>Capital Recovery Factor:</t>
  </si>
  <si>
    <t>Operator Labor Rate</t>
  </si>
  <si>
    <t>Supervisor = 15% of Operator</t>
  </si>
  <si>
    <t>Materials = 100% of maintenance labor</t>
  </si>
  <si>
    <t>Direct Annual Costs</t>
  </si>
  <si>
    <t>Indirect Annual Costs</t>
  </si>
  <si>
    <t>Overhead</t>
  </si>
  <si>
    <t>Administrative Charges</t>
  </si>
  <si>
    <t>= 2% of TCI</t>
  </si>
  <si>
    <t>Property Taxes</t>
  </si>
  <si>
    <t>= 1% of TCI</t>
  </si>
  <si>
    <t>Insurance</t>
  </si>
  <si>
    <t>Capital Recovery</t>
  </si>
  <si>
    <t>Total Annual Cost =</t>
  </si>
  <si>
    <t>Annual Recovery Credit for Condensate (RC)</t>
  </si>
  <si>
    <t>= 60% of sum of operator, supervisor, maintenance labor Plus maintenance materials</t>
  </si>
  <si>
    <t>If known, enter any additional costs for site preparation and building construction/modification:</t>
  </si>
  <si>
    <t xml:space="preserve">Desired dollar-year </t>
  </si>
  <si>
    <t xml:space="preserve">Total Purchased Equipment Costs (B) = </t>
  </si>
  <si>
    <t>Annual Electricity Cost =</t>
  </si>
  <si>
    <t>Capital Costs</t>
  </si>
  <si>
    <t xml:space="preserve"> VOC Recovery Credit</t>
  </si>
  <si>
    <t xml:space="preserve">Cost Effectiveness </t>
  </si>
  <si>
    <t>Total Annual Cost  (TAC) =</t>
  </si>
  <si>
    <t>TAC =</t>
  </si>
  <si>
    <t>Annual Costs</t>
  </si>
  <si>
    <t>VOC Controlled/Recovered =</t>
  </si>
  <si>
    <t>Instrumentation =</t>
  </si>
  <si>
    <t>Insulation =</t>
  </si>
  <si>
    <t xml:space="preserve">Data Sources for Default Values Used in Calculations: </t>
  </si>
  <si>
    <t>Data Element</t>
  </si>
  <si>
    <t>Default Value</t>
  </si>
  <si>
    <t>Sources for Default Value</t>
  </si>
  <si>
    <t>Recommended data sources for site-specific information</t>
  </si>
  <si>
    <t xml:space="preserve"> </t>
  </si>
  <si>
    <t xml:space="preserve">Check with reagent vendors for current prices. </t>
  </si>
  <si>
    <t>Electricity Cost ($/kWh)</t>
  </si>
  <si>
    <t xml:space="preserve">Plant's utility bill or use U.S. Energy Information Administration (EIA) data for most recent year. Available at http://www.eia.gov/electricity/data.cfm#sales. </t>
  </si>
  <si>
    <t>Operator Labor Rate ($/hour)</t>
  </si>
  <si>
    <t>Maintenance Labor Rate ($/hour)</t>
  </si>
  <si>
    <t>Maintenance Labor Rate</t>
  </si>
  <si>
    <t xml:space="preserve">If you used your own site-specific values, please reference  the source from which the site-specific value was derived. </t>
  </si>
  <si>
    <t>Acetone</t>
  </si>
  <si>
    <r>
      <t>[i × (1 + i)</t>
    </r>
    <r>
      <rPr>
        <vertAlign val="superscript"/>
        <sz val="12"/>
        <color theme="1"/>
        <rFont val="Calibri"/>
        <family val="2"/>
        <scheme val="minor"/>
      </rPr>
      <t>n</t>
    </r>
    <r>
      <rPr>
        <sz val="12"/>
        <color theme="1"/>
        <rFont val="Calibri"/>
        <family val="2"/>
        <scheme val="minor"/>
      </rPr>
      <t>] / [(1 + i)</t>
    </r>
    <r>
      <rPr>
        <vertAlign val="superscript"/>
        <sz val="12"/>
        <color theme="1"/>
        <rFont val="Calibri"/>
        <family val="2"/>
        <scheme val="minor"/>
      </rPr>
      <t>n</t>
    </r>
    <r>
      <rPr>
        <sz val="12"/>
        <color theme="1"/>
        <rFont val="Calibri"/>
        <family val="2"/>
        <scheme val="minor"/>
      </rPr>
      <t xml:space="preserve"> - 1] =</t>
    </r>
  </si>
  <si>
    <t>Where n = Equipment Life and i = Interest Rate</t>
  </si>
  <si>
    <t>0.10 × A =</t>
  </si>
  <si>
    <t>0.03 × A =</t>
  </si>
  <si>
    <t>0.05 × A =</t>
  </si>
  <si>
    <t>0.14 × B =</t>
  </si>
  <si>
    <t>0.02 × B =</t>
  </si>
  <si>
    <t>0.10 × B =</t>
  </si>
  <si>
    <t>0.01 × B =</t>
  </si>
  <si>
    <t>0.05 × B =</t>
  </si>
  <si>
    <t>Operator = 0.5 hours/shift × Labor Rate × (Operating hours/8 hours/shift)</t>
  </si>
  <si>
    <t>Labor = 0.5 hours/shift × Labor Rate × (Operating Hours/8 hours/shift)</t>
  </si>
  <si>
    <t>Annual Quantity of VOC Removed/Recovered =</t>
  </si>
  <si>
    <t>Value of Recovered VOC ($/lb.)</t>
  </si>
  <si>
    <t>Handling and Erection =</t>
  </si>
  <si>
    <t>Compound</t>
  </si>
  <si>
    <t>Acrylonitrile</t>
  </si>
  <si>
    <t>Benzene</t>
  </si>
  <si>
    <t>Cyclohexane</t>
  </si>
  <si>
    <t>Toluene</t>
  </si>
  <si>
    <t>Note:</t>
  </si>
  <si>
    <r>
      <rPr>
        <b/>
        <u/>
        <sz val="12"/>
        <color theme="8" tint="-0.499984740745262"/>
        <rFont val="Calibri"/>
        <family val="2"/>
        <scheme val="minor"/>
      </rPr>
      <t>Step 1</t>
    </r>
    <r>
      <rPr>
        <b/>
        <sz val="12"/>
        <color theme="8" tint="-0.499984740745262"/>
        <rFont val="Calibri"/>
        <family val="2"/>
        <scheme val="minor"/>
      </rPr>
      <t xml:space="preserve">: </t>
    </r>
    <r>
      <rPr>
        <sz val="12"/>
        <color theme="8" tint="-0.499984740745262"/>
        <rFont val="Calibri"/>
        <family val="2"/>
        <scheme val="minor"/>
      </rPr>
      <t xml:space="preserve">Please select the </t>
    </r>
    <r>
      <rPr>
        <b/>
        <i/>
        <sz val="12"/>
        <color theme="8" tint="-0.499984740745262"/>
        <rFont val="Calibri"/>
        <family val="2"/>
        <scheme val="minor"/>
      </rPr>
      <t>Data Inputs</t>
    </r>
    <r>
      <rPr>
        <sz val="12"/>
        <color theme="8" tint="-0.499984740745262"/>
        <rFont val="Calibri"/>
        <family val="2"/>
        <scheme val="minor"/>
      </rPr>
      <t xml:space="preserve"> tab and click on the </t>
    </r>
    <r>
      <rPr>
        <b/>
        <i/>
        <sz val="12"/>
        <color theme="8" tint="-0.499984740745262"/>
        <rFont val="Calibri"/>
        <family val="2"/>
        <scheme val="minor"/>
      </rPr>
      <t>Reset Form</t>
    </r>
    <r>
      <rPr>
        <sz val="12"/>
        <color theme="8" tint="-0.499984740745262"/>
        <rFont val="Calibri"/>
        <family val="2"/>
        <scheme val="minor"/>
      </rPr>
      <t xml:space="preserve"> button. This will reset the values on the Data Inputs tab.  </t>
    </r>
    <r>
      <rPr>
        <sz val="12"/>
        <color rgb="FFFF0000"/>
        <rFont val="Calibri"/>
        <family val="2"/>
        <scheme val="minor"/>
      </rPr>
      <t/>
    </r>
  </si>
  <si>
    <t>Enter the Characteristics of the VOC/HAP:</t>
  </si>
  <si>
    <t>Name of VOC/HAP</t>
  </si>
  <si>
    <t>* CEPCI is the Chemical Engineering Plant Cost Index. The use of CEPCI in this spreadsheet is not an endorsement of the index for purpose of cost escalation or de-escalation, but is there merely to allow for availability of a well-known cost index to spreadsheet users. Use of other well-known cost indexes (e.g., M&amp;S) is acceptable.</t>
  </si>
  <si>
    <t>Contingency Factor (CF)</t>
  </si>
  <si>
    <t>CF(IC+DC)=</t>
  </si>
  <si>
    <t>Direct Annual Costs (DAC) =</t>
  </si>
  <si>
    <t>Indirect Annual Costs (IAC) =</t>
  </si>
  <si>
    <t>For Carbon Adsorbers</t>
  </si>
  <si>
    <t>Bureau of Labor Statistics, May 2017 National Occupational Employment and Wage Estimates – United States, May 2017 (https://www.bls.gov/oes/current/oes_nat.htm). Hourly rates for operators based on data for plant and System Operators – other (51-8099).</t>
  </si>
  <si>
    <t>Disposal Cost</t>
  </si>
  <si>
    <r>
      <t>VOC Disposal/Treatment Costs (</t>
    </r>
    <r>
      <rPr>
        <i/>
        <sz val="11"/>
        <rFont val="Calibri"/>
        <family val="2"/>
        <scheme val="minor"/>
      </rPr>
      <t>Disposal</t>
    </r>
    <r>
      <rPr>
        <i/>
        <vertAlign val="subscript"/>
        <sz val="11"/>
        <rFont val="Calibri"/>
        <family val="2"/>
        <scheme val="minor"/>
      </rPr>
      <t>cost</t>
    </r>
    <r>
      <rPr>
        <i/>
        <sz val="11"/>
        <rFont val="Calibri"/>
        <family val="2"/>
        <scheme val="minor"/>
      </rPr>
      <t>)</t>
    </r>
  </si>
  <si>
    <t>Average annual electricity cost for industrial plants is based on 2017 price data compiled by the U.S. Energy Information Administration from data reported on Form EIA-861 and 861S, (http://www.eia.gov/electricity/data.cfm#sales).  </t>
  </si>
  <si>
    <t>Carbon Cost ($/lb)</t>
  </si>
  <si>
    <t>January 2018 market price for virgin carbon.</t>
  </si>
  <si>
    <t>Disposal/Treatment Cost for Recovered VOC ($/lb)</t>
  </si>
  <si>
    <t>No additional treatment or disposal costs - Recovered VOC can be sold to a solvent recovery company.</t>
  </si>
  <si>
    <t xml:space="preserve">Check with activated carbon vendors for current prices. </t>
  </si>
  <si>
    <t>Check with reagent recyclers for current prices or enter estimated costs for onsite treatment, as applicable.</t>
  </si>
  <si>
    <t>Use payroll data, if available, or check current edition of the Bureau of Labor Statistics, National Occupational Employment and Wage Estimates – United States (https://www.bls.gov/oes/current/oes_nat.htm).</t>
  </si>
  <si>
    <t>January 2018 market price for recovered toluene.</t>
  </si>
  <si>
    <t>Carbon Cost (CC)</t>
  </si>
  <si>
    <r>
      <t>= m</t>
    </r>
    <r>
      <rPr>
        <i/>
        <vertAlign val="subscript"/>
        <sz val="11"/>
        <rFont val="Calibri"/>
        <family val="2"/>
        <scheme val="minor"/>
      </rPr>
      <t>voc</t>
    </r>
    <r>
      <rPr>
        <i/>
        <sz val="11"/>
        <rFont val="Calibri"/>
        <family val="2"/>
        <scheme val="minor"/>
      </rPr>
      <t xml:space="preserve"> x </t>
    </r>
    <r>
      <rPr>
        <i/>
        <sz val="11"/>
        <rFont val="Calibri"/>
        <family val="2"/>
      </rPr>
      <t>Ɵ</t>
    </r>
    <r>
      <rPr>
        <i/>
        <vertAlign val="subscript"/>
        <sz val="11"/>
        <rFont val="Calibri"/>
        <family val="2"/>
      </rPr>
      <t>s</t>
    </r>
    <r>
      <rPr>
        <i/>
        <sz val="11"/>
        <rFont val="Calibri"/>
        <family val="2"/>
      </rPr>
      <t xml:space="preserve"> x D</t>
    </r>
    <r>
      <rPr>
        <i/>
        <vertAlign val="subscript"/>
        <sz val="11"/>
        <rFont val="Calibri"/>
        <family val="2"/>
      </rPr>
      <t>voc</t>
    </r>
    <r>
      <rPr>
        <i/>
        <sz val="11"/>
        <rFont val="Calibri"/>
        <family val="2"/>
      </rPr>
      <t xml:space="preserve"> x E =</t>
    </r>
  </si>
  <si>
    <t>Recovered Solvent Credit/Disposal Costs</t>
  </si>
  <si>
    <t xml:space="preserve">Use payroll data, if available, or check current edition of the Bureau of Labor Statistics, National Occupational Employment and Wage Estimates – United States (https://www.bls.gov/oes/current/oes_nat.htm).  </t>
  </si>
  <si>
    <t>Enter the cost data for the carbon adsorber:</t>
  </si>
  <si>
    <t>Steam ($/1,000 lb)</t>
  </si>
  <si>
    <t>Price of steam was estimated by multiplying the average price of natural gas for industrial facilities ($4.00/MMBtu) by 1.3 and converting to $/1,000 lb of steam. Natural gas price is the 2017 average price for industrial facilities published by the U.S. Department of Energy, Energy Information Administration (see https://www.eia.gov/dnav/ng/ng_pri_sum_dcu_nus_a.htm).</t>
  </si>
  <si>
    <t>Use actual values if known, or estimate steam cost as 1.3 x Fuel Cost for oil and gas-fired facilities. See also Department of Energy, Energy Efficiency and Renewable Energy, A Best Practices Steam Technical Brief: How to Calculate the True Cost of Steam, DOE/GO-102003-1736, September 2003 (available at https://www.energy.gov/sites/prod/files/2014/05/f15/tech_brief_true_cost.pdf).</t>
  </si>
  <si>
    <t>Average water rates for industrial facilities in 2013, compiled by Black &amp; Veatch. (see 2012/2013 "50 Largest Cities Water/Wastewater Rate Survey." Available at http://www.saws.org/who_we_are/community/RAC/docs/2014/50-largest-cities-brochure-water-wastewater-rate-survey.pdf.</t>
  </si>
  <si>
    <t>Cooling Water ($/1,000 gallons)</t>
  </si>
  <si>
    <r>
      <t>Annual Steam Cost (C</t>
    </r>
    <r>
      <rPr>
        <vertAlign val="subscript"/>
        <sz val="12"/>
        <color theme="1"/>
        <rFont val="Calibri"/>
        <family val="2"/>
        <scheme val="minor"/>
      </rPr>
      <t>s</t>
    </r>
    <r>
      <rPr>
        <sz val="12"/>
        <color theme="1"/>
        <rFont val="Calibri"/>
        <family val="2"/>
        <scheme val="minor"/>
      </rPr>
      <t>) =</t>
    </r>
  </si>
  <si>
    <r>
      <t>Annual Cooling Water Cost (C</t>
    </r>
    <r>
      <rPr>
        <vertAlign val="subscript"/>
        <sz val="12"/>
        <color theme="1"/>
        <rFont val="Calibri"/>
        <family val="2"/>
        <scheme val="minor"/>
      </rPr>
      <t>cs</t>
    </r>
    <r>
      <rPr>
        <sz val="12"/>
        <color theme="1"/>
        <rFont val="Calibri"/>
        <family val="2"/>
        <scheme val="minor"/>
      </rPr>
      <t>) =</t>
    </r>
  </si>
  <si>
    <r>
      <t>Steam (P</t>
    </r>
    <r>
      <rPr>
        <vertAlign val="subscript"/>
        <sz val="12"/>
        <color theme="1"/>
        <rFont val="Calibri"/>
        <family val="2"/>
        <scheme val="minor"/>
      </rPr>
      <t>s</t>
    </r>
    <r>
      <rPr>
        <sz val="12"/>
        <color theme="1"/>
        <rFont val="Calibri"/>
        <family val="2"/>
        <scheme val="minor"/>
      </rPr>
      <t>)</t>
    </r>
  </si>
  <si>
    <r>
      <t>Cooling Water (P</t>
    </r>
    <r>
      <rPr>
        <vertAlign val="subscript"/>
        <sz val="12"/>
        <color theme="1"/>
        <rFont val="Calibri"/>
        <family val="2"/>
        <scheme val="minor"/>
      </rPr>
      <t>cw</t>
    </r>
    <r>
      <rPr>
        <sz val="12"/>
        <color theme="1"/>
        <rFont val="Calibri"/>
        <family val="2"/>
        <scheme val="minor"/>
      </rPr>
      <t>)</t>
    </r>
  </si>
  <si>
    <r>
      <t>Electricity (P</t>
    </r>
    <r>
      <rPr>
        <vertAlign val="subscript"/>
        <sz val="12"/>
        <color theme="1"/>
        <rFont val="Calibri"/>
        <family val="2"/>
        <scheme val="minor"/>
      </rPr>
      <t>elec</t>
    </r>
    <r>
      <rPr>
        <sz val="12"/>
        <color theme="1"/>
        <rFont val="Calibri"/>
        <family val="2"/>
        <scheme val="minor"/>
      </rPr>
      <t>)</t>
    </r>
  </si>
  <si>
    <r>
      <t>3.43 x C</t>
    </r>
    <r>
      <rPr>
        <vertAlign val="subscript"/>
        <sz val="12"/>
        <color theme="1"/>
        <rFont val="Calibri"/>
        <family val="2"/>
        <scheme val="minor"/>
      </rPr>
      <t>s</t>
    </r>
    <r>
      <rPr>
        <sz val="12"/>
        <color theme="1"/>
        <rFont val="Calibri"/>
        <family val="2"/>
        <scheme val="minor"/>
      </rPr>
      <t>/P</t>
    </r>
    <r>
      <rPr>
        <vertAlign val="subscript"/>
        <sz val="12"/>
        <color theme="1"/>
        <rFont val="Calibri"/>
        <family val="2"/>
        <scheme val="minor"/>
      </rPr>
      <t>s</t>
    </r>
    <r>
      <rPr>
        <sz val="12"/>
        <color theme="1"/>
        <rFont val="Calibri"/>
        <family val="2"/>
        <scheme val="minor"/>
      </rPr>
      <t xml:space="preserve"> x P</t>
    </r>
    <r>
      <rPr>
        <vertAlign val="subscript"/>
        <sz val="12"/>
        <color theme="1"/>
        <rFont val="Calibri"/>
        <family val="2"/>
        <scheme val="minor"/>
      </rPr>
      <t>wc</t>
    </r>
    <r>
      <rPr>
        <sz val="12"/>
        <color theme="1"/>
        <rFont val="Calibri"/>
        <family val="2"/>
        <scheme val="minor"/>
      </rPr>
      <t xml:space="preserve"> = </t>
    </r>
  </si>
  <si>
    <r>
      <t>Re-Sale Value of Recovered VOC (P</t>
    </r>
    <r>
      <rPr>
        <vertAlign val="subscript"/>
        <sz val="12"/>
        <color theme="1"/>
        <rFont val="Calibri"/>
        <family val="2"/>
        <scheme val="minor"/>
      </rPr>
      <t>voc</t>
    </r>
    <r>
      <rPr>
        <sz val="12"/>
        <color theme="1"/>
        <rFont val="Calibri"/>
        <family val="2"/>
        <scheme val="minor"/>
      </rPr>
      <t>)</t>
    </r>
  </si>
  <si>
    <r>
      <t>Disposal/Treatment Cost for Recovered VOC (D</t>
    </r>
    <r>
      <rPr>
        <vertAlign val="subscript"/>
        <sz val="12"/>
        <color theme="1"/>
        <rFont val="Calibri"/>
        <family val="2"/>
        <scheme val="minor"/>
      </rPr>
      <t>voc</t>
    </r>
    <r>
      <rPr>
        <sz val="12"/>
        <color theme="1"/>
        <rFont val="Calibri"/>
        <family val="2"/>
        <scheme val="minor"/>
      </rPr>
      <t>)</t>
    </r>
  </si>
  <si>
    <t>Required VOC removal efficiency (E)</t>
  </si>
  <si>
    <t>Estimated Carbon life (n)</t>
  </si>
  <si>
    <t>lbs/hour</t>
  </si>
  <si>
    <t>Waste Gas Flow Rate (Q)</t>
  </si>
  <si>
    <t>psia</t>
  </si>
  <si>
    <t>ft/min</t>
  </si>
  <si>
    <r>
      <t>Superficial Bed Velocity (v</t>
    </r>
    <r>
      <rPr>
        <vertAlign val="subscript"/>
        <sz val="12"/>
        <color theme="1"/>
        <rFont val="Calibri"/>
        <family val="2"/>
        <scheme val="minor"/>
      </rPr>
      <t>b</t>
    </r>
    <r>
      <rPr>
        <sz val="12"/>
        <color theme="1"/>
        <rFont val="Calibri"/>
        <family val="2"/>
        <scheme val="minor"/>
      </rPr>
      <t>)</t>
    </r>
  </si>
  <si>
    <t>hours</t>
  </si>
  <si>
    <t>kWh/year</t>
  </si>
  <si>
    <r>
      <t>Total Estimated Electricity Consumption (Q</t>
    </r>
    <r>
      <rPr>
        <vertAlign val="subscript"/>
        <sz val="12"/>
        <color theme="1"/>
        <rFont val="Calibri"/>
        <family val="2"/>
        <scheme val="minor"/>
      </rPr>
      <t>Elec</t>
    </r>
    <r>
      <rPr>
        <sz val="12"/>
        <color theme="1"/>
        <rFont val="Calibri"/>
        <family val="2"/>
        <scheme val="minor"/>
      </rPr>
      <t xml:space="preserve">) = </t>
    </r>
  </si>
  <si>
    <r>
      <t>Q</t>
    </r>
    <r>
      <rPr>
        <vertAlign val="subscript"/>
        <sz val="12"/>
        <color theme="1"/>
        <rFont val="Calibri"/>
        <family val="2"/>
      </rPr>
      <t>Elec</t>
    </r>
    <r>
      <rPr>
        <sz val="12"/>
        <color theme="1"/>
        <rFont val="Calibri"/>
        <family val="2"/>
        <scheme val="minor"/>
      </rPr>
      <t xml:space="preserve">  × P</t>
    </r>
    <r>
      <rPr>
        <vertAlign val="subscript"/>
        <sz val="12"/>
        <color theme="1"/>
        <rFont val="Calibri"/>
        <family val="2"/>
        <scheme val="minor"/>
      </rPr>
      <t>elec</t>
    </r>
    <r>
      <rPr>
        <sz val="12"/>
        <color theme="1"/>
        <rFont val="Calibri"/>
        <family val="2"/>
        <scheme val="minor"/>
      </rPr>
      <t xml:space="preserve"> =</t>
    </r>
  </si>
  <si>
    <t>Total Annual Cost (TAC) / Annual Quantity of VOC Removed/Recovered =</t>
  </si>
  <si>
    <r>
      <t>Total Steam Consumption (Q</t>
    </r>
    <r>
      <rPr>
        <vertAlign val="subscript"/>
        <sz val="12"/>
        <color theme="1"/>
        <rFont val="Calibri"/>
        <family val="2"/>
        <scheme val="minor"/>
      </rPr>
      <t>Steam</t>
    </r>
    <r>
      <rPr>
        <sz val="12"/>
        <color theme="1"/>
        <rFont val="Calibri"/>
        <family val="2"/>
        <scheme val="minor"/>
      </rPr>
      <t xml:space="preserve">) = </t>
    </r>
  </si>
  <si>
    <r>
      <t>= 3.5 x M</t>
    </r>
    <r>
      <rPr>
        <vertAlign val="subscript"/>
        <sz val="12"/>
        <color theme="1"/>
        <rFont val="Calibri"/>
        <family val="2"/>
        <scheme val="minor"/>
      </rPr>
      <t>voc</t>
    </r>
    <r>
      <rPr>
        <sz val="12"/>
        <color theme="1"/>
        <rFont val="Calibri"/>
        <family val="2"/>
        <scheme val="minor"/>
      </rPr>
      <t xml:space="preserve"> x </t>
    </r>
    <r>
      <rPr>
        <sz val="12"/>
        <color theme="1"/>
        <rFont val="Calibri"/>
        <family val="2"/>
      </rPr>
      <t>Ɵ</t>
    </r>
    <r>
      <rPr>
        <vertAlign val="subscript"/>
        <sz val="12"/>
        <color theme="1"/>
        <rFont val="Calibri"/>
        <family val="2"/>
      </rPr>
      <t>s</t>
    </r>
    <r>
      <rPr>
        <sz val="12"/>
        <color theme="1"/>
        <rFont val="Calibri"/>
        <family val="2"/>
      </rPr>
      <t xml:space="preserve"> = </t>
    </r>
  </si>
  <si>
    <r>
      <t>Total Cooling Water Consumption (Q</t>
    </r>
    <r>
      <rPr>
        <vertAlign val="subscript"/>
        <sz val="12"/>
        <color theme="1"/>
        <rFont val="Calibri"/>
        <family val="2"/>
        <scheme val="minor"/>
      </rPr>
      <t>cw</t>
    </r>
    <r>
      <rPr>
        <sz val="12"/>
        <color theme="1"/>
        <rFont val="Calibri"/>
        <family val="2"/>
        <scheme val="minor"/>
      </rPr>
      <t xml:space="preserve">) = </t>
    </r>
  </si>
  <si>
    <r>
      <t>= 3.43 x C</t>
    </r>
    <r>
      <rPr>
        <vertAlign val="subscript"/>
        <sz val="12"/>
        <color theme="1"/>
        <rFont val="Calibri"/>
        <family val="2"/>
        <scheme val="minor"/>
      </rPr>
      <t>s</t>
    </r>
    <r>
      <rPr>
        <sz val="12"/>
        <color theme="1"/>
        <rFont val="Calibri"/>
        <family val="2"/>
        <scheme val="minor"/>
      </rPr>
      <t>/P</t>
    </r>
    <r>
      <rPr>
        <vertAlign val="subscript"/>
        <sz val="12"/>
        <color theme="1"/>
        <rFont val="Calibri"/>
        <family val="2"/>
        <scheme val="minor"/>
      </rPr>
      <t>s</t>
    </r>
    <r>
      <rPr>
        <sz val="12"/>
        <color theme="1"/>
        <rFont val="Calibri"/>
        <family val="2"/>
      </rPr>
      <t xml:space="preserve"> = </t>
    </r>
  </si>
  <si>
    <t>gallons/year</t>
  </si>
  <si>
    <r>
      <t>3.50 x m</t>
    </r>
    <r>
      <rPr>
        <vertAlign val="subscript"/>
        <sz val="12"/>
        <color theme="1"/>
        <rFont val="Calibri"/>
        <family val="2"/>
        <scheme val="minor"/>
      </rPr>
      <t>voc</t>
    </r>
    <r>
      <rPr>
        <sz val="12"/>
        <color theme="1"/>
        <rFont val="Calibri"/>
        <family val="2"/>
        <scheme val="minor"/>
      </rPr>
      <t xml:space="preserve"> x </t>
    </r>
    <r>
      <rPr>
        <sz val="12"/>
        <color theme="1"/>
        <rFont val="Calibri"/>
        <family val="2"/>
      </rPr>
      <t>Ɵ</t>
    </r>
    <r>
      <rPr>
        <vertAlign val="subscript"/>
        <sz val="12"/>
        <color theme="1"/>
        <rFont val="Calibri"/>
        <family val="2"/>
      </rPr>
      <t>s</t>
    </r>
    <r>
      <rPr>
        <sz val="12"/>
        <color theme="1"/>
        <rFont val="Calibri"/>
        <family val="2"/>
      </rPr>
      <t xml:space="preserve"> x P</t>
    </r>
    <r>
      <rPr>
        <vertAlign val="subscript"/>
        <sz val="12"/>
        <color theme="1"/>
        <rFont val="Calibri"/>
        <family val="2"/>
      </rPr>
      <t>s</t>
    </r>
    <r>
      <rPr>
        <sz val="12"/>
        <color theme="1"/>
        <rFont val="Calibri"/>
        <family val="2"/>
      </rPr>
      <t xml:space="preserve"> =</t>
    </r>
  </si>
  <si>
    <r>
      <t>= m</t>
    </r>
    <r>
      <rPr>
        <i/>
        <vertAlign val="subscript"/>
        <sz val="12"/>
        <rFont val="Calibri"/>
        <family val="2"/>
        <scheme val="minor"/>
      </rPr>
      <t>voc</t>
    </r>
    <r>
      <rPr>
        <i/>
        <sz val="12"/>
        <rFont val="Calibri"/>
        <family val="2"/>
        <scheme val="minor"/>
      </rPr>
      <t xml:space="preserve"> × </t>
    </r>
    <r>
      <rPr>
        <i/>
        <sz val="12"/>
        <rFont val="Calibri"/>
        <family val="2"/>
      </rPr>
      <t>Ɵ</t>
    </r>
    <r>
      <rPr>
        <i/>
        <vertAlign val="subscript"/>
        <sz val="12"/>
        <rFont val="Calibri"/>
        <family val="2"/>
      </rPr>
      <t>s</t>
    </r>
    <r>
      <rPr>
        <i/>
        <sz val="12"/>
        <rFont val="Calibri"/>
        <family val="2"/>
      </rPr>
      <t xml:space="preserve"> x P</t>
    </r>
    <r>
      <rPr>
        <i/>
        <vertAlign val="subscript"/>
        <sz val="12"/>
        <rFont val="Calibri"/>
        <family val="2"/>
      </rPr>
      <t>voc</t>
    </r>
    <r>
      <rPr>
        <i/>
        <sz val="12"/>
        <rFont val="Calibri"/>
        <family val="2"/>
      </rPr>
      <t xml:space="preserve"> x E =</t>
    </r>
  </si>
  <si>
    <r>
      <t>W</t>
    </r>
    <r>
      <rPr>
        <i/>
        <vertAlign val="subscript"/>
        <sz val="12"/>
        <color theme="1"/>
        <rFont val="Calibri"/>
        <family val="2"/>
        <scheme val="minor"/>
      </rPr>
      <t>voc</t>
    </r>
    <r>
      <rPr>
        <i/>
        <sz val="12"/>
        <color theme="1"/>
        <rFont val="Calibri"/>
        <family val="2"/>
        <scheme val="minor"/>
      </rPr>
      <t xml:space="preserve"> = m</t>
    </r>
    <r>
      <rPr>
        <i/>
        <vertAlign val="subscript"/>
        <sz val="12"/>
        <color theme="1"/>
        <rFont val="Calibri"/>
        <family val="2"/>
        <scheme val="minor"/>
      </rPr>
      <t>voc</t>
    </r>
    <r>
      <rPr>
        <i/>
        <sz val="12"/>
        <color theme="1"/>
        <rFont val="Calibri"/>
        <family val="2"/>
        <scheme val="minor"/>
      </rPr>
      <t xml:space="preserve"> x </t>
    </r>
    <r>
      <rPr>
        <i/>
        <sz val="12"/>
        <color theme="1"/>
        <rFont val="Calibri"/>
        <family val="2"/>
      </rPr>
      <t>Ɵ</t>
    </r>
    <r>
      <rPr>
        <i/>
        <vertAlign val="subscript"/>
        <sz val="12"/>
        <color theme="1"/>
        <rFont val="Calibri"/>
        <family val="2"/>
      </rPr>
      <t xml:space="preserve">s </t>
    </r>
    <r>
      <rPr>
        <i/>
        <sz val="12"/>
        <color theme="1"/>
        <rFont val="Calibri"/>
        <family val="2"/>
      </rPr>
      <t>x E =</t>
    </r>
  </si>
  <si>
    <t>Carbon Replacement Costs:</t>
  </si>
  <si>
    <t xml:space="preserve">Operating Labor Costs: </t>
  </si>
  <si>
    <t>Maintenance Costs:</t>
  </si>
  <si>
    <r>
      <t>VOC Emission Rate (m</t>
    </r>
    <r>
      <rPr>
        <vertAlign val="subscript"/>
        <sz val="12"/>
        <color theme="1"/>
        <rFont val="Calibri"/>
        <family val="2"/>
        <scheme val="minor"/>
      </rPr>
      <t>voc</t>
    </r>
    <r>
      <rPr>
        <sz val="12"/>
        <color theme="1"/>
        <rFont val="Calibri"/>
        <family val="2"/>
        <scheme val="minor"/>
      </rPr>
      <t>)</t>
    </r>
  </si>
  <si>
    <t>Included in A</t>
  </si>
  <si>
    <t>0.04 × B =</t>
  </si>
  <si>
    <t xml:space="preserve">Total Direct Costs (DC) =  B + (0.3 × B) + SP + Bldg = </t>
  </si>
  <si>
    <t>DC + IC + C = (1.28 × B) + SP + Bldg. + C =</t>
  </si>
  <si>
    <t>Where n = Carbon Life and i = Interest Rate</t>
  </si>
  <si>
    <t>lbs./year</t>
  </si>
  <si>
    <t xml:space="preserve">Estimated Carbon Replacement Rate (CRR) </t>
  </si>
  <si>
    <r>
      <t>Labor = CRF</t>
    </r>
    <r>
      <rPr>
        <vertAlign val="subscript"/>
        <sz val="12"/>
        <color theme="1"/>
        <rFont val="Calibri"/>
        <family val="2"/>
        <scheme val="minor"/>
      </rPr>
      <t>carbon</t>
    </r>
    <r>
      <rPr>
        <sz val="12"/>
        <color theme="1"/>
        <rFont val="Calibri"/>
        <family val="2"/>
        <scheme val="minor"/>
      </rPr>
      <t xml:space="preserve"> x (Labor Rate × M</t>
    </r>
    <r>
      <rPr>
        <vertAlign val="subscript"/>
        <sz val="12"/>
        <color theme="1"/>
        <rFont val="Calibri"/>
        <family val="2"/>
        <scheme val="minor"/>
      </rPr>
      <t>c</t>
    </r>
    <r>
      <rPr>
        <sz val="12"/>
        <color theme="1"/>
        <rFont val="Calibri"/>
        <family val="2"/>
        <scheme val="minor"/>
      </rPr>
      <t xml:space="preserve">)/CRR = </t>
    </r>
  </si>
  <si>
    <t>Total Capital Investment (TCI) =</t>
  </si>
  <si>
    <r>
      <t>Equipment Costs for auxiliary equipment (e.g., ductwork, dampers, and stack) (EC</t>
    </r>
    <r>
      <rPr>
        <vertAlign val="subscript"/>
        <sz val="12"/>
        <color theme="1"/>
        <rFont val="Calibri"/>
        <family val="2"/>
      </rPr>
      <t>aux</t>
    </r>
    <r>
      <rPr>
        <sz val="12"/>
        <color theme="1"/>
        <rFont val="Calibri"/>
        <family val="2"/>
        <scheme val="minor"/>
      </rPr>
      <t>) =</t>
    </r>
  </si>
  <si>
    <r>
      <t>Auxiliary Equipment (EC</t>
    </r>
    <r>
      <rPr>
        <vertAlign val="subscript"/>
        <sz val="12"/>
        <color theme="1"/>
        <rFont val="Calibri"/>
        <family val="2"/>
        <scheme val="minor"/>
      </rPr>
      <t>aux</t>
    </r>
    <r>
      <rPr>
        <sz val="12"/>
        <color theme="1"/>
        <rFont val="Calibri"/>
        <family val="2"/>
        <scheme val="minor"/>
      </rPr>
      <t>) =</t>
    </r>
  </si>
  <si>
    <t xml:space="preserve">(Based on design costs or estimated using methods provided in Section 2) </t>
  </si>
  <si>
    <r>
      <t>Number of Bed Adsorbing (N</t>
    </r>
    <r>
      <rPr>
        <vertAlign val="subscript"/>
        <sz val="12"/>
        <color theme="1"/>
        <rFont val="Calibri"/>
        <family val="2"/>
        <scheme val="minor"/>
      </rPr>
      <t>A</t>
    </r>
    <r>
      <rPr>
        <sz val="12"/>
        <color theme="1"/>
        <rFont val="Calibri"/>
        <family val="2"/>
        <scheme val="minor"/>
      </rPr>
      <t xml:space="preserve">) = </t>
    </r>
  </si>
  <si>
    <r>
      <t>Number of Bed Desorbing (N</t>
    </r>
    <r>
      <rPr>
        <vertAlign val="subscript"/>
        <sz val="12"/>
        <color theme="1"/>
        <rFont val="Calibri"/>
        <family val="2"/>
      </rPr>
      <t>D</t>
    </r>
    <r>
      <rPr>
        <sz val="12"/>
        <color theme="1"/>
        <rFont val="Calibri"/>
        <family val="2"/>
      </rPr>
      <t xml:space="preserve">) = </t>
    </r>
  </si>
  <si>
    <t>Bed</t>
  </si>
  <si>
    <r>
      <t>Costs for Each Carbon Adsorber Vessel (C</t>
    </r>
    <r>
      <rPr>
        <vertAlign val="subscript"/>
        <sz val="12"/>
        <color theme="1"/>
        <rFont val="Calibri"/>
        <family val="2"/>
        <scheme val="minor"/>
      </rPr>
      <t>v</t>
    </r>
    <r>
      <rPr>
        <sz val="12"/>
        <color theme="1"/>
        <rFont val="Calibri"/>
        <family val="2"/>
        <scheme val="minor"/>
      </rPr>
      <t>) =</t>
    </r>
  </si>
  <si>
    <r>
      <t>= EC</t>
    </r>
    <r>
      <rPr>
        <vertAlign val="subscript"/>
        <sz val="12"/>
        <color theme="1"/>
        <rFont val="Calibri"/>
        <family val="2"/>
        <scheme val="minor"/>
      </rPr>
      <t>Adsorb</t>
    </r>
    <r>
      <rPr>
        <sz val="12"/>
        <color theme="1"/>
        <rFont val="Calibri"/>
        <family val="2"/>
        <scheme val="minor"/>
      </rPr>
      <t xml:space="preserve"> + EC</t>
    </r>
    <r>
      <rPr>
        <vertAlign val="subscript"/>
        <sz val="12"/>
        <color theme="1"/>
        <rFont val="Calibri"/>
        <family val="2"/>
        <scheme val="minor"/>
      </rPr>
      <t>aux</t>
    </r>
    <r>
      <rPr>
        <sz val="12"/>
        <color theme="1"/>
        <rFont val="Calibri"/>
        <family val="2"/>
        <scheme val="minor"/>
      </rPr>
      <t xml:space="preserve"> =</t>
    </r>
  </si>
  <si>
    <r>
      <t>Total Cost for All Carbon Adsorber Vessels and Carbon(EC</t>
    </r>
    <r>
      <rPr>
        <vertAlign val="subscript"/>
        <sz val="12"/>
        <color theme="1"/>
        <rFont val="Calibri"/>
        <family val="2"/>
        <scheme val="minor"/>
      </rPr>
      <t>Adsorb</t>
    </r>
    <r>
      <rPr>
        <sz val="12"/>
        <color theme="1"/>
        <rFont val="Calibri"/>
        <family val="2"/>
        <scheme val="minor"/>
      </rPr>
      <t>) =</t>
    </r>
  </si>
  <si>
    <t xml:space="preserve">Select the type of material used to fabricate the carbon adsorber vessels: </t>
  </si>
  <si>
    <t>Stainless Steel, 304</t>
  </si>
  <si>
    <t>Carpenter 20 CB-3</t>
  </si>
  <si>
    <t>Monel-400</t>
  </si>
  <si>
    <t>Nickel-200</t>
  </si>
  <si>
    <t xml:space="preserve">Titanium </t>
  </si>
  <si>
    <t>Cell L4=</t>
  </si>
  <si>
    <t>Fm Value</t>
  </si>
  <si>
    <t>Stainless Steel, 316</t>
  </si>
  <si>
    <r>
      <t>Adjustment Factor for Adorber Vessel Material (F</t>
    </r>
    <r>
      <rPr>
        <vertAlign val="subscript"/>
        <sz val="12"/>
        <color theme="1"/>
        <rFont val="Calibri"/>
        <family val="2"/>
      </rPr>
      <t xml:space="preserve">m </t>
    </r>
    <r>
      <rPr>
        <sz val="12"/>
        <color theme="1"/>
        <rFont val="Calibri"/>
        <family val="2"/>
      </rPr>
      <t>) =</t>
    </r>
  </si>
  <si>
    <t>Fm =</t>
  </si>
  <si>
    <r>
      <t>(m</t>
    </r>
    <r>
      <rPr>
        <vertAlign val="subscript"/>
        <sz val="12"/>
        <color theme="1"/>
        <rFont val="Calibri"/>
        <family val="2"/>
        <scheme val="minor"/>
      </rPr>
      <t>voc</t>
    </r>
    <r>
      <rPr>
        <sz val="12"/>
        <color theme="1"/>
        <rFont val="Calibri"/>
        <family val="2"/>
        <scheme val="minor"/>
      </rPr>
      <t>/w</t>
    </r>
    <r>
      <rPr>
        <vertAlign val="subscript"/>
        <sz val="12"/>
        <color theme="1"/>
        <rFont val="Calibri"/>
        <family val="2"/>
        <scheme val="minor"/>
      </rPr>
      <t>c</t>
    </r>
    <r>
      <rPr>
        <sz val="12"/>
        <color theme="1"/>
        <rFont val="Calibri"/>
        <family val="2"/>
        <scheme val="minor"/>
      </rPr>
      <t xml:space="preserve">) x </t>
    </r>
    <r>
      <rPr>
        <sz val="12"/>
        <color theme="1"/>
        <rFont val="Calibri"/>
        <family val="2"/>
      </rPr>
      <t>Ɵ</t>
    </r>
    <r>
      <rPr>
        <vertAlign val="subscript"/>
        <sz val="12"/>
        <color theme="1"/>
        <rFont val="Calibri"/>
        <family val="2"/>
      </rPr>
      <t>A</t>
    </r>
    <r>
      <rPr>
        <sz val="12"/>
        <color theme="1"/>
        <rFont val="Calibri"/>
        <family val="2"/>
      </rPr>
      <t xml:space="preserve"> (1 + N</t>
    </r>
    <r>
      <rPr>
        <vertAlign val="subscript"/>
        <sz val="12"/>
        <color theme="1"/>
        <rFont val="Calibri"/>
        <family val="2"/>
      </rPr>
      <t>D</t>
    </r>
    <r>
      <rPr>
        <sz val="12"/>
        <color theme="1"/>
        <rFont val="Calibri"/>
        <family val="2"/>
      </rPr>
      <t>/N</t>
    </r>
    <r>
      <rPr>
        <vertAlign val="subscript"/>
        <sz val="12"/>
        <color theme="1"/>
        <rFont val="Calibri"/>
        <family val="2"/>
      </rPr>
      <t>A</t>
    </r>
    <r>
      <rPr>
        <sz val="12"/>
        <color theme="1"/>
        <rFont val="Calibri"/>
        <family val="2"/>
      </rPr>
      <t>)</t>
    </r>
    <r>
      <rPr>
        <sz val="12"/>
        <color theme="1"/>
        <rFont val="Calibri"/>
        <family val="2"/>
        <scheme val="minor"/>
      </rPr>
      <t xml:space="preserve">  = </t>
    </r>
  </si>
  <si>
    <r>
      <t>Working Capacity (w</t>
    </r>
    <r>
      <rPr>
        <vertAlign val="subscript"/>
        <sz val="12"/>
        <color theme="1"/>
        <rFont val="Calibri"/>
        <family val="2"/>
        <scheme val="minor"/>
      </rPr>
      <t>c</t>
    </r>
    <r>
      <rPr>
        <sz val="12"/>
        <color theme="1"/>
        <rFont val="Calibri"/>
        <family val="2"/>
        <scheme val="minor"/>
      </rPr>
      <t>) =</t>
    </r>
  </si>
  <si>
    <t>lb. VOC/lb. Carbon</t>
  </si>
  <si>
    <t>lbs.</t>
  </si>
  <si>
    <t>Surface Area of Adsorber Vessel (S) =</t>
  </si>
  <si>
    <t>sq.ft</t>
  </si>
  <si>
    <t>Vessel Diameter (D) =</t>
  </si>
  <si>
    <t>Vessel Length (L) =</t>
  </si>
  <si>
    <r>
      <t xml:space="preserve"> </t>
    </r>
    <r>
      <rPr>
        <sz val="11"/>
        <color theme="1"/>
        <rFont val="Calibri"/>
        <family val="2"/>
      </rPr>
      <t xml:space="preserve">π x </t>
    </r>
    <r>
      <rPr>
        <sz val="11"/>
        <color theme="1"/>
        <rFont val="Calibri"/>
        <family val="2"/>
        <scheme val="minor"/>
      </rPr>
      <t>D x (L+D/2) =</t>
    </r>
  </si>
  <si>
    <t>ft.</t>
  </si>
  <si>
    <r>
      <t>(7.87/Mc') x (Q'/v</t>
    </r>
    <r>
      <rPr>
        <vertAlign val="subscript"/>
        <sz val="12"/>
        <rFont val="Calibri"/>
        <family val="2"/>
      </rPr>
      <t>b</t>
    </r>
    <r>
      <rPr>
        <sz val="12"/>
        <rFont val="Calibri"/>
        <family val="2"/>
      </rPr>
      <t>)</t>
    </r>
    <r>
      <rPr>
        <vertAlign val="superscript"/>
        <sz val="12"/>
        <rFont val="Calibri"/>
        <family val="2"/>
      </rPr>
      <t>2</t>
    </r>
    <r>
      <rPr>
        <sz val="12"/>
        <rFont val="Calibri"/>
        <family val="2"/>
      </rPr>
      <t xml:space="preserve"> = </t>
    </r>
  </si>
  <si>
    <t>lbs./Bed</t>
  </si>
  <si>
    <t>acfm/Bed</t>
  </si>
  <si>
    <r>
      <t>Carbon Required for each Vessel (M</t>
    </r>
    <r>
      <rPr>
        <vertAlign val="subscript"/>
        <sz val="11"/>
        <color theme="1"/>
        <rFont val="Calibri"/>
        <family val="2"/>
        <scheme val="minor"/>
      </rPr>
      <t>c</t>
    </r>
    <r>
      <rPr>
        <sz val="11"/>
        <color theme="1"/>
        <rFont val="Calibri"/>
        <family val="2"/>
        <scheme val="minor"/>
      </rPr>
      <t>') =</t>
    </r>
  </si>
  <si>
    <t>Volumetric Flow Rate for each Vessel (Q') =</t>
  </si>
  <si>
    <r>
      <t>Q/N</t>
    </r>
    <r>
      <rPr>
        <vertAlign val="subscript"/>
        <sz val="11"/>
        <color theme="1"/>
        <rFont val="Calibri"/>
        <family val="2"/>
        <scheme val="minor"/>
      </rPr>
      <t>A</t>
    </r>
    <r>
      <rPr>
        <sz val="11"/>
        <color theme="1"/>
        <rFont val="Calibri"/>
        <family val="2"/>
        <scheme val="minor"/>
      </rPr>
      <t xml:space="preserve"> =</t>
    </r>
  </si>
  <si>
    <r>
      <t>(0.127 x M</t>
    </r>
    <r>
      <rPr>
        <vertAlign val="subscript"/>
        <sz val="12"/>
        <rFont val="Calibri"/>
        <family val="2"/>
      </rPr>
      <t>c</t>
    </r>
    <r>
      <rPr>
        <sz val="12"/>
        <rFont val="Calibri"/>
        <family val="2"/>
      </rPr>
      <t>' x v</t>
    </r>
    <r>
      <rPr>
        <vertAlign val="subscript"/>
        <sz val="12"/>
        <rFont val="Calibri"/>
        <family val="2"/>
      </rPr>
      <t>b</t>
    </r>
    <r>
      <rPr>
        <sz val="12"/>
        <rFont val="Calibri"/>
        <family val="2"/>
      </rPr>
      <t>)/Q' =</t>
    </r>
  </si>
  <si>
    <r>
      <t>M</t>
    </r>
    <r>
      <rPr>
        <vertAlign val="subscript"/>
        <sz val="11"/>
        <color theme="1"/>
        <rFont val="Calibri"/>
        <family val="2"/>
        <scheme val="minor"/>
      </rPr>
      <t>c</t>
    </r>
    <r>
      <rPr>
        <sz val="11"/>
        <color theme="1"/>
        <rFont val="Calibri"/>
        <family val="2"/>
        <scheme val="minor"/>
      </rPr>
      <t xml:space="preserve"> /(N</t>
    </r>
    <r>
      <rPr>
        <vertAlign val="subscript"/>
        <sz val="11"/>
        <color theme="1"/>
        <rFont val="Calibri"/>
        <family val="2"/>
        <scheme val="minor"/>
      </rPr>
      <t>A</t>
    </r>
    <r>
      <rPr>
        <sz val="11"/>
        <color theme="1"/>
        <rFont val="Calibri"/>
        <family val="2"/>
        <scheme val="minor"/>
      </rPr>
      <t xml:space="preserve"> + N</t>
    </r>
    <r>
      <rPr>
        <vertAlign val="subscript"/>
        <sz val="11"/>
        <color theme="1"/>
        <rFont val="Calibri"/>
        <family val="2"/>
        <scheme val="minor"/>
      </rPr>
      <t>D</t>
    </r>
    <r>
      <rPr>
        <sz val="11"/>
        <color theme="1"/>
        <rFont val="Calibri"/>
        <family val="2"/>
        <scheme val="minor"/>
      </rPr>
      <t>) =</t>
    </r>
  </si>
  <si>
    <t xml:space="preserve">Vessel Orientation = </t>
  </si>
  <si>
    <t xml:space="preserve">Select the orientation for the adsorber vessels: </t>
  </si>
  <si>
    <t>Horizontal</t>
  </si>
  <si>
    <t>Vertical</t>
  </si>
  <si>
    <r>
      <t>(4Q'/πv</t>
    </r>
    <r>
      <rPr>
        <vertAlign val="subscript"/>
        <sz val="12"/>
        <rFont val="Calibri"/>
        <family val="2"/>
      </rPr>
      <t>b</t>
    </r>
    <r>
      <rPr>
        <sz val="12"/>
        <rFont val="Calibri"/>
        <family val="2"/>
      </rPr>
      <t>) =</t>
    </r>
  </si>
  <si>
    <r>
      <t>t</t>
    </r>
    <r>
      <rPr>
        <vertAlign val="subscript"/>
        <sz val="12"/>
        <rFont val="Calibri"/>
        <family val="2"/>
      </rPr>
      <t>b</t>
    </r>
    <r>
      <rPr>
        <sz val="12"/>
        <rFont val="Calibri"/>
        <family val="2"/>
      </rPr>
      <t xml:space="preserve"> + ta,g = </t>
    </r>
  </si>
  <si>
    <r>
      <t>Equilibrium Capacity at the Inlet (W</t>
    </r>
    <r>
      <rPr>
        <vertAlign val="subscript"/>
        <sz val="12"/>
        <color theme="1"/>
        <rFont val="Calibri"/>
        <family val="2"/>
        <scheme val="minor"/>
      </rPr>
      <t>e(max)</t>
    </r>
    <r>
      <rPr>
        <sz val="12"/>
        <color theme="1"/>
        <rFont val="Calibri"/>
        <family val="2"/>
        <scheme val="minor"/>
      </rPr>
      <t>) =</t>
    </r>
  </si>
  <si>
    <r>
      <t xml:space="preserve">k </t>
    </r>
    <r>
      <rPr>
        <sz val="12"/>
        <color theme="1"/>
        <rFont val="Calibri"/>
        <family val="2"/>
        <scheme val="minor"/>
      </rPr>
      <t>x</t>
    </r>
    <r>
      <rPr>
        <i/>
        <sz val="12"/>
        <color theme="1"/>
        <rFont val="Calibri"/>
        <family val="2"/>
        <scheme val="minor"/>
      </rPr>
      <t xml:space="preserve"> P</t>
    </r>
    <r>
      <rPr>
        <i/>
        <vertAlign val="superscript"/>
        <sz val="12"/>
        <color theme="1"/>
        <rFont val="Calibri"/>
        <family val="2"/>
        <scheme val="minor"/>
      </rPr>
      <t xml:space="preserve">m </t>
    </r>
    <r>
      <rPr>
        <i/>
        <sz val="12"/>
        <color theme="1"/>
        <rFont val="Calibri"/>
        <family val="2"/>
        <scheme val="minor"/>
      </rPr>
      <t xml:space="preserve">= </t>
    </r>
  </si>
  <si>
    <t>Adsorption Temperature 
(°F)</t>
  </si>
  <si>
    <t>k</t>
  </si>
  <si>
    <t>m</t>
  </si>
  <si>
    <t>(psia)</t>
  </si>
  <si>
    <r>
      <t>Table A: Typical Parameters for Selected Adsorption Isotherms</t>
    </r>
    <r>
      <rPr>
        <b/>
        <vertAlign val="superscript"/>
        <sz val="18"/>
        <color theme="0" tint="-4.9989318521683403E-2"/>
        <rFont val="Calibri"/>
        <family val="2"/>
        <scheme val="minor"/>
      </rPr>
      <t>a</t>
    </r>
  </si>
  <si>
    <t>Isotherm Parameters</t>
  </si>
  <si>
    <t>0.0001 - 0.05</t>
  </si>
  <si>
    <t>0.0001 - 0.015</t>
  </si>
  <si>
    <t>0.001 - 0.05</t>
  </si>
  <si>
    <t>0.0001 - 0.001</t>
  </si>
  <si>
    <t>Chlorobenzene</t>
  </si>
  <si>
    <t>0.0001 - 0.01</t>
  </si>
  <si>
    <t>Dichloroethane</t>
  </si>
  <si>
    <t>0.0001 - 0.04</t>
  </si>
  <si>
    <t>Phenol</t>
  </si>
  <si>
    <t>0.0001 - 0.03</t>
  </si>
  <si>
    <t>Vinyl Chloride</t>
  </si>
  <si>
    <t>Trichloroethane</t>
  </si>
  <si>
    <t>Adsorber Vessel Orientation =</t>
  </si>
  <si>
    <r>
      <t xml:space="preserve">The following design parameters for the carbon adsorber were calculated based on the values entered on the </t>
    </r>
    <r>
      <rPr>
        <b/>
        <i/>
        <sz val="12"/>
        <color theme="8" tint="-0.249977111117893"/>
        <rFont val="Calibri"/>
        <family val="2"/>
        <scheme val="minor"/>
      </rPr>
      <t xml:space="preserve">Data Inputs </t>
    </r>
    <r>
      <rPr>
        <b/>
        <sz val="12"/>
        <color theme="8" tint="-0.249977111117893"/>
        <rFont val="Calibri"/>
        <family val="2"/>
        <scheme val="minor"/>
      </rPr>
      <t xml:space="preserve">tab. These values were used to prepare the costs shown on the </t>
    </r>
    <r>
      <rPr>
        <b/>
        <i/>
        <sz val="12"/>
        <color theme="8" tint="-0.249977111117893"/>
        <rFont val="Calibri"/>
        <family val="2"/>
        <scheme val="minor"/>
      </rPr>
      <t>Cost Estimate</t>
    </r>
    <r>
      <rPr>
        <b/>
        <sz val="12"/>
        <color theme="8" tint="-0.249977111117893"/>
        <rFont val="Calibri"/>
        <family val="2"/>
        <scheme val="minor"/>
      </rPr>
      <t xml:space="preserve"> tab.</t>
    </r>
  </si>
  <si>
    <t>Name of VOC Controlled:</t>
  </si>
  <si>
    <t>Operating Schedule  =</t>
  </si>
  <si>
    <t xml:space="preserve">Select the type of operation: </t>
  </si>
  <si>
    <t>Continuous Operation</t>
  </si>
  <si>
    <t>Intermittent Operation</t>
  </si>
  <si>
    <r>
      <t>(m</t>
    </r>
    <r>
      <rPr>
        <vertAlign val="subscript"/>
        <sz val="12"/>
        <color theme="1"/>
        <rFont val="Calibri"/>
        <family val="2"/>
        <scheme val="minor"/>
      </rPr>
      <t>voc</t>
    </r>
    <r>
      <rPr>
        <sz val="12"/>
        <color theme="1"/>
        <rFont val="Calibri"/>
        <family val="2"/>
        <scheme val="minor"/>
      </rPr>
      <t>/w</t>
    </r>
    <r>
      <rPr>
        <vertAlign val="subscript"/>
        <sz val="12"/>
        <color theme="1"/>
        <rFont val="Calibri"/>
        <family val="2"/>
        <scheme val="minor"/>
      </rPr>
      <t>c</t>
    </r>
    <r>
      <rPr>
        <sz val="12"/>
        <color theme="1"/>
        <rFont val="Calibri"/>
        <family val="2"/>
        <scheme val="minor"/>
      </rPr>
      <t xml:space="preserve">) x </t>
    </r>
    <r>
      <rPr>
        <sz val="12"/>
        <color theme="1"/>
        <rFont val="Calibri"/>
        <family val="2"/>
      </rPr>
      <t>Ɵ</t>
    </r>
    <r>
      <rPr>
        <vertAlign val="subscript"/>
        <sz val="12"/>
        <color theme="1"/>
        <rFont val="Calibri"/>
        <family val="2"/>
      </rPr>
      <t>A</t>
    </r>
    <r>
      <rPr>
        <sz val="12"/>
        <color theme="1"/>
        <rFont val="Calibri"/>
        <family val="2"/>
      </rPr>
      <t xml:space="preserve"> </t>
    </r>
    <r>
      <rPr>
        <sz val="12"/>
        <color theme="1"/>
        <rFont val="Calibri"/>
        <family val="2"/>
        <scheme val="minor"/>
      </rPr>
      <t xml:space="preserve">  = </t>
    </r>
  </si>
  <si>
    <r>
      <t>Total Number of carbon beds (N</t>
    </r>
    <r>
      <rPr>
        <vertAlign val="subscript"/>
        <sz val="11"/>
        <color theme="1"/>
        <rFont val="Calibri"/>
        <family val="2"/>
        <scheme val="minor"/>
      </rPr>
      <t>total</t>
    </r>
    <r>
      <rPr>
        <sz val="11"/>
        <color theme="1"/>
        <rFont val="Calibri"/>
        <family val="2"/>
        <scheme val="minor"/>
      </rPr>
      <t>)</t>
    </r>
  </si>
  <si>
    <r>
      <t>Number of carbon beds adsorbing VOC when system is operating (N</t>
    </r>
    <r>
      <rPr>
        <vertAlign val="subscript"/>
        <sz val="11"/>
        <color theme="1"/>
        <rFont val="Calibri"/>
        <family val="2"/>
        <scheme val="minor"/>
      </rPr>
      <t>A</t>
    </r>
    <r>
      <rPr>
        <sz val="11"/>
        <color theme="1"/>
        <rFont val="Calibri"/>
        <family val="2"/>
        <scheme val="minor"/>
      </rPr>
      <t>)</t>
    </r>
  </si>
  <si>
    <r>
      <t>N</t>
    </r>
    <r>
      <rPr>
        <vertAlign val="subscript"/>
        <sz val="12"/>
        <color theme="1"/>
        <rFont val="Calibri"/>
        <family val="2"/>
        <scheme val="minor"/>
      </rPr>
      <t>total</t>
    </r>
    <r>
      <rPr>
        <sz val="12"/>
        <color theme="1"/>
        <rFont val="Calibri"/>
        <family val="2"/>
        <scheme val="minor"/>
      </rPr>
      <t xml:space="preserve"> - N</t>
    </r>
    <r>
      <rPr>
        <vertAlign val="subscript"/>
        <sz val="12"/>
        <color theme="1"/>
        <rFont val="Calibri"/>
        <family val="2"/>
        <scheme val="minor"/>
      </rPr>
      <t>A</t>
    </r>
    <r>
      <rPr>
        <sz val="12"/>
        <color theme="1"/>
        <rFont val="Calibri"/>
        <family val="2"/>
        <scheme val="minor"/>
      </rPr>
      <t xml:space="preserve"> =</t>
    </r>
  </si>
  <si>
    <t xml:space="preserve">Adsorber Parameters: </t>
  </si>
  <si>
    <t>Estimated Carbon Required:</t>
  </si>
  <si>
    <t xml:space="preserve">Estimated Adsorber Vessel Dimensions and Surface Area: </t>
  </si>
  <si>
    <t>Electricity Consumption:</t>
  </si>
  <si>
    <t>Steam Consumption:</t>
  </si>
  <si>
    <t>Cooling Water Consumption:</t>
  </si>
  <si>
    <r>
      <t>Estimated Carbon Consumption (M</t>
    </r>
    <r>
      <rPr>
        <vertAlign val="subscript"/>
        <sz val="12"/>
        <color theme="1"/>
        <rFont val="Calibri"/>
        <family val="2"/>
        <scheme val="minor"/>
      </rPr>
      <t>c</t>
    </r>
    <r>
      <rPr>
        <sz val="12"/>
        <color theme="1"/>
        <rFont val="Calibri"/>
        <family val="2"/>
        <scheme val="minor"/>
      </rPr>
      <t xml:space="preserve">) for a continuously operated system = </t>
    </r>
  </si>
  <si>
    <r>
      <t>Estimated Carbon Consumption (M</t>
    </r>
    <r>
      <rPr>
        <vertAlign val="subscript"/>
        <sz val="12"/>
        <color theme="1"/>
        <rFont val="Calibri"/>
        <family val="2"/>
        <scheme val="minor"/>
      </rPr>
      <t>c</t>
    </r>
    <r>
      <rPr>
        <sz val="12"/>
        <color theme="1"/>
        <rFont val="Calibri"/>
        <family val="2"/>
        <scheme val="minor"/>
      </rPr>
      <t xml:space="preserve">) for an intermittently operated system = </t>
    </r>
  </si>
  <si>
    <r>
      <t xml:space="preserve">Total time for desorption </t>
    </r>
    <r>
      <rPr>
        <sz val="12"/>
        <color theme="1"/>
        <rFont val="Calibri"/>
        <family val="2"/>
      </rPr>
      <t>(Ɵ</t>
    </r>
    <r>
      <rPr>
        <vertAlign val="subscript"/>
        <sz val="12"/>
        <color theme="1"/>
        <rFont val="Calibri"/>
        <family val="2"/>
      </rPr>
      <t>D</t>
    </r>
    <r>
      <rPr>
        <sz val="12"/>
        <color theme="1"/>
        <rFont val="Calibri"/>
        <family val="2"/>
      </rPr>
      <t>)</t>
    </r>
  </si>
  <si>
    <r>
      <t>Time for Adsorption (</t>
    </r>
    <r>
      <rPr>
        <sz val="12"/>
        <color theme="1"/>
        <rFont val="Calibri"/>
        <family val="2"/>
      </rPr>
      <t>Ɵ</t>
    </r>
    <r>
      <rPr>
        <vertAlign val="subscript"/>
        <sz val="12"/>
        <color theme="1"/>
        <rFont val="Calibri"/>
        <family val="2"/>
      </rPr>
      <t>A</t>
    </r>
    <r>
      <rPr>
        <sz val="12"/>
        <color theme="1"/>
        <rFont val="Calibri"/>
        <family val="2"/>
      </rPr>
      <t>) =</t>
    </r>
  </si>
  <si>
    <r>
      <t>Time required for Desorption (Ɵ</t>
    </r>
    <r>
      <rPr>
        <vertAlign val="subscript"/>
        <sz val="12"/>
        <color theme="1"/>
        <rFont val="Calibri"/>
        <family val="2"/>
        <scheme val="minor"/>
      </rPr>
      <t>D</t>
    </r>
    <r>
      <rPr>
        <sz val="12"/>
        <color theme="1"/>
        <rFont val="Calibri"/>
        <family val="2"/>
        <scheme val="minor"/>
      </rPr>
      <t>) =</t>
    </r>
  </si>
  <si>
    <t>Cost</t>
  </si>
  <si>
    <r>
      <t>Ɵ</t>
    </r>
    <r>
      <rPr>
        <vertAlign val="subscript"/>
        <sz val="12"/>
        <color theme="1"/>
        <rFont val="Calibri"/>
        <family val="2"/>
      </rPr>
      <t>A</t>
    </r>
    <r>
      <rPr>
        <sz val="12"/>
        <color theme="1"/>
        <rFont val="Calibri"/>
        <family val="2"/>
      </rPr>
      <t xml:space="preserve"> (N</t>
    </r>
    <r>
      <rPr>
        <vertAlign val="subscript"/>
        <sz val="12"/>
        <color theme="1"/>
        <rFont val="Calibri"/>
        <family val="2"/>
      </rPr>
      <t>D</t>
    </r>
    <r>
      <rPr>
        <sz val="12"/>
        <color theme="1"/>
        <rFont val="Calibri"/>
        <family val="2"/>
      </rPr>
      <t>/N</t>
    </r>
    <r>
      <rPr>
        <vertAlign val="subscript"/>
        <sz val="12"/>
        <color theme="1"/>
        <rFont val="Calibri"/>
        <family val="2"/>
      </rPr>
      <t>A</t>
    </r>
    <r>
      <rPr>
        <sz val="12"/>
        <color theme="1"/>
        <rFont val="Calibri"/>
        <family val="2"/>
      </rPr>
      <t xml:space="preserve">) = </t>
    </r>
  </si>
  <si>
    <t xml:space="preserve">Time Available for Desorption = </t>
  </si>
  <si>
    <r>
      <t>Electricity Consumed by the system fan (Q</t>
    </r>
    <r>
      <rPr>
        <vertAlign val="subscript"/>
        <sz val="12"/>
        <rFont val="Calibri"/>
        <family val="2"/>
        <scheme val="minor"/>
      </rPr>
      <t>sf</t>
    </r>
    <r>
      <rPr>
        <sz val="12"/>
        <rFont val="Calibri"/>
        <family val="2"/>
        <scheme val="minor"/>
      </rPr>
      <t>) =</t>
    </r>
  </si>
  <si>
    <t xml:space="preserve">ft. </t>
  </si>
  <si>
    <t>inches</t>
  </si>
  <si>
    <r>
      <t>Electricity Consumed by the cooling fan (Q</t>
    </r>
    <r>
      <rPr>
        <vertAlign val="subscript"/>
        <sz val="12"/>
        <rFont val="Calibri"/>
        <family val="2"/>
        <scheme val="minor"/>
      </rPr>
      <t>cf</t>
    </r>
    <r>
      <rPr>
        <sz val="12"/>
        <rFont val="Calibri"/>
        <family val="2"/>
        <scheme val="minor"/>
      </rPr>
      <t xml:space="preserve">) = </t>
    </r>
  </si>
  <si>
    <r>
      <t>(0.746kW/hp) x 2.5x10</t>
    </r>
    <r>
      <rPr>
        <vertAlign val="superscript"/>
        <sz val="12"/>
        <rFont val="Calibri"/>
        <family val="2"/>
        <scheme val="minor"/>
      </rPr>
      <t xml:space="preserve">-4 </t>
    </r>
    <r>
      <rPr>
        <sz val="12"/>
        <rFont val="Calibri"/>
        <family val="2"/>
        <scheme val="minor"/>
      </rPr>
      <t xml:space="preserve">x Q x </t>
    </r>
    <r>
      <rPr>
        <sz val="12"/>
        <rFont val="Calibri"/>
        <family val="2"/>
      </rPr>
      <t>ΔP</t>
    </r>
    <r>
      <rPr>
        <vertAlign val="subscript"/>
        <sz val="12"/>
        <rFont val="Calibri"/>
        <family val="2"/>
      </rPr>
      <t>s</t>
    </r>
    <r>
      <rPr>
        <sz val="12"/>
        <rFont val="Calibri"/>
        <family val="2"/>
      </rPr>
      <t xml:space="preserve"> x Ɵ</t>
    </r>
    <r>
      <rPr>
        <vertAlign val="subscript"/>
        <sz val="12"/>
        <rFont val="Calibri"/>
        <family val="2"/>
      </rPr>
      <t>s</t>
    </r>
    <r>
      <rPr>
        <sz val="12"/>
        <rFont val="Calibri"/>
        <family val="2"/>
      </rPr>
      <t xml:space="preserve"> =</t>
    </r>
  </si>
  <si>
    <r>
      <t>(0.746kW/hp) x 2.5x10</t>
    </r>
    <r>
      <rPr>
        <vertAlign val="superscript"/>
        <sz val="12"/>
        <rFont val="Calibri"/>
        <family val="2"/>
        <scheme val="minor"/>
      </rPr>
      <t>-4</t>
    </r>
    <r>
      <rPr>
        <sz val="12"/>
        <rFont val="Calibri"/>
        <family val="2"/>
        <scheme val="minor"/>
      </rPr>
      <t xml:space="preserve"> x Q</t>
    </r>
    <r>
      <rPr>
        <vertAlign val="subscript"/>
        <sz val="12"/>
        <rFont val="Calibri"/>
        <family val="2"/>
        <scheme val="minor"/>
      </rPr>
      <t>cf</t>
    </r>
    <r>
      <rPr>
        <sz val="12"/>
        <rFont val="Calibri"/>
        <family val="2"/>
        <scheme val="minor"/>
      </rPr>
      <t xml:space="preserve"> x </t>
    </r>
    <r>
      <rPr>
        <sz val="12"/>
        <rFont val="Calibri"/>
        <family val="2"/>
      </rPr>
      <t>ΔP</t>
    </r>
    <r>
      <rPr>
        <vertAlign val="subscript"/>
        <sz val="12"/>
        <rFont val="Calibri"/>
        <family val="2"/>
      </rPr>
      <t>s</t>
    </r>
    <r>
      <rPr>
        <sz val="12"/>
        <rFont val="Calibri"/>
        <family val="2"/>
      </rPr>
      <t xml:space="preserve"> x Ɵ</t>
    </r>
    <r>
      <rPr>
        <vertAlign val="subscript"/>
        <sz val="12"/>
        <rFont val="Calibri"/>
        <family val="2"/>
      </rPr>
      <t>cf</t>
    </r>
    <r>
      <rPr>
        <sz val="12"/>
        <rFont val="Calibri"/>
        <family val="2"/>
      </rPr>
      <t xml:space="preserve"> =</t>
    </r>
  </si>
  <si>
    <t>Qsf + Qcf + Qcsf =</t>
  </si>
  <si>
    <r>
      <t>Electricity Consumed by the Cooling Water Fan (Q</t>
    </r>
    <r>
      <rPr>
        <vertAlign val="subscript"/>
        <sz val="12"/>
        <rFont val="Calibri"/>
        <family val="2"/>
        <scheme val="minor"/>
      </rPr>
      <t>cwf</t>
    </r>
    <r>
      <rPr>
        <sz val="12"/>
        <rFont val="Calibri"/>
        <family val="2"/>
        <scheme val="minor"/>
      </rPr>
      <t xml:space="preserve">) = </t>
    </r>
  </si>
  <si>
    <r>
      <t>(0.746kW/hp) x [2.52x10</t>
    </r>
    <r>
      <rPr>
        <vertAlign val="superscript"/>
        <sz val="12"/>
        <rFont val="Calibri"/>
        <family val="2"/>
        <scheme val="minor"/>
      </rPr>
      <t xml:space="preserve">-4 </t>
    </r>
    <r>
      <rPr>
        <sz val="12"/>
        <rFont val="Calibri"/>
        <family val="2"/>
        <scheme val="minor"/>
      </rPr>
      <t>x 100/η] x [</t>
    </r>
    <r>
      <rPr>
        <sz val="12"/>
        <rFont val="Calibri"/>
        <family val="2"/>
      </rPr>
      <t>Ɵ</t>
    </r>
    <r>
      <rPr>
        <vertAlign val="subscript"/>
        <sz val="12"/>
        <rFont val="Calibri"/>
        <family val="2"/>
      </rPr>
      <t xml:space="preserve">cwp </t>
    </r>
    <r>
      <rPr>
        <sz val="12"/>
        <rFont val="Calibri"/>
        <family val="2"/>
      </rPr>
      <t>/(0.6 x Ɵ</t>
    </r>
    <r>
      <rPr>
        <vertAlign val="subscript"/>
        <sz val="12"/>
        <rFont val="Calibri"/>
        <family val="2"/>
      </rPr>
      <t>D</t>
    </r>
    <r>
      <rPr>
        <sz val="12"/>
        <rFont val="Calibri"/>
        <family val="2"/>
      </rPr>
      <t xml:space="preserve"> x N</t>
    </r>
    <r>
      <rPr>
        <vertAlign val="subscript"/>
        <sz val="12"/>
        <rFont val="Calibri"/>
        <family val="2"/>
      </rPr>
      <t>A</t>
    </r>
    <r>
      <rPr>
        <sz val="12"/>
        <rFont val="Calibri"/>
        <family val="2"/>
      </rPr>
      <t xml:space="preserve"> x Ɵ</t>
    </r>
    <r>
      <rPr>
        <vertAlign val="subscript"/>
        <sz val="12"/>
        <rFont val="Calibri"/>
        <family val="2"/>
      </rPr>
      <t>D</t>
    </r>
    <r>
      <rPr>
        <sz val="12"/>
        <rFont val="Calibri"/>
        <family val="2"/>
      </rPr>
      <t>/Ɵ</t>
    </r>
    <r>
      <rPr>
        <vertAlign val="subscript"/>
        <sz val="12"/>
        <rFont val="Calibri"/>
        <family val="2"/>
      </rPr>
      <t xml:space="preserve">A </t>
    </r>
    <r>
      <rPr>
        <sz val="12"/>
        <rFont val="Calibri"/>
        <family val="2"/>
      </rPr>
      <t>)x 60 mins/hour]  =</t>
    </r>
  </si>
  <si>
    <t xml:space="preserve">The calculation methodologies used in this spreadsheet are those presented in the U.S. EPA's Air Pollution Control Cost Manual.  This spreadsheet is intended to be used in combination with the Control Cost Manual. For a detailed description of the technology and cost methodology, see Section 3.1 (VOC Recapture Controls), Chapter 1 (Carbon Adsorbers) of the Air Pollution Control Cost Manual (as updated in 2018). Additional control technologies may be necessary for some industrial waste gas streams.  Costs for additional control technologies can be estimated using the methods provided in other chapters of the cost manual.  A copy of the Control Cost Manual is available on the U.S. EPA's "Technology Transfer Network" website at: https://www.epa.gov/economic-and-cost-analysis-air-pollution-regulations/cost-reports-and-guidance-air-pollution.  </t>
  </si>
  <si>
    <r>
      <rPr>
        <b/>
        <u/>
        <sz val="12"/>
        <color theme="8" tint="-0.499984740745262"/>
        <rFont val="Calibri"/>
        <family val="2"/>
        <scheme val="minor"/>
      </rPr>
      <t>Step 4</t>
    </r>
    <r>
      <rPr>
        <b/>
        <sz val="12"/>
        <color theme="8" tint="-0.499984740745262"/>
        <rFont val="Calibri"/>
        <family val="2"/>
        <scheme val="minor"/>
      </rPr>
      <t>:</t>
    </r>
    <r>
      <rPr>
        <sz val="12"/>
        <color theme="8" tint="-0.499984740745262"/>
        <rFont val="Calibri"/>
        <family val="2"/>
        <scheme val="minor"/>
      </rPr>
      <t xml:space="preserve"> Once all of the data fields are complete, select the </t>
    </r>
    <r>
      <rPr>
        <b/>
        <i/>
        <sz val="12"/>
        <color theme="8" tint="-0.499984740745262"/>
        <rFont val="Calibri"/>
        <family val="2"/>
        <scheme val="minor"/>
      </rPr>
      <t>Design Parameters</t>
    </r>
    <r>
      <rPr>
        <sz val="12"/>
        <color theme="8" tint="-0.499984740745262"/>
        <rFont val="Calibri"/>
        <family val="2"/>
        <scheme val="minor"/>
      </rPr>
      <t xml:space="preserve"> tab to see the calculated design parameters for your condenser. Select the </t>
    </r>
    <r>
      <rPr>
        <b/>
        <i/>
        <sz val="12"/>
        <color theme="8" tint="-0.499984740745262"/>
        <rFont val="Calibri"/>
        <family val="2"/>
        <scheme val="minor"/>
      </rPr>
      <t>Cost Estimate</t>
    </r>
    <r>
      <rPr>
        <sz val="12"/>
        <color theme="8" tint="-0.499984740745262"/>
        <rFont val="Calibri"/>
        <family val="2"/>
        <scheme val="minor"/>
      </rPr>
      <t xml:space="preserve"> tab to view the estimated installation and operation costs for the carbon adsorber. </t>
    </r>
  </si>
  <si>
    <r>
      <rPr>
        <b/>
        <u/>
        <sz val="12"/>
        <color theme="8" tint="-0.499984740745262"/>
        <rFont val="Calibri"/>
        <family val="2"/>
        <scheme val="minor"/>
      </rPr>
      <t>Step 3</t>
    </r>
    <r>
      <rPr>
        <b/>
        <sz val="12"/>
        <color theme="8" tint="-0.499984740745262"/>
        <rFont val="Calibri"/>
        <family val="2"/>
        <scheme val="minor"/>
      </rPr>
      <t xml:space="preserve">:  </t>
    </r>
    <r>
      <rPr>
        <sz val="12"/>
        <color theme="8" tint="-0.499984740745262"/>
        <rFont val="Calibri"/>
        <family val="2"/>
        <scheme val="minor"/>
      </rPr>
      <t xml:space="preserve">Complete all of the yellow data entry cells on the </t>
    </r>
    <r>
      <rPr>
        <b/>
        <i/>
        <sz val="12"/>
        <color theme="8" tint="-0.499984740745262"/>
        <rFont val="Calibri"/>
        <family val="2"/>
        <scheme val="minor"/>
      </rPr>
      <t>Data Inputs</t>
    </r>
    <r>
      <rPr>
        <sz val="12"/>
        <color theme="8" tint="-0.499984740745262"/>
        <rFont val="Calibri"/>
        <family val="2"/>
        <scheme val="minor"/>
      </rPr>
      <t xml:space="preserve"> tab. Many of the fields are pre-populated with default values.  Where possible, replace default values provided with site-specific values in accordance with the recommendations provided in the Control Cost Manual. Use of actual values other than the default values in this spreadsheet is recommended. Sources for all values used should be appropriately documented. </t>
    </r>
  </si>
  <si>
    <t xml:space="preserve">This spreadsheet allows users to estimate the capital and annualized costs for installing and operating carbon adsorbers to control emissions of volatile organic compounds (VOCs) and hazardous air pollutants (HAP) from industrial waste gas streams. Carbon adsorbers are a non-destructive control technology employed to remove volatile organic compounds (VOCs) from low to medium concentration gas streams. Adsorption is generally used when a stringent outlet concentration must be met and/or when recovery of the VOC is desired. Carbon adsorbers may be operated in either intermittent or continuous modes. The carbon is regenerated by desorbing the VOC from the carbon. This can be done off-site or onsite. The basic equipment required for a carbon adsorber system includes one or more carbon vessels or canisters and auxiliary equipment, such as duct work, pumps and storage vessels to collect VOC desorbed from the activated carbon. The desorbed VOC can be reused onsite, sold to a recycler or disposed.  </t>
  </si>
  <si>
    <t xml:space="preserve">Typical values of "k" and "m" for some common VOCs are shown in Table A. </t>
  </si>
  <si>
    <t>Total Purchased Equipment Costs for Carbon Adsorber (A) =</t>
  </si>
  <si>
    <t>For fixed-bed carbon adsorbers, provide the following information:</t>
  </si>
  <si>
    <t>Estimated as 110 percent of operator labor rate.</t>
  </si>
  <si>
    <t>Contingency Cost (C) =</t>
  </si>
  <si>
    <r>
      <t>Carbon = CRF</t>
    </r>
    <r>
      <rPr>
        <vertAlign val="subscript"/>
        <sz val="12"/>
        <color theme="1"/>
        <rFont val="Calibri"/>
        <family val="2"/>
        <scheme val="minor"/>
      </rPr>
      <t>carbon</t>
    </r>
    <r>
      <rPr>
        <sz val="12"/>
        <color theme="1"/>
        <rFont val="Calibri"/>
        <family val="2"/>
        <scheme val="minor"/>
      </rPr>
      <t xml:space="preserve"> x CC x M</t>
    </r>
    <r>
      <rPr>
        <vertAlign val="subscript"/>
        <sz val="12"/>
        <color theme="1"/>
        <rFont val="Calibri"/>
        <family val="2"/>
        <scheme val="minor"/>
      </rPr>
      <t>c</t>
    </r>
    <r>
      <rPr>
        <sz val="12"/>
        <color theme="1"/>
        <rFont val="Calibri"/>
        <family val="2"/>
        <scheme val="minor"/>
      </rPr>
      <t xml:space="preserve"> x 1.08 = </t>
    </r>
  </si>
  <si>
    <t>Type of Carbon Adsorber:</t>
  </si>
  <si>
    <t>Fixed-Bed Carbon Adsorber with Steam Regeneration</t>
  </si>
  <si>
    <t>Carbon Canister Adsorber with Canister Replacement</t>
  </si>
  <si>
    <t>Carbon Canister Adsorber with Carbon Replacement</t>
  </si>
  <si>
    <t xml:space="preserve">Select the type of carbon adsorber system: </t>
  </si>
  <si>
    <r>
      <t>0.5 x w</t>
    </r>
    <r>
      <rPr>
        <vertAlign val="subscript"/>
        <sz val="12"/>
        <color theme="1"/>
        <rFont val="Calibri"/>
        <family val="2"/>
        <scheme val="minor"/>
      </rPr>
      <t>e(max)</t>
    </r>
    <r>
      <rPr>
        <sz val="12"/>
        <color theme="1"/>
        <rFont val="Calibri"/>
        <family val="2"/>
        <scheme val="minor"/>
      </rPr>
      <t xml:space="preserve"> = </t>
    </r>
  </si>
  <si>
    <r>
      <t>t</t>
    </r>
    <r>
      <rPr>
        <vertAlign val="subscript"/>
        <sz val="12"/>
        <color theme="1"/>
        <rFont val="Calibri"/>
        <family val="2"/>
        <scheme val="minor"/>
      </rPr>
      <t>b</t>
    </r>
    <r>
      <rPr>
        <sz val="12"/>
        <color theme="1"/>
        <rFont val="Calibri"/>
        <family val="2"/>
        <scheme val="minor"/>
      </rPr>
      <t xml:space="preserve"> x (0.03679v</t>
    </r>
    <r>
      <rPr>
        <vertAlign val="subscript"/>
        <sz val="12"/>
        <color theme="1"/>
        <rFont val="Calibri"/>
        <family val="2"/>
        <scheme val="minor"/>
      </rPr>
      <t>b</t>
    </r>
    <r>
      <rPr>
        <sz val="12"/>
        <color theme="1"/>
        <rFont val="Calibri"/>
        <family val="2"/>
        <scheme val="minor"/>
      </rPr>
      <t xml:space="preserve"> +1.107x10</t>
    </r>
    <r>
      <rPr>
        <vertAlign val="superscript"/>
        <sz val="12"/>
        <color theme="1"/>
        <rFont val="Calibri"/>
        <family val="2"/>
        <scheme val="minor"/>
      </rPr>
      <t>-4</t>
    </r>
    <r>
      <rPr>
        <sz val="12"/>
        <color theme="1"/>
        <rFont val="Calibri"/>
        <family val="2"/>
        <scheme val="minor"/>
      </rPr>
      <t>v</t>
    </r>
    <r>
      <rPr>
        <vertAlign val="subscript"/>
        <sz val="12"/>
        <color theme="1"/>
        <rFont val="Calibri"/>
        <family val="2"/>
        <scheme val="minor"/>
      </rPr>
      <t>b</t>
    </r>
    <r>
      <rPr>
        <vertAlign val="superscript"/>
        <sz val="12"/>
        <color theme="1"/>
        <rFont val="Calibri"/>
        <family val="2"/>
        <scheme val="minor"/>
      </rPr>
      <t>2</t>
    </r>
    <r>
      <rPr>
        <sz val="12"/>
        <color theme="1"/>
        <rFont val="Calibri"/>
        <family val="2"/>
        <scheme val="minor"/>
      </rPr>
      <t>) + 1 =</t>
    </r>
  </si>
  <si>
    <r>
      <t>(M</t>
    </r>
    <r>
      <rPr>
        <vertAlign val="subscript"/>
        <sz val="12"/>
        <color theme="1"/>
        <rFont val="Calibri"/>
        <family val="2"/>
        <scheme val="minor"/>
      </rPr>
      <t>c</t>
    </r>
    <r>
      <rPr>
        <sz val="12"/>
        <color theme="1"/>
        <rFont val="Calibri"/>
        <family val="2"/>
        <scheme val="minor"/>
      </rPr>
      <t>'/</t>
    </r>
    <r>
      <rPr>
        <sz val="12"/>
        <color theme="1"/>
        <rFont val="Calibri"/>
        <family val="2"/>
      </rPr>
      <t>ρ</t>
    </r>
    <r>
      <rPr>
        <vertAlign val="subscript"/>
        <sz val="12"/>
        <color theme="1"/>
        <rFont val="Calibri"/>
        <family val="2"/>
        <scheme val="minor"/>
      </rPr>
      <t>b</t>
    </r>
    <r>
      <rPr>
        <sz val="12"/>
        <color theme="1"/>
        <rFont val="Calibri"/>
        <family val="2"/>
        <scheme val="minor"/>
      </rPr>
      <t>)/(Q'/v</t>
    </r>
    <r>
      <rPr>
        <vertAlign val="subscript"/>
        <sz val="12"/>
        <color theme="1"/>
        <rFont val="Calibri"/>
        <family val="2"/>
        <scheme val="minor"/>
      </rPr>
      <t>b</t>
    </r>
    <r>
      <rPr>
        <sz val="12"/>
        <color theme="1"/>
        <rFont val="Calibri"/>
        <family val="2"/>
        <scheme val="minor"/>
      </rPr>
      <t>), where the density of carbon (ρb) = 30 lb/sq.ft</t>
    </r>
  </si>
  <si>
    <r>
      <t xml:space="preserve">0.4 x </t>
    </r>
    <r>
      <rPr>
        <sz val="12"/>
        <color theme="1"/>
        <rFont val="Calibri"/>
        <family val="2"/>
      </rPr>
      <t>Ɵ</t>
    </r>
    <r>
      <rPr>
        <vertAlign val="subscript"/>
        <sz val="12"/>
        <color theme="1"/>
        <rFont val="Calibri"/>
        <family val="2"/>
      </rPr>
      <t>D</t>
    </r>
    <r>
      <rPr>
        <sz val="12"/>
        <color theme="1"/>
        <rFont val="Calibri"/>
        <family val="2"/>
      </rPr>
      <t xml:space="preserve"> x  (N</t>
    </r>
    <r>
      <rPr>
        <vertAlign val="subscript"/>
        <sz val="12"/>
        <color theme="1"/>
        <rFont val="Calibri"/>
        <family val="2"/>
      </rPr>
      <t>A</t>
    </r>
    <r>
      <rPr>
        <sz val="12"/>
        <color theme="1"/>
        <rFont val="Calibri"/>
        <family val="2"/>
      </rPr>
      <t xml:space="preserve"> x Ɵ</t>
    </r>
    <r>
      <rPr>
        <vertAlign val="subscript"/>
        <sz val="12"/>
        <color theme="1"/>
        <rFont val="Calibri"/>
        <family val="2"/>
      </rPr>
      <t>s</t>
    </r>
    <r>
      <rPr>
        <sz val="12"/>
        <color theme="1"/>
        <rFont val="Calibri"/>
        <family val="2"/>
      </rPr>
      <t>)/Ɵ</t>
    </r>
    <r>
      <rPr>
        <vertAlign val="subscript"/>
        <sz val="12"/>
        <color theme="1"/>
        <rFont val="Calibri"/>
        <family val="2"/>
      </rPr>
      <t>A</t>
    </r>
    <r>
      <rPr>
        <sz val="12"/>
        <color theme="1"/>
        <rFont val="Calibri"/>
        <family val="2"/>
      </rPr>
      <t xml:space="preserve"> = </t>
    </r>
  </si>
  <si>
    <r>
      <t>Cooling Fan Operating Time (</t>
    </r>
    <r>
      <rPr>
        <sz val="12"/>
        <color theme="1"/>
        <rFont val="Calibri"/>
        <family val="2"/>
      </rPr>
      <t>Ɵ</t>
    </r>
    <r>
      <rPr>
        <vertAlign val="subscript"/>
        <sz val="12"/>
        <color theme="1"/>
        <rFont val="Calibri"/>
        <family val="2"/>
      </rPr>
      <t>cf</t>
    </r>
    <r>
      <rPr>
        <sz val="12"/>
        <color theme="1"/>
        <rFont val="Calibri"/>
        <family val="2"/>
      </rPr>
      <t xml:space="preserve">) = </t>
    </r>
  </si>
  <si>
    <r>
      <t>Carbon Bed Thickness (t</t>
    </r>
    <r>
      <rPr>
        <vertAlign val="subscript"/>
        <sz val="12"/>
        <color theme="1"/>
        <rFont val="Calibri"/>
        <family val="2"/>
        <scheme val="minor"/>
      </rPr>
      <t>b</t>
    </r>
    <r>
      <rPr>
        <sz val="12"/>
        <color theme="1"/>
        <rFont val="Calibri"/>
        <family val="2"/>
        <scheme val="minor"/>
      </rPr>
      <t xml:space="preserve">) = </t>
    </r>
  </si>
  <si>
    <r>
      <t>Pressure Drop (</t>
    </r>
    <r>
      <rPr>
        <sz val="12"/>
        <color theme="1"/>
        <rFont val="Calibri"/>
        <family val="2"/>
      </rPr>
      <t>ΔP</t>
    </r>
    <r>
      <rPr>
        <vertAlign val="subscript"/>
        <sz val="12"/>
        <color theme="1"/>
        <rFont val="Calibri"/>
        <family val="2"/>
      </rPr>
      <t>s</t>
    </r>
    <r>
      <rPr>
        <sz val="12"/>
        <color theme="1"/>
        <rFont val="Calibri"/>
        <family val="2"/>
      </rPr>
      <t xml:space="preserve">) = </t>
    </r>
  </si>
  <si>
    <r>
      <t>Number of operating hours per year (</t>
    </r>
    <r>
      <rPr>
        <sz val="12"/>
        <color theme="1"/>
        <rFont val="Calibri"/>
        <family val="2"/>
      </rPr>
      <t>Ɵ</t>
    </r>
    <r>
      <rPr>
        <vertAlign val="subscript"/>
        <sz val="12"/>
        <color theme="1"/>
        <rFont val="Calibri"/>
        <family val="2"/>
      </rPr>
      <t>s</t>
    </r>
    <r>
      <rPr>
        <sz val="12"/>
        <color theme="1"/>
        <rFont val="Calibri"/>
        <family val="2"/>
      </rPr>
      <t>)</t>
    </r>
  </si>
  <si>
    <t xml:space="preserve">Number of Carbon Canisters Required = </t>
  </si>
  <si>
    <r>
      <t>M</t>
    </r>
    <r>
      <rPr>
        <vertAlign val="subscript"/>
        <sz val="12"/>
        <color theme="1"/>
        <rFont val="Calibri"/>
        <family val="2"/>
        <scheme val="minor"/>
      </rPr>
      <t>c</t>
    </r>
    <r>
      <rPr>
        <sz val="12"/>
        <color theme="1"/>
        <rFont val="Calibri"/>
        <family val="2"/>
        <scheme val="minor"/>
      </rPr>
      <t>/Carbon Canister Capacity</t>
    </r>
  </si>
  <si>
    <r>
      <t>DAC + IAC + C + Disposal</t>
    </r>
    <r>
      <rPr>
        <b/>
        <vertAlign val="subscript"/>
        <sz val="12"/>
        <color theme="0"/>
        <rFont val="Calibri"/>
        <family val="2"/>
        <scheme val="minor"/>
      </rPr>
      <t>Cost</t>
    </r>
    <r>
      <rPr>
        <b/>
        <sz val="12"/>
        <color theme="0"/>
        <rFont val="Calibri"/>
        <family val="2"/>
        <scheme val="minor"/>
      </rPr>
      <t xml:space="preserve"> - RC  =</t>
    </r>
  </si>
  <si>
    <t>Annual Quantity of VOC Removed =</t>
  </si>
  <si>
    <r>
      <t>Total Cost for All Carbon Adsorber Canisters (EC</t>
    </r>
    <r>
      <rPr>
        <vertAlign val="subscript"/>
        <sz val="12"/>
        <color theme="1"/>
        <rFont val="Calibri"/>
        <family val="2"/>
        <scheme val="minor"/>
      </rPr>
      <t>Adsorb</t>
    </r>
    <r>
      <rPr>
        <sz val="12"/>
        <color theme="1"/>
        <rFont val="Calibri"/>
        <family val="2"/>
        <scheme val="minor"/>
      </rPr>
      <t>) =</t>
    </r>
  </si>
  <si>
    <t xml:space="preserve">Carbon Canister Cost </t>
  </si>
  <si>
    <t xml:space="preserve">Note: Typical costs for carbon canisters are shown in Table B. </t>
  </si>
  <si>
    <r>
      <t>Table B: Typical Equipment Costs for Carbon Adsorber Canisters</t>
    </r>
    <r>
      <rPr>
        <b/>
        <vertAlign val="superscript"/>
        <sz val="18"/>
        <color theme="0" tint="-4.9989318521683403E-2"/>
        <rFont val="Calibri"/>
        <family val="2"/>
        <scheme val="minor"/>
      </rPr>
      <t>a</t>
    </r>
  </si>
  <si>
    <t>Canister Type</t>
  </si>
  <si>
    <t>Canister Size (in pounds of activated carbon)</t>
  </si>
  <si>
    <t>Maximum Flow Rate (cfm)</t>
  </si>
  <si>
    <t>Carbon Steel</t>
  </si>
  <si>
    <t>Polypropylene</t>
  </si>
  <si>
    <t>-</t>
  </si>
  <si>
    <t>Polyethylene</t>
  </si>
  <si>
    <t>Epoxy-Lined Steel</t>
  </si>
  <si>
    <t>Cost with Virgin Carbon (in 2018 dollars)</t>
  </si>
  <si>
    <t>Cost with Reactivated Carbon (in 2018 dollars)</t>
  </si>
  <si>
    <r>
      <t>Range of Isotherm</t>
    </r>
    <r>
      <rPr>
        <b/>
        <vertAlign val="superscript"/>
        <sz val="12"/>
        <color rgb="FF000000"/>
        <rFont val="Calibri"/>
        <family val="2"/>
        <scheme val="minor"/>
      </rPr>
      <t>b</t>
    </r>
  </si>
  <si>
    <r>
      <t xml:space="preserve">m </t>
    </r>
    <r>
      <rPr>
        <sz val="12"/>
        <color rgb="FF292425"/>
        <rFont val="Calibri"/>
        <family val="2"/>
        <scheme val="minor"/>
      </rPr>
      <t>- Xylene</t>
    </r>
  </si>
  <si>
    <r>
      <t xml:space="preserve"> a</t>
    </r>
    <r>
      <rPr>
        <sz val="12"/>
        <color theme="1"/>
        <rFont val="Calibri"/>
        <family val="2"/>
        <scheme val="minor"/>
      </rPr>
      <t xml:space="preserve"> Each isotherm is of the form w = kPm, where w is the equilibrium adsorptivity (lb adsorbated/lb adsorbant), P is the partial pressure of  VOC in the gas stream (psia), and k and m are empirical parameters based on Calgon BPL carbon.  </t>
    </r>
  </si>
  <si>
    <r>
      <t>b</t>
    </r>
    <r>
      <rPr>
        <sz val="12"/>
        <color rgb="FF000000"/>
        <rFont val="Calibri"/>
        <family val="2"/>
        <scheme val="minor"/>
      </rPr>
      <t xml:space="preserve"> Adsorptivity equation should not be extrapolated outside these ranges.</t>
    </r>
  </si>
  <si>
    <t>canisters</t>
  </si>
  <si>
    <t xml:space="preserve">Adsorber Parameters for Carbon Canisters: </t>
  </si>
  <si>
    <r>
      <t>Estimated Total Carbon Required (M</t>
    </r>
    <r>
      <rPr>
        <vertAlign val="subscript"/>
        <sz val="12"/>
        <color theme="1"/>
        <rFont val="Calibri"/>
        <family val="2"/>
        <scheme val="minor"/>
      </rPr>
      <t>c</t>
    </r>
    <r>
      <rPr>
        <sz val="12"/>
        <color theme="1"/>
        <rFont val="Calibri"/>
        <family val="2"/>
        <scheme val="minor"/>
      </rPr>
      <t xml:space="preserve">) = </t>
    </r>
  </si>
  <si>
    <t>Installation =</t>
  </si>
  <si>
    <t>0.20 × B =</t>
  </si>
  <si>
    <t>Carbon Canister Size</t>
  </si>
  <si>
    <t>Not Applicable</t>
  </si>
  <si>
    <t>Canister Cost x Number of Canisters Required =</t>
  </si>
  <si>
    <r>
      <t xml:space="preserve">Total time for adsorption </t>
    </r>
    <r>
      <rPr>
        <sz val="12"/>
        <color theme="1"/>
        <rFont val="Calibri"/>
        <family val="2"/>
      </rPr>
      <t>(Ɵ</t>
    </r>
    <r>
      <rPr>
        <vertAlign val="subscript"/>
        <sz val="12"/>
        <color theme="1"/>
        <rFont val="Calibri"/>
        <family val="2"/>
      </rPr>
      <t>A</t>
    </r>
    <r>
      <rPr>
        <sz val="12"/>
        <color theme="1"/>
        <rFont val="Calibri"/>
        <family val="2"/>
      </rPr>
      <t>)</t>
    </r>
  </si>
  <si>
    <t>Carbon Canister Replacement Costs:</t>
  </si>
  <si>
    <r>
      <t>Capital Recovery Factor for carbon (CRF</t>
    </r>
    <r>
      <rPr>
        <vertAlign val="subscript"/>
        <sz val="12"/>
        <color theme="1"/>
        <rFont val="Calibri"/>
        <family val="2"/>
        <scheme val="minor"/>
      </rPr>
      <t>Carbon</t>
    </r>
    <r>
      <rPr>
        <sz val="12"/>
        <color theme="1"/>
        <rFont val="Calibri"/>
        <family val="2"/>
        <scheme val="minor"/>
      </rPr>
      <t xml:space="preserve">) = </t>
    </r>
  </si>
  <si>
    <t>Number of Carbon Canisters * Carbon Capacity per Canister =</t>
  </si>
  <si>
    <t>Number of operating hours before carbon canister replacement =</t>
  </si>
  <si>
    <r>
      <t>Carbon =  CRF</t>
    </r>
    <r>
      <rPr>
        <vertAlign val="subscript"/>
        <sz val="12"/>
        <color theme="1"/>
        <rFont val="Calibri"/>
        <family val="2"/>
        <scheme val="minor"/>
      </rPr>
      <t>carbon</t>
    </r>
    <r>
      <rPr>
        <sz val="12"/>
        <color theme="1"/>
        <rFont val="Calibri"/>
        <family val="2"/>
        <scheme val="minor"/>
      </rPr>
      <t>[CC x T</t>
    </r>
    <r>
      <rPr>
        <vertAlign val="subscript"/>
        <sz val="12"/>
        <color theme="1"/>
        <rFont val="Calibri"/>
        <family val="2"/>
        <scheme val="minor"/>
      </rPr>
      <t>c</t>
    </r>
    <r>
      <rPr>
        <sz val="12"/>
        <color theme="1"/>
        <rFont val="Calibri"/>
        <family val="2"/>
        <scheme val="minor"/>
      </rPr>
      <t xml:space="preserve"> x 1.08] = </t>
    </r>
  </si>
  <si>
    <r>
      <t>Labor = CFR</t>
    </r>
    <r>
      <rPr>
        <vertAlign val="subscript"/>
        <sz val="12"/>
        <color theme="1"/>
        <rFont val="Calibri"/>
        <family val="2"/>
        <scheme val="minor"/>
      </rPr>
      <t xml:space="preserve">carbon </t>
    </r>
    <r>
      <rPr>
        <sz val="12"/>
        <color theme="1"/>
        <rFont val="Calibri"/>
        <family val="2"/>
        <scheme val="minor"/>
      </rPr>
      <t>[Labor Rate × T</t>
    </r>
    <r>
      <rPr>
        <vertAlign val="subscript"/>
        <sz val="12"/>
        <color theme="1"/>
        <rFont val="Calibri"/>
        <family val="2"/>
        <scheme val="minor"/>
      </rPr>
      <t>C</t>
    </r>
    <r>
      <rPr>
        <sz val="12"/>
        <color theme="1"/>
        <rFont val="Calibri"/>
        <family val="2"/>
        <scheme val="minor"/>
      </rPr>
      <t xml:space="preserve">/CRR] = </t>
    </r>
  </si>
  <si>
    <r>
      <t>= CRF</t>
    </r>
    <r>
      <rPr>
        <vertAlign val="subscript"/>
        <sz val="12"/>
        <rFont val="Calibri"/>
        <family val="2"/>
        <scheme val="minor"/>
      </rPr>
      <t>Adsorber</t>
    </r>
    <r>
      <rPr>
        <sz val="12"/>
        <rFont val="Calibri"/>
        <family val="2"/>
        <scheme val="minor"/>
      </rPr>
      <t xml:space="preserve"> × [TCI - [(1.08 *CC *Tc) + (LR*Tc/CRR)] =</t>
    </r>
  </si>
  <si>
    <r>
      <t>= CRF</t>
    </r>
    <r>
      <rPr>
        <vertAlign val="subscript"/>
        <sz val="12"/>
        <rFont val="Calibri"/>
        <family val="2"/>
        <scheme val="minor"/>
      </rPr>
      <t>Adsorber</t>
    </r>
    <r>
      <rPr>
        <sz val="12"/>
        <rFont val="Calibri"/>
        <family val="2"/>
        <scheme val="minor"/>
      </rPr>
      <t xml:space="preserve"> × (TCI - [(1.08 x CC x M</t>
    </r>
    <r>
      <rPr>
        <vertAlign val="subscript"/>
        <sz val="12"/>
        <rFont val="Calibri"/>
        <family val="2"/>
        <scheme val="minor"/>
      </rPr>
      <t>c</t>
    </r>
    <r>
      <rPr>
        <sz val="12"/>
        <rFont val="Calibri"/>
        <family val="2"/>
        <scheme val="minor"/>
      </rPr>
      <t>) + (LR x M</t>
    </r>
    <r>
      <rPr>
        <vertAlign val="subscript"/>
        <sz val="12"/>
        <rFont val="Calibri"/>
        <family val="2"/>
        <scheme val="minor"/>
      </rPr>
      <t>c</t>
    </r>
    <r>
      <rPr>
        <sz val="12"/>
        <rFont val="Calibri"/>
        <family val="2"/>
        <scheme val="minor"/>
      </rPr>
      <t>/CRR)] =</t>
    </r>
  </si>
  <si>
    <t xml:space="preserve">The spreadsheet can be used to estimate capital and annualized costs for three types of carbon adsorbers: fixed-bed carbon adsorbers with steam regeneration; large carbon canisters with carbon replacement, and small carbon canisters with canister replacement. The methodology is designed to provide study-level (+-30%) cost estimates.  Actual costs, particularly those for installation, can deviate significantly from the costs generated using this spreadsheet due to site conditions. Units of measures in this spreadsheet are English units.  </t>
  </si>
  <si>
    <r>
      <rPr>
        <b/>
        <u/>
        <sz val="12"/>
        <color theme="8" tint="-0.499984740745262"/>
        <rFont val="Calibri"/>
        <family val="2"/>
        <scheme val="minor"/>
      </rPr>
      <t>Step 2</t>
    </r>
    <r>
      <rPr>
        <b/>
        <sz val="12"/>
        <color theme="8" tint="-0.499984740745262"/>
        <rFont val="Calibri"/>
        <family val="2"/>
        <scheme val="minor"/>
      </rPr>
      <t xml:space="preserve">: </t>
    </r>
    <r>
      <rPr>
        <sz val="12"/>
        <color theme="8" tint="-0.499984740745262"/>
        <rFont val="Calibri"/>
        <family val="2"/>
        <scheme val="minor"/>
      </rPr>
      <t xml:space="preserve"> Use the drop down menus on the </t>
    </r>
    <r>
      <rPr>
        <b/>
        <i/>
        <sz val="12"/>
        <color theme="8" tint="-0.499984740745262"/>
        <rFont val="Calibri"/>
        <family val="2"/>
        <scheme val="minor"/>
      </rPr>
      <t xml:space="preserve">Data Inputs </t>
    </r>
    <r>
      <rPr>
        <sz val="12"/>
        <color theme="8" tint="-0.499984740745262"/>
        <rFont val="Calibri"/>
        <family val="2"/>
        <scheme val="minor"/>
      </rPr>
      <t xml:space="preserve">tab to select the type of carbon adsorber system (i.e., fixed-bed or canister). For fixed-bed adsorbers, use the drop down menus to enter the operating method (i.e., continuous or intermittent), material used for adsorber vessel fabrication and to specify whether the vessels are horizontal or vertical.    </t>
    </r>
  </si>
  <si>
    <r>
      <t>Ɵ</t>
    </r>
    <r>
      <rPr>
        <i/>
        <vertAlign val="subscript"/>
        <sz val="12"/>
        <color theme="1"/>
        <rFont val="Calibri"/>
        <family val="2"/>
      </rPr>
      <t xml:space="preserve">s </t>
    </r>
    <r>
      <rPr>
        <i/>
        <sz val="12"/>
        <color theme="1"/>
        <rFont val="Calibri"/>
        <family val="2"/>
      </rPr>
      <t>/  Ɵ</t>
    </r>
    <r>
      <rPr>
        <i/>
        <vertAlign val="subscript"/>
        <sz val="12"/>
        <color theme="1"/>
        <rFont val="Calibri"/>
        <family val="2"/>
      </rPr>
      <t xml:space="preserve">A </t>
    </r>
    <r>
      <rPr>
        <i/>
        <sz val="12"/>
        <color theme="1"/>
        <rFont val="Calibri"/>
        <family val="2"/>
      </rPr>
      <t>=</t>
    </r>
  </si>
  <si>
    <r>
      <t>Number of Operating Hours Before Carbon Canister Replacement  (Ɵ</t>
    </r>
    <r>
      <rPr>
        <vertAlign val="subscript"/>
        <sz val="12"/>
        <color theme="1"/>
        <rFont val="Calibri"/>
        <family val="2"/>
        <scheme val="minor"/>
      </rPr>
      <t>A</t>
    </r>
    <r>
      <rPr>
        <sz val="12"/>
        <color theme="1"/>
        <rFont val="Calibri"/>
        <family val="2"/>
        <scheme val="minor"/>
      </rPr>
      <t>)</t>
    </r>
  </si>
  <si>
    <r>
      <t>Capital Recovery Factor for carbon (CRF</t>
    </r>
    <r>
      <rPr>
        <vertAlign val="subscript"/>
        <sz val="12"/>
        <color theme="1"/>
        <rFont val="Calibri"/>
        <family val="2"/>
        <scheme val="minor"/>
      </rPr>
      <t>Carbon canister</t>
    </r>
    <r>
      <rPr>
        <sz val="12"/>
        <color theme="1"/>
        <rFont val="Calibri"/>
        <family val="2"/>
        <scheme val="minor"/>
      </rPr>
      <t xml:space="preserve">) = </t>
    </r>
  </si>
  <si>
    <t>Where n = Carbon Canister Life and i = Interest Rate</t>
  </si>
  <si>
    <t>Direct and Indirect Installation =</t>
  </si>
  <si>
    <t xml:space="preserve">Purchace Equipment Costs + Installation Costs + Contingency Costs = </t>
  </si>
  <si>
    <t>CF(Purchase Equipment Cost + Installation costs)=</t>
  </si>
  <si>
    <t>Total Direct and Indirect Installation Costs =</t>
  </si>
  <si>
    <t>0.06 x TCI</t>
  </si>
  <si>
    <t>tons per year</t>
  </si>
  <si>
    <t>Canisters with canister replacement</t>
  </si>
  <si>
    <t>Canisters with carbon replacement</t>
  </si>
  <si>
    <t>DAC + IAC  =</t>
  </si>
  <si>
    <t xml:space="preserve">(a)  Equipment costs based on 2018 data provided by Calgon Carbon Corporation and Carbtrol Corporation. </t>
  </si>
  <si>
    <r>
      <t>271 x F</t>
    </r>
    <r>
      <rPr>
        <vertAlign val="subscript"/>
        <sz val="12"/>
        <color theme="1"/>
        <rFont val="Calibri"/>
        <family val="2"/>
      </rPr>
      <t>m</t>
    </r>
    <r>
      <rPr>
        <sz val="12"/>
        <color theme="1"/>
        <rFont val="Calibri"/>
        <family val="2"/>
        <scheme val="minor"/>
      </rPr>
      <t xml:space="preserve"> x S</t>
    </r>
    <r>
      <rPr>
        <vertAlign val="superscript"/>
        <sz val="12"/>
        <color theme="1"/>
        <rFont val="Calibri"/>
        <family val="2"/>
        <scheme val="minor"/>
      </rPr>
      <t>0.778</t>
    </r>
    <r>
      <rPr>
        <sz val="12"/>
        <color theme="1"/>
        <rFont val="Calibri"/>
        <family val="2"/>
        <scheme val="minor"/>
      </rPr>
      <t xml:space="preserve"> =</t>
    </r>
  </si>
  <si>
    <r>
      <t>5.82 x Q</t>
    </r>
    <r>
      <rPr>
        <vertAlign val="superscript"/>
        <sz val="12"/>
        <color theme="1"/>
        <rFont val="Calibri"/>
        <family val="2"/>
        <scheme val="minor"/>
      </rPr>
      <t>-0.133</t>
    </r>
    <r>
      <rPr>
        <sz val="12"/>
        <color theme="1"/>
        <rFont val="Calibri"/>
        <family val="2"/>
        <scheme val="minor"/>
      </rPr>
      <t xml:space="preserve"> x [C</t>
    </r>
    <r>
      <rPr>
        <vertAlign val="subscript"/>
        <sz val="12"/>
        <color theme="1"/>
        <rFont val="Calibri"/>
        <family val="2"/>
        <scheme val="minor"/>
      </rPr>
      <t>c</t>
    </r>
    <r>
      <rPr>
        <sz val="12"/>
        <color theme="1"/>
        <rFont val="Calibri"/>
        <family val="2"/>
        <scheme val="minor"/>
      </rPr>
      <t xml:space="preserve"> + (N</t>
    </r>
    <r>
      <rPr>
        <vertAlign val="subscript"/>
        <sz val="12"/>
        <color theme="1"/>
        <rFont val="Calibri"/>
        <family val="2"/>
        <scheme val="minor"/>
      </rPr>
      <t>A</t>
    </r>
    <r>
      <rPr>
        <sz val="12"/>
        <color theme="1"/>
        <rFont val="Calibri"/>
        <family val="2"/>
        <scheme val="minor"/>
      </rPr>
      <t xml:space="preserve"> + N</t>
    </r>
    <r>
      <rPr>
        <vertAlign val="subscript"/>
        <sz val="12"/>
        <color theme="1"/>
        <rFont val="Calibri"/>
        <family val="2"/>
        <scheme val="minor"/>
      </rPr>
      <t>D</t>
    </r>
    <r>
      <rPr>
        <sz val="12"/>
        <color theme="1"/>
        <rFont val="Calibri"/>
        <family val="2"/>
        <scheme val="minor"/>
      </rPr>
      <t>) x C</t>
    </r>
    <r>
      <rPr>
        <vertAlign val="subscript"/>
        <sz val="12"/>
        <color theme="1"/>
        <rFont val="Calibri"/>
        <family val="2"/>
        <scheme val="minor"/>
      </rPr>
      <t>v</t>
    </r>
    <r>
      <rPr>
        <sz val="12"/>
        <color theme="1"/>
        <rFont val="Calibri"/>
        <family val="2"/>
        <scheme val="minor"/>
      </rPr>
      <t>] =</t>
    </r>
  </si>
  <si>
    <t>0.08 × B =</t>
  </si>
  <si>
    <t>Number of times canister(s) replaced per year =</t>
  </si>
  <si>
    <t>Years</t>
  </si>
  <si>
    <t>acfm*</t>
  </si>
  <si>
    <t>*acfm is actual cubic feet/min</t>
  </si>
  <si>
    <t>(November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</si>
</sst>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7" formatCode="&quot;$&quot;#,##0.00_);\(&quot;$&quot;#,##0.00\)"/>
    <numFmt numFmtId="44" formatCode="_(&quot;$&quot;* #,##0.00_);_(&quot;$&quot;* \(#,##0.00\);_(&quot;$&quot;* &quot;-&quot;??_);_(@_)"/>
    <numFmt numFmtId="43" formatCode="_(* #,##0.00_);_(* \(#,##0.00\);_(* &quot;-&quot;??_);_(@_)"/>
    <numFmt numFmtId="164" formatCode="0.0"/>
    <numFmt numFmtId="165" formatCode="&quot;$&quot;#,##0"/>
    <numFmt numFmtId="166" formatCode="0.0000"/>
    <numFmt numFmtId="167" formatCode="&quot;$&quot;#,##0.00"/>
    <numFmt numFmtId="168" formatCode="#,##0.0"/>
    <numFmt numFmtId="169" formatCode="0.000"/>
    <numFmt numFmtId="170" formatCode="&quot;$&quot;#,##0.0000"/>
    <numFmt numFmtId="171" formatCode="_(* #,##0_);_(* \(#,##0\);_(* &quot;-&quot;??_);_(@_)"/>
    <numFmt numFmtId="172" formatCode="#,##0.000"/>
  </numFmts>
  <fonts count="84" x14ac:knownFonts="1">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sz val="11"/>
      <color theme="0"/>
      <name val="Calibri"/>
      <family val="2"/>
      <scheme val="minor"/>
    </font>
    <font>
      <sz val="18"/>
      <color theme="0"/>
      <name val="Calibri"/>
      <family val="2"/>
      <scheme val="minor"/>
    </font>
    <font>
      <sz val="12"/>
      <color theme="8" tint="-0.249977111117893"/>
      <name val="Calibri"/>
      <family val="2"/>
      <scheme val="minor"/>
    </font>
    <font>
      <sz val="12"/>
      <color theme="1"/>
      <name val="Calibri"/>
      <family val="2"/>
      <scheme val="minor"/>
    </font>
    <font>
      <sz val="12"/>
      <color theme="8" tint="-0.499984740745262"/>
      <name val="Calibri"/>
      <family val="2"/>
      <scheme val="minor"/>
    </font>
    <font>
      <b/>
      <sz val="16"/>
      <color theme="0"/>
      <name val="Calibri"/>
      <family val="2"/>
      <scheme val="minor"/>
    </font>
    <font>
      <b/>
      <u/>
      <sz val="12"/>
      <color theme="8" tint="-0.499984740745262"/>
      <name val="Calibri"/>
      <family val="2"/>
      <scheme val="minor"/>
    </font>
    <font>
      <b/>
      <sz val="12"/>
      <color theme="8" tint="-0.499984740745262"/>
      <name val="Calibri"/>
      <family val="2"/>
      <scheme val="minor"/>
    </font>
    <font>
      <b/>
      <i/>
      <sz val="12"/>
      <color theme="8" tint="-0.499984740745262"/>
      <name val="Calibri"/>
      <family val="2"/>
      <scheme val="minor"/>
    </font>
    <font>
      <sz val="12"/>
      <color theme="8" tint="-0.499984740745262"/>
      <name val="Times New Roman"/>
      <family val="1"/>
    </font>
    <font>
      <b/>
      <sz val="18"/>
      <color theme="0"/>
      <name val="Calibri"/>
      <family val="2"/>
      <scheme val="minor"/>
    </font>
    <font>
      <b/>
      <sz val="14"/>
      <color theme="0"/>
      <name val="Calibri"/>
      <family val="2"/>
      <scheme val="minor"/>
    </font>
    <font>
      <sz val="14"/>
      <color theme="1"/>
      <name val="Calibri"/>
      <family val="2"/>
      <scheme val="minor"/>
    </font>
    <font>
      <sz val="12"/>
      <name val="Calibri"/>
      <family val="2"/>
      <scheme val="minor"/>
    </font>
    <font>
      <sz val="14"/>
      <color rgb="FFFF0000"/>
      <name val="Calibri"/>
      <family val="2"/>
      <scheme val="minor"/>
    </font>
    <font>
      <sz val="12"/>
      <color rgb="FFFF0000"/>
      <name val="Calibri"/>
      <family val="2"/>
      <scheme val="minor"/>
    </font>
    <font>
      <b/>
      <sz val="12"/>
      <color theme="8" tint="-0.249977111117893"/>
      <name val="Calibri"/>
      <family val="2"/>
      <scheme val="minor"/>
    </font>
    <font>
      <b/>
      <i/>
      <sz val="12"/>
      <color theme="8" tint="-0.249977111117893"/>
      <name val="Calibri"/>
      <family val="2"/>
      <scheme val="minor"/>
    </font>
    <font>
      <sz val="9"/>
      <color rgb="FFC00000"/>
      <name val="Calibri"/>
      <family val="2"/>
      <scheme val="minor"/>
    </font>
    <font>
      <sz val="11"/>
      <color rgb="FF000000"/>
      <name val="Calibri"/>
      <family val="2"/>
    </font>
    <font>
      <b/>
      <sz val="12"/>
      <color theme="0"/>
      <name val="Calibri"/>
      <family val="2"/>
      <scheme val="minor"/>
    </font>
    <font>
      <sz val="11"/>
      <color rgb="FFC00000"/>
      <name val="Calibri"/>
      <family val="2"/>
      <scheme val="minor"/>
    </font>
    <font>
      <vertAlign val="superscript"/>
      <sz val="12"/>
      <color theme="1"/>
      <name val="Calibri"/>
      <family val="2"/>
      <scheme val="minor"/>
    </font>
    <font>
      <vertAlign val="subscript"/>
      <sz val="12"/>
      <color theme="1"/>
      <name val="Calibri"/>
      <family val="2"/>
      <scheme val="minor"/>
    </font>
    <font>
      <sz val="12"/>
      <color theme="1"/>
      <name val="Calibri"/>
      <family val="2"/>
    </font>
    <font>
      <vertAlign val="subscript"/>
      <sz val="12"/>
      <color theme="1"/>
      <name val="Calibri"/>
      <family val="2"/>
    </font>
    <font>
      <b/>
      <sz val="18"/>
      <color rgb="FFFF0000"/>
      <name val="Calibri"/>
      <family val="2"/>
      <scheme val="minor"/>
    </font>
    <font>
      <b/>
      <sz val="14"/>
      <color rgb="FFFF0000"/>
      <name val="Calibri"/>
      <family val="2"/>
      <scheme val="minor"/>
    </font>
    <font>
      <sz val="11"/>
      <color theme="1"/>
      <name val="Calibri"/>
      <family val="2"/>
      <scheme val="minor"/>
    </font>
    <font>
      <sz val="14"/>
      <color rgb="FFC00000"/>
      <name val="Calibri"/>
      <family val="2"/>
      <scheme val="minor"/>
    </font>
    <font>
      <b/>
      <sz val="12"/>
      <name val="Calibri"/>
      <family val="2"/>
      <scheme val="minor"/>
    </font>
    <font>
      <b/>
      <sz val="12"/>
      <color theme="8" tint="-0.249977111117893"/>
      <name val="Calibri"/>
      <family val="2"/>
    </font>
    <font>
      <b/>
      <sz val="11"/>
      <color theme="8" tint="-0.249977111117893"/>
      <name val="Calibri"/>
      <family val="2"/>
      <scheme val="minor"/>
    </font>
    <font>
      <b/>
      <sz val="12"/>
      <color theme="1"/>
      <name val="Calibri"/>
      <family val="2"/>
      <scheme val="minor"/>
    </font>
    <font>
      <b/>
      <sz val="12"/>
      <color theme="0" tint="-4.9989318521683403E-2"/>
      <name val="Calibri"/>
      <family val="2"/>
      <scheme val="minor"/>
    </font>
    <font>
      <sz val="12"/>
      <color rgb="FFC00000"/>
      <name val="Calibri"/>
      <family val="2"/>
      <scheme val="minor"/>
    </font>
    <font>
      <sz val="11"/>
      <color theme="8" tint="-0.249977111117893"/>
      <name val="Calibri"/>
      <family val="2"/>
      <scheme val="minor"/>
    </font>
    <font>
      <vertAlign val="subscript"/>
      <sz val="12"/>
      <name val="Calibri"/>
      <family val="2"/>
      <scheme val="minor"/>
    </font>
    <font>
      <sz val="12"/>
      <name val="Calibri"/>
      <family val="2"/>
    </font>
    <font>
      <vertAlign val="superscript"/>
      <sz val="12"/>
      <color rgb="FF000000"/>
      <name val="Times New Roman"/>
      <family val="1"/>
    </font>
    <font>
      <b/>
      <sz val="18"/>
      <color theme="0" tint="-4.9989318521683403E-2"/>
      <name val="Calibri"/>
      <family val="2"/>
      <scheme val="minor"/>
    </font>
    <font>
      <b/>
      <u/>
      <sz val="11"/>
      <color theme="1"/>
      <name val="Calibri"/>
      <family val="2"/>
      <scheme val="minor"/>
    </font>
    <font>
      <b/>
      <sz val="11"/>
      <name val="Calibri"/>
      <family val="2"/>
      <scheme val="minor"/>
    </font>
    <font>
      <i/>
      <sz val="11"/>
      <name val="Calibri"/>
      <family val="2"/>
      <scheme val="minor"/>
    </font>
    <font>
      <i/>
      <vertAlign val="subscript"/>
      <sz val="11"/>
      <name val="Calibri"/>
      <family val="2"/>
      <scheme val="minor"/>
    </font>
    <font>
      <i/>
      <sz val="11"/>
      <name val="Calibri"/>
      <family val="2"/>
    </font>
    <font>
      <i/>
      <vertAlign val="subscript"/>
      <sz val="11"/>
      <name val="Calibri"/>
      <family val="2"/>
    </font>
    <font>
      <b/>
      <vertAlign val="subscript"/>
      <sz val="12"/>
      <color theme="0"/>
      <name val="Calibri"/>
      <family val="2"/>
      <scheme val="minor"/>
    </font>
    <font>
      <i/>
      <sz val="12"/>
      <name val="Calibri"/>
      <family val="2"/>
      <scheme val="minor"/>
    </font>
    <font>
      <i/>
      <vertAlign val="subscript"/>
      <sz val="12"/>
      <name val="Calibri"/>
      <family val="2"/>
      <scheme val="minor"/>
    </font>
    <font>
      <i/>
      <sz val="12"/>
      <name val="Calibri"/>
      <family val="2"/>
    </font>
    <font>
      <i/>
      <vertAlign val="subscript"/>
      <sz val="12"/>
      <name val="Calibri"/>
      <family val="2"/>
    </font>
    <font>
      <i/>
      <sz val="12"/>
      <color theme="1"/>
      <name val="Calibri"/>
      <family val="2"/>
      <scheme val="minor"/>
    </font>
    <font>
      <i/>
      <vertAlign val="subscript"/>
      <sz val="12"/>
      <color theme="1"/>
      <name val="Calibri"/>
      <family val="2"/>
      <scheme val="minor"/>
    </font>
    <font>
      <i/>
      <sz val="12"/>
      <color theme="1"/>
      <name val="Calibri"/>
      <family val="2"/>
    </font>
    <font>
      <i/>
      <vertAlign val="subscript"/>
      <sz val="12"/>
      <color theme="1"/>
      <name val="Calibri"/>
      <family val="2"/>
    </font>
    <font>
      <sz val="14"/>
      <color theme="7" tint="-0.499984740745262"/>
      <name val="Calibri"/>
      <family val="2"/>
      <scheme val="minor"/>
    </font>
    <font>
      <sz val="11"/>
      <color theme="7" tint="-0.499984740745262"/>
      <name val="Calibri"/>
      <family val="2"/>
      <scheme val="minor"/>
    </font>
    <font>
      <sz val="12"/>
      <color theme="7" tint="-0.499984740745262"/>
      <name val="Calibri"/>
      <family val="2"/>
      <scheme val="minor"/>
    </font>
    <font>
      <b/>
      <sz val="12"/>
      <color theme="7" tint="-0.499984740745262"/>
      <name val="Calibri"/>
      <family val="2"/>
      <scheme val="minor"/>
    </font>
    <font>
      <b/>
      <sz val="11"/>
      <color theme="7" tint="-0.499984740745262"/>
      <name val="Calibri"/>
      <family val="2"/>
      <scheme val="minor"/>
    </font>
    <font>
      <sz val="11"/>
      <color theme="1"/>
      <name val="Calibri"/>
      <family val="2"/>
    </font>
    <font>
      <vertAlign val="subscript"/>
      <sz val="12"/>
      <name val="Calibri"/>
      <family val="2"/>
    </font>
    <font>
      <vertAlign val="superscript"/>
      <sz val="12"/>
      <name val="Calibri"/>
      <family val="2"/>
    </font>
    <font>
      <vertAlign val="subscript"/>
      <sz val="11"/>
      <color theme="1"/>
      <name val="Calibri"/>
      <family val="2"/>
      <scheme val="minor"/>
    </font>
    <font>
      <i/>
      <vertAlign val="superscript"/>
      <sz val="12"/>
      <color theme="1"/>
      <name val="Calibri"/>
      <family val="2"/>
      <scheme val="minor"/>
    </font>
    <font>
      <b/>
      <vertAlign val="superscript"/>
      <sz val="18"/>
      <color theme="0" tint="-4.9989318521683403E-2"/>
      <name val="Calibri"/>
      <family val="2"/>
      <scheme val="minor"/>
    </font>
    <font>
      <b/>
      <sz val="14"/>
      <color theme="9" tint="-0.499984740745262"/>
      <name val="Calibri"/>
      <family val="2"/>
      <scheme val="minor"/>
    </font>
    <font>
      <vertAlign val="superscript"/>
      <sz val="12"/>
      <name val="Calibri"/>
      <family val="2"/>
      <scheme val="minor"/>
    </font>
    <font>
      <b/>
      <sz val="12"/>
      <color rgb="FF000000"/>
      <name val="Times New Roman"/>
      <family val="1"/>
    </font>
    <font>
      <sz val="12"/>
      <color rgb="FF292425"/>
      <name val="Times New Roman"/>
      <family val="1"/>
    </font>
    <font>
      <b/>
      <sz val="12"/>
      <color rgb="FF000000"/>
      <name val="Calibri"/>
      <family val="2"/>
      <scheme val="minor"/>
    </font>
    <font>
      <sz val="12"/>
      <color rgb="FF292425"/>
      <name val="Calibri"/>
      <family val="2"/>
      <scheme val="minor"/>
    </font>
    <font>
      <b/>
      <vertAlign val="superscript"/>
      <sz val="12"/>
      <color rgb="FF000000"/>
      <name val="Calibri"/>
      <family val="2"/>
      <scheme val="minor"/>
    </font>
    <font>
      <i/>
      <sz val="12"/>
      <color rgb="FF292425"/>
      <name val="Calibri"/>
      <family val="2"/>
      <scheme val="minor"/>
    </font>
    <font>
      <vertAlign val="superscript"/>
      <sz val="12"/>
      <color rgb="FF000000"/>
      <name val="Calibri"/>
      <family val="2"/>
      <scheme val="minor"/>
    </font>
    <font>
      <sz val="12"/>
      <color rgb="FF000000"/>
      <name val="Calibri"/>
      <family val="2"/>
      <scheme val="minor"/>
    </font>
    <font>
      <sz val="12"/>
      <color theme="9"/>
      <name val="Calibri"/>
      <family val="2"/>
      <scheme val="minor"/>
    </font>
    <font>
      <b/>
      <sz val="12"/>
      <color rgb="FFFF0000"/>
      <name val="Calibri"/>
      <family val="2"/>
      <scheme val="minor"/>
    </font>
    <font>
      <b/>
      <sz val="11"/>
      <color rgb="FFFF0000"/>
      <name val="Calibri"/>
      <family val="2"/>
      <scheme val="minor"/>
    </font>
  </fonts>
  <fills count="16">
    <fill>
      <patternFill patternType="none"/>
    </fill>
    <fill>
      <patternFill patternType="gray125"/>
    </fill>
    <fill>
      <patternFill patternType="solid">
        <fgColor theme="8"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D9D9D9"/>
        <bgColor indexed="64"/>
      </patternFill>
    </fill>
    <fill>
      <patternFill patternType="solid">
        <fgColor rgb="FFFFFF00"/>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theme="8" tint="-0.499984740745262"/>
      </bottom>
      <diagonal/>
    </border>
  </borders>
  <cellStyleXfs count="3">
    <xf numFmtId="0" fontId="0" fillId="0" borderId="0"/>
    <xf numFmtId="44" fontId="32" fillId="0" borderId="0" applyFont="0" applyFill="0" applyBorder="0" applyAlignment="0" applyProtection="0"/>
    <xf numFmtId="43" fontId="32" fillId="0" borderId="0" applyFont="0" applyFill="0" applyBorder="0" applyAlignment="0" applyProtection="0"/>
  </cellStyleXfs>
  <cellXfs count="391">
    <xf numFmtId="0" fontId="0" fillId="0" borderId="0" xfId="0"/>
    <xf numFmtId="3" fontId="0" fillId="0" borderId="0" xfId="0" applyNumberFormat="1"/>
    <xf numFmtId="0" fontId="0" fillId="0" borderId="0" xfId="0" applyAlignment="1">
      <alignment horizontal="right"/>
    </xf>
    <xf numFmtId="0" fontId="0" fillId="0" borderId="0" xfId="0" applyFill="1"/>
    <xf numFmtId="0" fontId="7" fillId="0" borderId="0" xfId="0" applyFont="1"/>
    <xf numFmtId="0" fontId="7" fillId="0" borderId="0" xfId="0" applyFont="1" applyAlignment="1">
      <alignment wrapText="1"/>
    </xf>
    <xf numFmtId="0" fontId="8" fillId="0" borderId="0" xfId="0" applyFont="1" applyAlignment="1">
      <alignment horizontal="left" vertical="top" wrapText="1"/>
    </xf>
    <xf numFmtId="0" fontId="8" fillId="0" borderId="0" xfId="0" applyFont="1" applyAlignment="1">
      <alignment horizontal="left" wrapText="1"/>
    </xf>
    <xf numFmtId="0" fontId="0" fillId="0" borderId="0" xfId="0" applyAlignment="1">
      <alignment vertical="center"/>
    </xf>
    <xf numFmtId="0" fontId="13" fillId="0" borderId="0" xfId="0" applyFont="1" applyAlignment="1">
      <alignment horizontal="left" wrapText="1"/>
    </xf>
    <xf numFmtId="0" fontId="17" fillId="5" borderId="0" xfId="0" applyFont="1" applyFill="1"/>
    <xf numFmtId="0" fontId="17" fillId="0" borderId="0" xfId="0" applyFont="1"/>
    <xf numFmtId="0" fontId="18" fillId="5" borderId="0" xfId="0" applyFont="1" applyFill="1"/>
    <xf numFmtId="0" fontId="2" fillId="5" borderId="0" xfId="0" applyFont="1" applyFill="1"/>
    <xf numFmtId="0" fontId="7" fillId="0" borderId="4" xfId="0" applyFont="1" applyBorder="1"/>
    <xf numFmtId="0" fontId="0" fillId="5" borderId="0" xfId="0" applyFill="1" applyBorder="1" applyProtection="1">
      <protection hidden="1"/>
    </xf>
    <xf numFmtId="0" fontId="0" fillId="0" borderId="0" xfId="0" applyBorder="1" applyProtection="1">
      <protection hidden="1"/>
    </xf>
    <xf numFmtId="0" fontId="7" fillId="0" borderId="0" xfId="0" applyFont="1" applyBorder="1" applyProtection="1">
      <protection hidden="1"/>
    </xf>
    <xf numFmtId="0" fontId="7" fillId="5" borderId="0" xfId="0" applyFont="1" applyFill="1" applyBorder="1" applyProtection="1">
      <protection hidden="1"/>
    </xf>
    <xf numFmtId="0" fontId="7" fillId="0" borderId="0" xfId="0" applyFont="1" applyBorder="1"/>
    <xf numFmtId="0" fontId="7" fillId="5" borderId="0" xfId="0" applyFont="1" applyFill="1" applyBorder="1"/>
    <xf numFmtId="0" fontId="0" fillId="5" borderId="0" xfId="0" applyFill="1"/>
    <xf numFmtId="0" fontId="30" fillId="5" borderId="0" xfId="0" applyFont="1" applyFill="1" applyAlignment="1"/>
    <xf numFmtId="0" fontId="31" fillId="5" borderId="0" xfId="0" applyFont="1" applyFill="1" applyAlignment="1"/>
    <xf numFmtId="0" fontId="16" fillId="5" borderId="0" xfId="0" applyFont="1" applyFill="1"/>
    <xf numFmtId="0" fontId="18" fillId="5" borderId="0" xfId="0" applyFont="1" applyFill="1" applyBorder="1" applyAlignment="1">
      <alignment wrapText="1"/>
    </xf>
    <xf numFmtId="0" fontId="7" fillId="5" borderId="0" xfId="0" applyFont="1" applyFill="1" applyBorder="1" applyAlignment="1" applyProtection="1">
      <alignment wrapText="1"/>
      <protection hidden="1"/>
    </xf>
    <xf numFmtId="0" fontId="16" fillId="9" borderId="0" xfId="0" applyFont="1" applyFill="1"/>
    <xf numFmtId="0" fontId="14" fillId="7" borderId="0" xfId="0" applyFont="1" applyFill="1" applyAlignment="1">
      <alignment horizontal="center"/>
    </xf>
    <xf numFmtId="0" fontId="18" fillId="5" borderId="0" xfId="0" applyFont="1" applyFill="1" applyAlignment="1"/>
    <xf numFmtId="0" fontId="0" fillId="5" borderId="0" xfId="0" applyFont="1" applyFill="1" applyBorder="1" applyAlignment="1">
      <alignment vertical="center" wrapText="1"/>
    </xf>
    <xf numFmtId="0" fontId="7" fillId="5" borderId="0" xfId="0" applyFont="1" applyFill="1"/>
    <xf numFmtId="0" fontId="4" fillId="9" borderId="0" xfId="0" applyFont="1" applyFill="1" applyBorder="1"/>
    <xf numFmtId="0" fontId="7" fillId="9" borderId="0" xfId="0" applyFont="1" applyFill="1"/>
    <xf numFmtId="0" fontId="0" fillId="9" borderId="0" xfId="0" applyFill="1" applyBorder="1"/>
    <xf numFmtId="2" fontId="7" fillId="6" borderId="0" xfId="0" applyNumberFormat="1" applyFont="1" applyFill="1"/>
    <xf numFmtId="169" fontId="7" fillId="6" borderId="0" xfId="0" applyNumberFormat="1" applyFont="1" applyFill="1"/>
    <xf numFmtId="0" fontId="24" fillId="2" borderId="0" xfId="0" applyFont="1" applyFill="1" applyBorder="1" applyAlignment="1" applyProtection="1">
      <alignment horizontal="left" wrapText="1"/>
      <protection hidden="1"/>
    </xf>
    <xf numFmtId="0" fontId="7" fillId="6" borderId="0" xfId="0" applyFont="1" applyFill="1"/>
    <xf numFmtId="1" fontId="7" fillId="6" borderId="0" xfId="0" applyNumberFormat="1" applyFont="1" applyFill="1"/>
    <xf numFmtId="0" fontId="0" fillId="9" borderId="0" xfId="0" applyFill="1"/>
    <xf numFmtId="0" fontId="7" fillId="0" borderId="8" xfId="0" applyFont="1" applyBorder="1"/>
    <xf numFmtId="0" fontId="17" fillId="6" borderId="0" xfId="0" applyFont="1" applyFill="1" applyBorder="1" applyAlignment="1">
      <alignment horizontal="right"/>
    </xf>
    <xf numFmtId="0" fontId="34" fillId="6" borderId="0" xfId="0" applyFont="1" applyFill="1" applyAlignment="1">
      <alignment horizontal="left"/>
    </xf>
    <xf numFmtId="0" fontId="34" fillId="6" borderId="0" xfId="0" applyFont="1" applyFill="1" applyAlignment="1">
      <alignment horizontal="center"/>
    </xf>
    <xf numFmtId="0" fontId="7" fillId="0" borderId="0" xfId="0" applyFont="1" applyAlignment="1">
      <alignment horizontal="right"/>
    </xf>
    <xf numFmtId="0" fontId="14" fillId="0" borderId="0" xfId="0" applyFont="1" applyFill="1" applyAlignment="1">
      <alignment horizontal="center"/>
    </xf>
    <xf numFmtId="0" fontId="7" fillId="9" borderId="0" xfId="0" applyFont="1" applyFill="1" applyBorder="1"/>
    <xf numFmtId="0" fontId="7" fillId="9" borderId="0" xfId="0" applyFont="1" applyFill="1" applyBorder="1" applyProtection="1">
      <protection hidden="1"/>
    </xf>
    <xf numFmtId="0" fontId="17" fillId="9" borderId="0" xfId="0" applyFont="1" applyFill="1" applyBorder="1"/>
    <xf numFmtId="0" fontId="38" fillId="2" borderId="0" xfId="0" applyFont="1" applyFill="1" applyBorder="1" applyAlignment="1" applyProtection="1">
      <alignment wrapText="1"/>
      <protection hidden="1"/>
    </xf>
    <xf numFmtId="0" fontId="17" fillId="6" borderId="0" xfId="0" applyFont="1" applyFill="1" applyAlignment="1">
      <alignment vertical="top"/>
    </xf>
    <xf numFmtId="0" fontId="7" fillId="0" borderId="12" xfId="0" applyFont="1" applyBorder="1"/>
    <xf numFmtId="0" fontId="7" fillId="5" borderId="11" xfId="0" applyFont="1" applyFill="1" applyBorder="1"/>
    <xf numFmtId="0" fontId="22" fillId="9" borderId="0" xfId="0" applyFont="1" applyFill="1" applyBorder="1" applyAlignment="1">
      <alignment horizontal="left" wrapText="1"/>
    </xf>
    <xf numFmtId="0" fontId="7" fillId="9" borderId="0" xfId="0" applyFont="1" applyFill="1" applyBorder="1" applyAlignment="1">
      <alignment wrapText="1"/>
    </xf>
    <xf numFmtId="165" fontId="7" fillId="9" borderId="0" xfId="0" applyNumberFormat="1" applyFont="1" applyFill="1" applyBorder="1"/>
    <xf numFmtId="0" fontId="19" fillId="5" borderId="10" xfId="0" applyFont="1" applyFill="1" applyBorder="1"/>
    <xf numFmtId="0" fontId="17" fillId="7" borderId="0" xfId="0" applyFont="1" applyFill="1" applyAlignment="1">
      <alignment horizontal="left"/>
    </xf>
    <xf numFmtId="0" fontId="20" fillId="8" borderId="0" xfId="0" applyFont="1" applyFill="1" applyBorder="1" applyAlignment="1" applyProtection="1">
      <alignment wrapText="1"/>
      <protection hidden="1"/>
    </xf>
    <xf numFmtId="0" fontId="20" fillId="8" borderId="0" xfId="0" applyFont="1" applyFill="1"/>
    <xf numFmtId="1" fontId="20" fillId="8" borderId="0" xfId="0" applyNumberFormat="1" applyFont="1" applyFill="1"/>
    <xf numFmtId="2" fontId="20" fillId="8" borderId="0" xfId="0" applyNumberFormat="1" applyFont="1" applyFill="1"/>
    <xf numFmtId="0" fontId="7" fillId="8" borderId="0" xfId="0" applyFont="1" applyFill="1"/>
    <xf numFmtId="0" fontId="35" fillId="8" borderId="0" xfId="0" applyFont="1" applyFill="1"/>
    <xf numFmtId="3" fontId="20" fillId="8" borderId="0" xfId="0" applyNumberFormat="1" applyFont="1" applyFill="1"/>
    <xf numFmtId="0" fontId="7" fillId="8" borderId="0" xfId="0" applyFont="1" applyFill="1" applyBorder="1"/>
    <xf numFmtId="0" fontId="0" fillId="7" borderId="0" xfId="0" applyFill="1"/>
    <xf numFmtId="0" fontId="17" fillId="7" borderId="0" xfId="0" applyFont="1" applyFill="1" applyAlignment="1">
      <alignment horizontal="left" wrapText="1"/>
    </xf>
    <xf numFmtId="0" fontId="7" fillId="6" borderId="0" xfId="0" applyFont="1" applyFill="1" applyBorder="1" applyAlignment="1">
      <alignment horizontal="left"/>
    </xf>
    <xf numFmtId="0" fontId="14" fillId="2" borderId="0" xfId="0" applyFont="1" applyFill="1" applyAlignment="1"/>
    <xf numFmtId="0" fontId="15" fillId="2" borderId="0" xfId="0" applyFont="1" applyFill="1" applyAlignment="1"/>
    <xf numFmtId="0" fontId="37" fillId="8" borderId="0" xfId="0" applyFont="1" applyFill="1" applyAlignment="1"/>
    <xf numFmtId="0" fontId="34" fillId="8" borderId="0" xfId="0" applyFont="1" applyFill="1" applyAlignment="1"/>
    <xf numFmtId="0" fontId="37" fillId="8" borderId="0" xfId="0" applyFont="1" applyFill="1" applyBorder="1" applyAlignment="1"/>
    <xf numFmtId="2" fontId="17" fillId="6" borderId="0" xfId="0" applyNumberFormat="1" applyFont="1" applyFill="1" applyBorder="1" applyAlignment="1">
      <alignment horizontal="left"/>
    </xf>
    <xf numFmtId="0" fontId="17" fillId="6" borderId="0" xfId="0" applyFont="1" applyFill="1" applyBorder="1" applyAlignment="1">
      <alignment horizontal="left"/>
    </xf>
    <xf numFmtId="0" fontId="34" fillId="8" borderId="0" xfId="0" applyFont="1" applyFill="1" applyAlignment="1">
      <alignment horizontal="center"/>
    </xf>
    <xf numFmtId="0" fontId="37" fillId="6" borderId="0" xfId="0" applyFont="1" applyFill="1" applyAlignment="1">
      <alignment horizontal="center"/>
    </xf>
    <xf numFmtId="9" fontId="7" fillId="6" borderId="0" xfId="0" applyNumberFormat="1" applyFont="1" applyFill="1"/>
    <xf numFmtId="3" fontId="7" fillId="0" borderId="0" xfId="0" applyNumberFormat="1" applyFont="1"/>
    <xf numFmtId="0" fontId="17" fillId="6" borderId="0" xfId="0" applyFont="1" applyFill="1" applyAlignment="1">
      <alignment horizontal="right"/>
    </xf>
    <xf numFmtId="0" fontId="17" fillId="6" borderId="0" xfId="0" applyFont="1" applyFill="1" applyAlignment="1">
      <alignment horizontal="left"/>
    </xf>
    <xf numFmtId="0" fontId="34" fillId="6" borderId="0" xfId="0" applyFont="1" applyFill="1" applyBorder="1" applyAlignment="1">
      <alignment horizontal="left"/>
    </xf>
    <xf numFmtId="0" fontId="34" fillId="6" borderId="0" xfId="0" applyFont="1" applyFill="1" applyBorder="1" applyAlignment="1">
      <alignment horizontal="center"/>
    </xf>
    <xf numFmtId="9" fontId="17" fillId="6" borderId="0" xfId="0" applyNumberFormat="1" applyFont="1" applyFill="1"/>
    <xf numFmtId="0" fontId="17" fillId="5" borderId="0" xfId="0" applyFont="1" applyFill="1" applyAlignment="1">
      <alignment horizontal="left"/>
    </xf>
    <xf numFmtId="165" fontId="17" fillId="6" borderId="0" xfId="0" applyNumberFormat="1" applyFont="1" applyFill="1" applyAlignment="1">
      <alignment horizontal="center"/>
    </xf>
    <xf numFmtId="165" fontId="17" fillId="0" borderId="0" xfId="0" applyNumberFormat="1" applyFont="1" applyFill="1" applyAlignment="1">
      <alignment horizontal="center"/>
    </xf>
    <xf numFmtId="165" fontId="7" fillId="6" borderId="0" xfId="0" applyNumberFormat="1" applyFont="1" applyFill="1" applyAlignment="1">
      <alignment horizontal="center"/>
    </xf>
    <xf numFmtId="0" fontId="7" fillId="0" borderId="0" xfId="0" applyFont="1" applyAlignment="1">
      <alignment horizontal="center"/>
    </xf>
    <xf numFmtId="9" fontId="7" fillId="0" borderId="0" xfId="0" applyNumberFormat="1" applyFont="1" applyFill="1"/>
    <xf numFmtId="3" fontId="7" fillId="0" borderId="0" xfId="0" applyNumberFormat="1" applyFont="1" applyFill="1"/>
    <xf numFmtId="0" fontId="7" fillId="0" borderId="0" xfId="0" applyFont="1" applyFill="1"/>
    <xf numFmtId="0" fontId="37" fillId="0" borderId="0" xfId="0" applyFont="1"/>
    <xf numFmtId="9" fontId="37" fillId="0" borderId="0" xfId="0" applyNumberFormat="1" applyFont="1" applyFill="1"/>
    <xf numFmtId="3" fontId="37" fillId="0" borderId="0" xfId="0" applyNumberFormat="1" applyFont="1" applyFill="1"/>
    <xf numFmtId="0" fontId="37" fillId="0" borderId="0" xfId="0" applyFont="1" applyFill="1"/>
    <xf numFmtId="165" fontId="7" fillId="0" borderId="0" xfId="0" applyNumberFormat="1" applyFont="1" applyFill="1" applyAlignment="1">
      <alignment horizontal="center"/>
    </xf>
    <xf numFmtId="0" fontId="7" fillId="0" borderId="0" xfId="0" applyFont="1" applyAlignment="1">
      <alignment horizontal="left"/>
    </xf>
    <xf numFmtId="3" fontId="7" fillId="0" borderId="0" xfId="0" applyNumberFormat="1" applyFont="1" applyAlignment="1">
      <alignment horizontal="center"/>
    </xf>
    <xf numFmtId="0" fontId="7" fillId="0" borderId="0" xfId="0" applyFont="1" applyFill="1" applyAlignment="1">
      <alignment horizontal="left"/>
    </xf>
    <xf numFmtId="0" fontId="7" fillId="0" borderId="0" xfId="0" applyFont="1" applyFill="1" applyAlignment="1"/>
    <xf numFmtId="0" fontId="24" fillId="2" borderId="0" xfId="0" applyFont="1" applyFill="1" applyAlignment="1">
      <alignment horizontal="left"/>
    </xf>
    <xf numFmtId="0" fontId="24" fillId="2" borderId="0" xfId="0" applyFont="1" applyFill="1" applyAlignment="1"/>
    <xf numFmtId="0" fontId="24" fillId="2" borderId="0" xfId="0" applyFont="1" applyFill="1"/>
    <xf numFmtId="0" fontId="24" fillId="0" borderId="0" xfId="0" applyFont="1" applyFill="1" applyAlignment="1">
      <alignment horizontal="left"/>
    </xf>
    <xf numFmtId="0" fontId="24" fillId="0" borderId="0" xfId="0" applyFont="1" applyFill="1" applyAlignment="1"/>
    <xf numFmtId="167" fontId="24" fillId="0" borderId="0" xfId="0" applyNumberFormat="1" applyFont="1" applyFill="1" applyAlignment="1">
      <alignment horizontal="right"/>
    </xf>
    <xf numFmtId="0" fontId="7" fillId="0" borderId="0" xfId="0" quotePrefix="1" applyFont="1"/>
    <xf numFmtId="0" fontId="7" fillId="0" borderId="0" xfId="0" quotePrefix="1" applyFont="1" applyAlignment="1">
      <alignment wrapText="1"/>
    </xf>
    <xf numFmtId="165" fontId="19" fillId="0" borderId="0" xfId="0" applyNumberFormat="1" applyFont="1"/>
    <xf numFmtId="165" fontId="7" fillId="0" borderId="0" xfId="0" applyNumberFormat="1" applyFont="1" applyAlignment="1">
      <alignment horizontal="right"/>
    </xf>
    <xf numFmtId="165" fontId="24" fillId="2" borderId="0" xfId="0" applyNumberFormat="1" applyFont="1" applyFill="1" applyAlignment="1">
      <alignment horizontal="center"/>
    </xf>
    <xf numFmtId="0" fontId="17" fillId="0" borderId="0" xfId="0" applyFont="1" applyFill="1" applyAlignment="1">
      <alignment horizontal="left"/>
    </xf>
    <xf numFmtId="0" fontId="17" fillId="0" borderId="0" xfId="0" quotePrefix="1" applyFont="1" applyFill="1" applyAlignment="1">
      <alignment horizontal="left" wrapText="1"/>
    </xf>
    <xf numFmtId="165" fontId="17" fillId="0" borderId="0" xfId="0" applyNumberFormat="1" applyFont="1" applyFill="1" applyAlignment="1">
      <alignment horizontal="left"/>
    </xf>
    <xf numFmtId="165" fontId="7" fillId="0" borderId="0" xfId="0" applyNumberFormat="1" applyFont="1" applyFill="1" applyAlignment="1">
      <alignment horizontal="right"/>
    </xf>
    <xf numFmtId="5" fontId="7" fillId="6" borderId="0" xfId="1" applyNumberFormat="1" applyFont="1" applyFill="1" applyAlignment="1">
      <alignment horizontal="center"/>
    </xf>
    <xf numFmtId="167" fontId="7" fillId="0" borderId="0" xfId="0" applyNumberFormat="1" applyFont="1" applyAlignment="1">
      <alignment horizontal="right"/>
    </xf>
    <xf numFmtId="166" fontId="7" fillId="6" borderId="0" xfId="0" applyNumberFormat="1" applyFont="1" applyFill="1" applyBorder="1" applyAlignment="1">
      <alignment horizontal="right"/>
    </xf>
    <xf numFmtId="165" fontId="7" fillId="6" borderId="0" xfId="0" applyNumberFormat="1" applyFont="1" applyFill="1" applyBorder="1" applyAlignment="1" applyProtection="1">
      <alignment horizontal="center"/>
      <protection hidden="1"/>
    </xf>
    <xf numFmtId="7" fontId="7" fillId="6" borderId="0" xfId="0" applyNumberFormat="1" applyFont="1" applyFill="1" applyBorder="1" applyAlignment="1">
      <alignment horizontal="left"/>
    </xf>
    <xf numFmtId="9" fontId="17" fillId="6" borderId="0" xfId="0" applyNumberFormat="1" applyFont="1" applyFill="1" applyBorder="1"/>
    <xf numFmtId="0" fontId="36" fillId="4" borderId="9" xfId="0" applyFont="1" applyFill="1" applyBorder="1"/>
    <xf numFmtId="0" fontId="36" fillId="4" borderId="9" xfId="0" applyFont="1" applyFill="1" applyBorder="1" applyAlignment="1">
      <alignment horizontal="center"/>
    </xf>
    <xf numFmtId="0" fontId="36" fillId="4" borderId="9" xfId="0" applyFont="1" applyFill="1" applyBorder="1" applyAlignment="1">
      <alignment horizontal="left" vertical="top" wrapText="1"/>
    </xf>
    <xf numFmtId="0" fontId="0" fillId="0" borderId="9" xfId="0" applyBorder="1" applyAlignment="1" applyProtection="1">
      <alignment vertical="top"/>
      <protection hidden="1"/>
    </xf>
    <xf numFmtId="0" fontId="40" fillId="4" borderId="9" xfId="0" applyFont="1" applyFill="1" applyBorder="1" applyAlignment="1">
      <alignment horizontal="left" vertical="top"/>
    </xf>
    <xf numFmtId="0" fontId="40" fillId="4" borderId="9" xfId="0" applyFont="1" applyFill="1" applyBorder="1" applyAlignment="1">
      <alignment horizontal="left" vertical="top" wrapText="1"/>
    </xf>
    <xf numFmtId="0" fontId="0" fillId="0" borderId="9" xfId="0" applyBorder="1" applyAlignment="1" applyProtection="1">
      <alignment vertical="top" wrapText="1"/>
      <protection hidden="1"/>
    </xf>
    <xf numFmtId="0" fontId="7" fillId="5" borderId="12" xfId="0" applyFont="1" applyFill="1" applyBorder="1" applyAlignment="1">
      <alignment vertical="top"/>
    </xf>
    <xf numFmtId="2" fontId="0" fillId="0" borderId="0" xfId="0" applyNumberFormat="1"/>
    <xf numFmtId="0" fontId="7" fillId="5" borderId="11" xfId="0" applyFont="1" applyFill="1" applyBorder="1" applyAlignment="1">
      <alignment vertical="center"/>
    </xf>
    <xf numFmtId="0" fontId="15" fillId="5" borderId="0" xfId="0" applyFont="1" applyFill="1" applyAlignment="1"/>
    <xf numFmtId="0" fontId="30" fillId="2" borderId="0" xfId="0" applyFont="1" applyFill="1" applyAlignment="1"/>
    <xf numFmtId="0" fontId="30" fillId="7" borderId="0" xfId="0" applyFont="1" applyFill="1" applyAlignment="1"/>
    <xf numFmtId="0" fontId="16" fillId="5" borderId="0" xfId="0" applyFont="1" applyFill="1" applyBorder="1"/>
    <xf numFmtId="0" fontId="15" fillId="9" borderId="0" xfId="0" applyFont="1" applyFill="1" applyAlignment="1">
      <alignment horizontal="left"/>
    </xf>
    <xf numFmtId="0" fontId="31" fillId="9" borderId="0" xfId="0" applyFont="1" applyFill="1" applyAlignment="1"/>
    <xf numFmtId="0" fontId="2" fillId="9" borderId="0" xfId="0" applyFont="1" applyFill="1"/>
    <xf numFmtId="0" fontId="25" fillId="9" borderId="0" xfId="0" applyFont="1" applyFill="1"/>
    <xf numFmtId="0" fontId="33" fillId="5" borderId="0" xfId="0" applyFont="1" applyFill="1" applyBorder="1"/>
    <xf numFmtId="0" fontId="0" fillId="5" borderId="0" xfId="0" applyFill="1" applyBorder="1"/>
    <xf numFmtId="0" fontId="0" fillId="0" borderId="0" xfId="0" applyFill="1" applyBorder="1"/>
    <xf numFmtId="0" fontId="25" fillId="9" borderId="4" xfId="0" applyFont="1" applyFill="1" applyBorder="1" applyAlignment="1"/>
    <xf numFmtId="0" fontId="22" fillId="9" borderId="0" xfId="0" applyFont="1" applyFill="1" applyBorder="1" applyAlignment="1">
      <alignment wrapText="1"/>
    </xf>
    <xf numFmtId="0" fontId="7" fillId="9" borderId="0" xfId="0" applyFont="1" applyFill="1" applyAlignment="1">
      <alignment horizontal="left"/>
    </xf>
    <xf numFmtId="0" fontId="7" fillId="9" borderId="0" xfId="0" applyFont="1" applyFill="1" applyAlignment="1">
      <alignment wrapText="1"/>
    </xf>
    <xf numFmtId="0" fontId="25" fillId="9" borderId="0" xfId="0" applyFont="1" applyFill="1" applyBorder="1" applyAlignment="1"/>
    <xf numFmtId="0" fontId="0" fillId="9" borderId="0" xfId="0" applyFont="1" applyFill="1" applyBorder="1" applyAlignment="1">
      <alignment vertical="center" wrapText="1"/>
    </xf>
    <xf numFmtId="0" fontId="18" fillId="9" borderId="0" xfId="0" applyFont="1" applyFill="1" applyBorder="1" applyAlignment="1">
      <alignment wrapText="1"/>
    </xf>
    <xf numFmtId="2" fontId="3" fillId="5" borderId="0" xfId="0" applyNumberFormat="1" applyFont="1" applyFill="1" applyBorder="1"/>
    <xf numFmtId="164" fontId="3" fillId="5" borderId="0" xfId="0" applyNumberFormat="1" applyFont="1" applyFill="1" applyBorder="1"/>
    <xf numFmtId="164" fontId="7" fillId="5" borderId="0" xfId="0" applyNumberFormat="1" applyFont="1" applyFill="1" applyBorder="1"/>
    <xf numFmtId="0" fontId="4" fillId="5" borderId="0" xfId="0" applyFont="1" applyFill="1" applyBorder="1"/>
    <xf numFmtId="0" fontId="7" fillId="9" borderId="0" xfId="0" applyFont="1" applyFill="1" applyBorder="1" applyAlignment="1" applyProtection="1">
      <alignment wrapText="1"/>
      <protection hidden="1"/>
    </xf>
    <xf numFmtId="0" fontId="7" fillId="9" borderId="0" xfId="0" quotePrefix="1" applyFont="1" applyFill="1" applyBorder="1" applyAlignment="1" applyProtection="1">
      <alignment wrapText="1"/>
      <protection hidden="1"/>
    </xf>
    <xf numFmtId="0" fontId="7" fillId="9" borderId="0" xfId="0" applyFont="1" applyFill="1" applyBorder="1" applyAlignment="1" applyProtection="1">
      <protection hidden="1"/>
    </xf>
    <xf numFmtId="0" fontId="3" fillId="5" borderId="0" xfId="0" applyFont="1" applyFill="1" applyBorder="1" applyAlignment="1">
      <alignment horizontal="right"/>
    </xf>
    <xf numFmtId="0" fontId="17" fillId="5" borderId="0" xfId="0" applyFont="1" applyFill="1" applyBorder="1" applyAlignment="1">
      <alignment horizontal="right"/>
    </xf>
    <xf numFmtId="0" fontId="17" fillId="5" borderId="0" xfId="0" applyFont="1" applyFill="1" applyAlignment="1">
      <alignment vertical="top"/>
    </xf>
    <xf numFmtId="0" fontId="24" fillId="5" borderId="0" xfId="0" applyFont="1" applyFill="1" applyAlignment="1">
      <alignment horizontal="left"/>
    </xf>
    <xf numFmtId="0" fontId="24" fillId="5" borderId="0" xfId="0" applyFont="1" applyFill="1" applyAlignment="1"/>
    <xf numFmtId="0" fontId="24" fillId="5" borderId="0" xfId="0" applyFont="1" applyFill="1"/>
    <xf numFmtId="165" fontId="17" fillId="5" borderId="0" xfId="0" applyNumberFormat="1" applyFont="1" applyFill="1" applyAlignment="1">
      <alignment horizontal="center"/>
    </xf>
    <xf numFmtId="165" fontId="37" fillId="5" borderId="0" xfId="0" applyNumberFormat="1" applyFont="1" applyFill="1" applyAlignment="1">
      <alignment horizontal="center"/>
    </xf>
    <xf numFmtId="0" fontId="7" fillId="0" borderId="0" xfId="0" applyFont="1" applyFill="1" applyBorder="1"/>
    <xf numFmtId="165" fontId="7" fillId="5" borderId="0" xfId="0" applyNumberFormat="1" applyFont="1" applyFill="1" applyAlignment="1">
      <alignment horizontal="right"/>
    </xf>
    <xf numFmtId="0" fontId="17" fillId="5" borderId="0" xfId="0" applyFont="1" applyFill="1" applyBorder="1"/>
    <xf numFmtId="0" fontId="7" fillId="5" borderId="10" xfId="0" applyFont="1" applyFill="1" applyBorder="1"/>
    <xf numFmtId="3" fontId="7" fillId="10" borderId="10" xfId="0" applyNumberFormat="1" applyFont="1" applyFill="1" applyBorder="1"/>
    <xf numFmtId="0" fontId="7" fillId="10" borderId="10" xfId="0" applyFont="1" applyFill="1" applyBorder="1"/>
    <xf numFmtId="4" fontId="7" fillId="10" borderId="6" xfId="0" applyNumberFormat="1" applyFont="1" applyFill="1" applyBorder="1"/>
    <xf numFmtId="170" fontId="7" fillId="10" borderId="10" xfId="0" applyNumberFormat="1" applyFont="1" applyFill="1" applyBorder="1" applyAlignment="1">
      <alignment vertical="center"/>
    </xf>
    <xf numFmtId="167" fontId="7" fillId="10" borderId="10" xfId="0" applyNumberFormat="1" applyFont="1" applyFill="1" applyBorder="1"/>
    <xf numFmtId="165" fontId="7" fillId="10" borderId="9" xfId="0" applyNumberFormat="1" applyFont="1" applyFill="1" applyBorder="1"/>
    <xf numFmtId="165" fontId="17" fillId="10" borderId="9" xfId="0" applyNumberFormat="1" applyFont="1" applyFill="1" applyBorder="1" applyAlignment="1">
      <alignment horizontal="right"/>
    </xf>
    <xf numFmtId="0" fontId="7" fillId="10" borderId="9" xfId="0" applyFont="1" applyFill="1" applyBorder="1" applyProtection="1">
      <protection locked="0"/>
    </xf>
    <xf numFmtId="168" fontId="7" fillId="10" borderId="10" xfId="0" applyNumberFormat="1" applyFont="1" applyFill="1" applyBorder="1"/>
    <xf numFmtId="0" fontId="0" fillId="0" borderId="0" xfId="0" applyAlignment="1">
      <alignment horizontal="left"/>
    </xf>
    <xf numFmtId="0" fontId="0" fillId="9" borderId="0" xfId="0" applyFill="1" applyBorder="1" applyAlignment="1">
      <alignment horizontal="left" wrapText="1"/>
    </xf>
    <xf numFmtId="0" fontId="46" fillId="5" borderId="0" xfId="0" applyFont="1" applyFill="1" applyAlignment="1">
      <alignment horizontal="left"/>
    </xf>
    <xf numFmtId="0" fontId="46" fillId="5" borderId="0" xfId="0" applyFont="1" applyFill="1" applyAlignment="1"/>
    <xf numFmtId="165" fontId="46" fillId="5" borderId="0" xfId="0" applyNumberFormat="1" applyFont="1" applyFill="1"/>
    <xf numFmtId="0" fontId="3" fillId="5" borderId="0" xfId="0" applyFont="1" applyFill="1"/>
    <xf numFmtId="165" fontId="3" fillId="5" borderId="0" xfId="0" applyNumberFormat="1" applyFont="1" applyFill="1"/>
    <xf numFmtId="165" fontId="24" fillId="5" borderId="0" xfId="0" applyNumberFormat="1" applyFont="1" applyFill="1" applyAlignment="1">
      <alignment horizontal="center"/>
    </xf>
    <xf numFmtId="0" fontId="3" fillId="5" borderId="0" xfId="0" applyFont="1" applyFill="1" applyAlignment="1">
      <alignment horizontal="left"/>
    </xf>
    <xf numFmtId="0" fontId="0" fillId="0" borderId="12" xfId="0" applyBorder="1" applyAlignment="1" applyProtection="1">
      <alignment vertical="top"/>
      <protection hidden="1"/>
    </xf>
    <xf numFmtId="167" fontId="7" fillId="9" borderId="0" xfId="0" applyNumberFormat="1" applyFont="1" applyFill="1" applyBorder="1"/>
    <xf numFmtId="0" fontId="7" fillId="5" borderId="0" xfId="0" applyFont="1" applyFill="1" applyAlignment="1">
      <alignment horizontal="left"/>
    </xf>
    <xf numFmtId="0" fontId="7" fillId="5" borderId="11" xfId="0" applyFont="1" applyFill="1" applyBorder="1" applyAlignment="1">
      <alignment horizontal="left" vertical="top"/>
    </xf>
    <xf numFmtId="167" fontId="7" fillId="5" borderId="10" xfId="0" applyNumberFormat="1" applyFont="1" applyFill="1" applyBorder="1" applyAlignment="1">
      <alignment horizontal="center" vertical="top"/>
    </xf>
    <xf numFmtId="0" fontId="25" fillId="9" borderId="0" xfId="0" applyFont="1" applyFill="1" applyBorder="1" applyAlignment="1">
      <alignment vertical="top" wrapText="1"/>
    </xf>
    <xf numFmtId="0" fontId="47" fillId="5" borderId="0" xfId="0" quotePrefix="1" applyFont="1" applyFill="1" applyAlignment="1"/>
    <xf numFmtId="165" fontId="3" fillId="8" borderId="0" xfId="0" applyNumberFormat="1" applyFont="1" applyFill="1"/>
    <xf numFmtId="165" fontId="24" fillId="0" borderId="0" xfId="0" applyNumberFormat="1" applyFont="1" applyFill="1" applyAlignment="1">
      <alignment horizontal="center"/>
    </xf>
    <xf numFmtId="0" fontId="24" fillId="0" borderId="0" xfId="0" applyFont="1" applyFill="1"/>
    <xf numFmtId="0" fontId="46" fillId="8" borderId="0" xfId="0" applyFont="1" applyFill="1" applyAlignment="1"/>
    <xf numFmtId="165" fontId="46" fillId="8" borderId="0" xfId="0" applyNumberFormat="1" applyFont="1" applyFill="1"/>
    <xf numFmtId="0" fontId="52" fillId="0" borderId="0" xfId="0" quotePrefix="1" applyFont="1" applyFill="1" applyAlignment="1">
      <alignment horizontal="left" wrapText="1"/>
    </xf>
    <xf numFmtId="0" fontId="7" fillId="3" borderId="9" xfId="0" applyFont="1" applyFill="1" applyBorder="1" applyAlignment="1">
      <alignment horizontal="right"/>
    </xf>
    <xf numFmtId="0" fontId="17" fillId="3" borderId="9" xfId="0" applyFont="1" applyFill="1" applyBorder="1"/>
    <xf numFmtId="167" fontId="7" fillId="10" borderId="10" xfId="0" applyNumberFormat="1" applyFont="1" applyFill="1" applyBorder="1" applyAlignment="1">
      <alignment horizontal="right" vertical="center"/>
    </xf>
    <xf numFmtId="167" fontId="7" fillId="10" borderId="10" xfId="0" applyNumberFormat="1" applyFont="1" applyFill="1" applyBorder="1" applyAlignment="1">
      <alignment vertical="center"/>
    </xf>
    <xf numFmtId="167" fontId="0" fillId="0" borderId="9" xfId="0" applyNumberFormat="1" applyBorder="1" applyAlignment="1">
      <alignment horizontal="center" vertical="top"/>
    </xf>
    <xf numFmtId="171" fontId="7" fillId="6" borderId="0" xfId="2" applyNumberFormat="1" applyFont="1" applyFill="1"/>
    <xf numFmtId="0" fontId="7" fillId="9" borderId="0" xfId="0" quotePrefix="1" applyFont="1" applyFill="1"/>
    <xf numFmtId="0" fontId="7" fillId="5" borderId="0" xfId="0" quotePrefix="1" applyFont="1" applyFill="1"/>
    <xf numFmtId="0" fontId="56" fillId="0" borderId="0" xfId="0" applyFont="1" applyBorder="1"/>
    <xf numFmtId="0" fontId="20" fillId="9" borderId="0" xfId="0" applyFont="1" applyFill="1"/>
    <xf numFmtId="0" fontId="37" fillId="5" borderId="0" xfId="0" applyFont="1" applyFill="1"/>
    <xf numFmtId="0" fontId="7" fillId="5" borderId="0" xfId="0" applyFont="1" applyFill="1" applyAlignment="1">
      <alignment horizontal="right"/>
    </xf>
    <xf numFmtId="0" fontId="7" fillId="5" borderId="0" xfId="0" applyFont="1" applyFill="1" applyAlignment="1"/>
    <xf numFmtId="0" fontId="17" fillId="5" borderId="0" xfId="0" quotePrefix="1" applyFont="1" applyFill="1" applyAlignment="1">
      <alignment horizontal="left" wrapText="1"/>
    </xf>
    <xf numFmtId="0" fontId="7" fillId="5" borderId="0" xfId="0" quotePrefix="1" applyFont="1" applyFill="1" applyAlignment="1">
      <alignment wrapText="1"/>
    </xf>
    <xf numFmtId="165" fontId="3" fillId="6" borderId="0" xfId="0" applyNumberFormat="1" applyFont="1" applyFill="1" applyAlignment="1">
      <alignment horizontal="center"/>
    </xf>
    <xf numFmtId="3" fontId="7" fillId="6" borderId="0" xfId="0" quotePrefix="1" applyNumberFormat="1" applyFont="1" applyFill="1" applyBorder="1" applyAlignment="1" applyProtection="1">
      <alignment horizontal="center"/>
      <protection hidden="1"/>
    </xf>
    <xf numFmtId="167" fontId="7" fillId="6" borderId="0" xfId="0" applyNumberFormat="1" applyFont="1" applyFill="1" applyBorder="1" applyAlignment="1" applyProtection="1">
      <alignment horizontal="center"/>
      <protection hidden="1"/>
    </xf>
    <xf numFmtId="164" fontId="7" fillId="6" borderId="0" xfId="0" applyNumberFormat="1" applyFont="1" applyFill="1" applyAlignment="1"/>
    <xf numFmtId="0" fontId="7" fillId="9" borderId="0" xfId="0" applyFont="1" applyFill="1" applyAlignment="1"/>
    <xf numFmtId="165" fontId="7" fillId="6" borderId="0" xfId="0" quotePrefix="1" applyNumberFormat="1" applyFont="1" applyFill="1" applyAlignment="1">
      <alignment horizontal="left"/>
    </xf>
    <xf numFmtId="0" fontId="60" fillId="5" borderId="0" xfId="0" applyFont="1" applyFill="1" applyAlignment="1"/>
    <xf numFmtId="0" fontId="61" fillId="5" borderId="0" xfId="0" applyFont="1" applyFill="1"/>
    <xf numFmtId="0" fontId="60" fillId="5" borderId="0" xfId="0" applyFont="1" applyFill="1"/>
    <xf numFmtId="0" fontId="62" fillId="0" borderId="0" xfId="0" applyFont="1"/>
    <xf numFmtId="0" fontId="62" fillId="0" borderId="0" xfId="0" applyFont="1" applyFill="1"/>
    <xf numFmtId="0" fontId="63" fillId="0" borderId="0" xfId="0" applyFont="1" applyFill="1"/>
    <xf numFmtId="0" fontId="63" fillId="5" borderId="0" xfId="0" applyFont="1" applyFill="1"/>
    <xf numFmtId="0" fontId="63" fillId="0" borderId="0" xfId="0" applyFont="1"/>
    <xf numFmtId="0" fontId="63" fillId="5" borderId="7" xfId="0" applyFont="1" applyFill="1" applyBorder="1"/>
    <xf numFmtId="0" fontId="64" fillId="5" borderId="0" xfId="0" applyFont="1" applyFill="1"/>
    <xf numFmtId="0" fontId="0" fillId="0" borderId="0" xfId="0" applyBorder="1"/>
    <xf numFmtId="0" fontId="0" fillId="9" borderId="0" xfId="0" quotePrefix="1" applyFill="1"/>
    <xf numFmtId="4" fontId="17" fillId="6" borderId="0" xfId="0" applyNumberFormat="1" applyFont="1" applyFill="1"/>
    <xf numFmtId="43" fontId="7" fillId="6" borderId="0" xfId="2" applyNumberFormat="1" applyFont="1" applyFill="1"/>
    <xf numFmtId="0" fontId="35" fillId="6" borderId="0" xfId="0" applyFont="1" applyFill="1" applyAlignment="1">
      <alignment horizontal="center"/>
    </xf>
    <xf numFmtId="0" fontId="56" fillId="9" borderId="0" xfId="0" applyFont="1" applyFill="1"/>
    <xf numFmtId="172" fontId="7" fillId="10" borderId="10" xfId="0" applyNumberFormat="1" applyFont="1" applyFill="1" applyBorder="1"/>
    <xf numFmtId="0" fontId="45" fillId="13" borderId="0" xfId="0" applyFont="1" applyFill="1" applyAlignment="1">
      <alignment wrapText="1"/>
    </xf>
    <xf numFmtId="0" fontId="0" fillId="13" borderId="0" xfId="0" applyFill="1" applyBorder="1" applyAlignment="1">
      <alignment horizontal="left" vertical="top" wrapText="1"/>
    </xf>
    <xf numFmtId="0" fontId="43" fillId="5" borderId="0" xfId="0" applyFont="1" applyFill="1" applyAlignment="1">
      <alignment vertical="center"/>
    </xf>
    <xf numFmtId="0" fontId="44" fillId="11" borderId="0" xfId="0" applyFont="1" applyFill="1" applyAlignment="1"/>
    <xf numFmtId="3" fontId="7" fillId="6" borderId="0" xfId="0" applyNumberFormat="1" applyFont="1" applyFill="1" applyBorder="1"/>
    <xf numFmtId="0" fontId="1" fillId="5" borderId="0" xfId="0" applyFont="1" applyFill="1" applyBorder="1" applyAlignment="1">
      <alignment horizontal="center"/>
    </xf>
    <xf numFmtId="0" fontId="1" fillId="5" borderId="0" xfId="0" applyFont="1" applyFill="1" applyBorder="1" applyAlignment="1">
      <alignment horizontal="center" wrapText="1"/>
    </xf>
    <xf numFmtId="0" fontId="7" fillId="5" borderId="16" xfId="0" applyFont="1" applyFill="1" applyBorder="1"/>
    <xf numFmtId="0" fontId="7" fillId="10" borderId="14" xfId="0" applyFont="1" applyFill="1" applyBorder="1" applyAlignment="1">
      <alignment horizontal="center"/>
    </xf>
    <xf numFmtId="0" fontId="71" fillId="5" borderId="0" xfId="0" applyFont="1" applyFill="1"/>
    <xf numFmtId="0" fontId="7" fillId="10" borderId="6" xfId="0" applyFont="1" applyFill="1" applyBorder="1"/>
    <xf numFmtId="0" fontId="0" fillId="5" borderId="12" xfId="0" applyFill="1" applyBorder="1"/>
    <xf numFmtId="1" fontId="7" fillId="6" borderId="0" xfId="0" applyNumberFormat="1" applyFont="1" applyFill="1" applyAlignment="1"/>
    <xf numFmtId="3" fontId="7" fillId="10" borderId="6" xfId="0" applyNumberFormat="1" applyFont="1" applyFill="1" applyBorder="1"/>
    <xf numFmtId="3" fontId="7" fillId="10" borderId="1" xfId="0" applyNumberFormat="1" applyFont="1" applyFill="1" applyBorder="1"/>
    <xf numFmtId="0" fontId="39" fillId="9" borderId="0" xfId="0" applyFont="1" applyFill="1"/>
    <xf numFmtId="0" fontId="0" fillId="5" borderId="0" xfId="0" applyFill="1" applyAlignment="1">
      <alignment horizontal="left"/>
    </xf>
    <xf numFmtId="0" fontId="17" fillId="9" borderId="0" xfId="0" applyFont="1" applyFill="1"/>
    <xf numFmtId="2" fontId="7" fillId="6" borderId="0" xfId="2" applyNumberFormat="1" applyFont="1" applyFill="1"/>
    <xf numFmtId="171" fontId="17" fillId="6" borderId="0" xfId="2" applyNumberFormat="1" applyFont="1" applyFill="1"/>
    <xf numFmtId="0" fontId="0" fillId="9" borderId="7" xfId="0" applyFill="1" applyBorder="1"/>
    <xf numFmtId="3" fontId="7" fillId="9" borderId="0" xfId="0" applyNumberFormat="1" applyFont="1" applyFill="1" applyBorder="1"/>
    <xf numFmtId="0" fontId="15" fillId="9" borderId="0" xfId="0" applyFont="1" applyFill="1" applyBorder="1" applyAlignment="1">
      <alignment horizontal="left"/>
    </xf>
    <xf numFmtId="0" fontId="17" fillId="9" borderId="0" xfId="0" applyFont="1" applyFill="1" applyBorder="1" applyAlignment="1">
      <alignment horizontal="left" wrapText="1"/>
    </xf>
    <xf numFmtId="0" fontId="28" fillId="9" borderId="0" xfId="0" applyFont="1" applyFill="1"/>
    <xf numFmtId="0" fontId="16" fillId="9" borderId="0" xfId="0" applyFont="1" applyFill="1" applyBorder="1"/>
    <xf numFmtId="164" fontId="7" fillId="9" borderId="0" xfId="0" applyNumberFormat="1" applyFont="1" applyFill="1"/>
    <xf numFmtId="0" fontId="56" fillId="9" borderId="0" xfId="0" applyFont="1" applyFill="1" applyBorder="1"/>
    <xf numFmtId="1" fontId="7" fillId="9" borderId="0" xfId="0" applyNumberFormat="1" applyFont="1" applyFill="1"/>
    <xf numFmtId="2" fontId="7" fillId="9" borderId="0" xfId="0" applyNumberFormat="1" applyFont="1" applyFill="1"/>
    <xf numFmtId="0" fontId="28" fillId="9" borderId="0" xfId="0" applyFont="1" applyFill="1" applyAlignment="1"/>
    <xf numFmtId="0" fontId="7" fillId="9" borderId="0" xfId="0" quotePrefix="1" applyFont="1" applyFill="1" applyBorder="1"/>
    <xf numFmtId="0" fontId="42" fillId="9" borderId="0" xfId="0" applyFont="1" applyFill="1"/>
    <xf numFmtId="0" fontId="42" fillId="9" borderId="0" xfId="0" quotePrefix="1" applyFont="1" applyFill="1"/>
    <xf numFmtId="0" fontId="34" fillId="7" borderId="0" xfId="0" applyFont="1" applyFill="1" applyAlignment="1">
      <alignment horizontal="left"/>
    </xf>
    <xf numFmtId="3" fontId="7" fillId="6" borderId="0" xfId="0" quotePrefix="1" applyNumberFormat="1" applyFont="1" applyFill="1" applyBorder="1"/>
    <xf numFmtId="169" fontId="7" fillId="6" borderId="0" xfId="0" quotePrefix="1" applyNumberFormat="1" applyFont="1" applyFill="1"/>
    <xf numFmtId="0" fontId="7" fillId="5" borderId="12" xfId="0" applyFont="1" applyFill="1" applyBorder="1"/>
    <xf numFmtId="0" fontId="74" fillId="0" borderId="9" xfId="0" applyFont="1" applyBorder="1" applyAlignment="1">
      <alignment horizontal="center" vertical="center" wrapText="1"/>
    </xf>
    <xf numFmtId="3" fontId="74" fillId="0" borderId="9" xfId="0" applyNumberFormat="1" applyFont="1" applyBorder="1" applyAlignment="1">
      <alignment horizontal="center" vertical="center" wrapText="1"/>
    </xf>
    <xf numFmtId="0" fontId="73" fillId="14" borderId="14" xfId="0" applyFont="1" applyFill="1" applyBorder="1" applyAlignment="1">
      <alignment horizontal="center" vertical="center" wrapText="1"/>
    </xf>
    <xf numFmtId="0" fontId="75" fillId="12" borderId="14" xfId="0" applyFont="1" applyFill="1" applyBorder="1" applyAlignment="1">
      <alignment horizontal="center" vertical="center" wrapText="1"/>
    </xf>
    <xf numFmtId="0" fontId="76" fillId="0" borderId="9" xfId="0" applyFont="1" applyBorder="1" applyAlignment="1">
      <alignment horizontal="center" vertical="center" wrapText="1"/>
    </xf>
    <xf numFmtId="3" fontId="76" fillId="0" borderId="9" xfId="0" applyNumberFormat="1" applyFont="1" applyBorder="1" applyAlignment="1">
      <alignment horizontal="center" vertical="center" wrapText="1"/>
    </xf>
    <xf numFmtId="0" fontId="75" fillId="12" borderId="3" xfId="0" applyFont="1" applyFill="1" applyBorder="1" applyAlignment="1">
      <alignment horizontal="center" vertical="center" wrapText="1"/>
    </xf>
    <xf numFmtId="0" fontId="75" fillId="12" borderId="13" xfId="0" applyFont="1" applyFill="1" applyBorder="1" applyAlignment="1">
      <alignment horizontal="center" vertical="center" wrapText="1"/>
    </xf>
    <xf numFmtId="0" fontId="75" fillId="12" borderId="8" xfId="0" applyFont="1" applyFill="1" applyBorder="1" applyAlignment="1">
      <alignment horizontal="center" vertical="center" wrapText="1"/>
    </xf>
    <xf numFmtId="0" fontId="76" fillId="0" borderId="10" xfId="0" applyFont="1" applyFill="1" applyBorder="1" applyAlignment="1">
      <alignment vertical="center" wrapText="1"/>
    </xf>
    <xf numFmtId="0" fontId="76" fillId="5" borderId="9" xfId="0" applyFont="1" applyFill="1" applyBorder="1" applyAlignment="1">
      <alignment horizontal="right" vertical="center" wrapText="1"/>
    </xf>
    <xf numFmtId="172" fontId="76" fillId="5" borderId="9" xfId="0" applyNumberFormat="1" applyFont="1" applyFill="1" applyBorder="1" applyAlignment="1">
      <alignment horizontal="right" vertical="center" wrapText="1"/>
    </xf>
    <xf numFmtId="0" fontId="76" fillId="5" borderId="12" xfId="0" quotePrefix="1" applyFont="1" applyFill="1" applyBorder="1" applyAlignment="1">
      <alignment horizontal="right" vertical="center" wrapText="1"/>
    </xf>
    <xf numFmtId="0" fontId="76" fillId="0" borderId="4" xfId="0" applyFont="1" applyFill="1" applyBorder="1" applyAlignment="1">
      <alignment vertical="center" wrapText="1"/>
    </xf>
    <xf numFmtId="0" fontId="76" fillId="5" borderId="15" xfId="0" applyFont="1" applyFill="1" applyBorder="1" applyAlignment="1">
      <alignment horizontal="right" vertical="center" wrapText="1"/>
    </xf>
    <xf numFmtId="172" fontId="76" fillId="5" borderId="15" xfId="0" applyNumberFormat="1" applyFont="1" applyFill="1" applyBorder="1" applyAlignment="1">
      <alignment horizontal="right" vertical="center" wrapText="1"/>
    </xf>
    <xf numFmtId="0" fontId="76" fillId="5" borderId="5" xfId="0" quotePrefix="1" applyFont="1" applyFill="1" applyBorder="1" applyAlignment="1">
      <alignment horizontal="right" vertical="center" wrapText="1"/>
    </xf>
    <xf numFmtId="0" fontId="76" fillId="0" borderId="1" xfId="0" applyFont="1" applyFill="1" applyBorder="1" applyAlignment="1">
      <alignment vertical="center" wrapText="1"/>
    </xf>
    <xf numFmtId="0" fontId="76" fillId="5" borderId="14" xfId="0" applyFont="1" applyFill="1" applyBorder="1" applyAlignment="1">
      <alignment horizontal="right" vertical="center" wrapText="1"/>
    </xf>
    <xf numFmtId="172" fontId="76" fillId="5" borderId="14" xfId="0" applyNumberFormat="1" applyFont="1" applyFill="1" applyBorder="1" applyAlignment="1">
      <alignment horizontal="right" vertical="center" wrapText="1"/>
    </xf>
    <xf numFmtId="0" fontId="78" fillId="0" borderId="1" xfId="0" applyFont="1" applyFill="1" applyBorder="1" applyAlignment="1">
      <alignment vertical="center" wrapText="1"/>
    </xf>
    <xf numFmtId="0" fontId="76" fillId="5" borderId="3" xfId="0" quotePrefix="1" applyFont="1" applyFill="1" applyBorder="1" applyAlignment="1">
      <alignment horizontal="right" vertical="center" wrapText="1"/>
    </xf>
    <xf numFmtId="0" fontId="79" fillId="5" borderId="0" xfId="0" applyFont="1" applyFill="1" applyAlignment="1">
      <alignment vertical="center"/>
    </xf>
    <xf numFmtId="43" fontId="7" fillId="0" borderId="0" xfId="0" applyNumberFormat="1" applyFont="1" applyFill="1"/>
    <xf numFmtId="165" fontId="7" fillId="10" borderId="10" xfId="0" applyNumberFormat="1" applyFont="1" applyFill="1" applyBorder="1"/>
    <xf numFmtId="165" fontId="7" fillId="6" borderId="0" xfId="0" quotePrefix="1" applyNumberFormat="1" applyFont="1" applyFill="1" applyAlignment="1">
      <alignment horizontal="center"/>
    </xf>
    <xf numFmtId="0" fontId="3" fillId="5" borderId="0" xfId="0" applyFont="1" applyFill="1" applyBorder="1" applyAlignment="1">
      <alignment vertical="center" wrapText="1"/>
    </xf>
    <xf numFmtId="0" fontId="3" fillId="5" borderId="4" xfId="0" applyFont="1" applyFill="1" applyBorder="1" applyAlignment="1">
      <alignment vertical="center" wrapText="1"/>
    </xf>
    <xf numFmtId="165" fontId="76" fillId="0" borderId="9" xfId="2" applyNumberFormat="1" applyFont="1" applyBorder="1" applyAlignment="1">
      <alignment vertical="center" wrapText="1"/>
    </xf>
    <xf numFmtId="165" fontId="76" fillId="0" borderId="9" xfId="0" applyNumberFormat="1" applyFont="1" applyBorder="1" applyAlignment="1">
      <alignment horizontal="center" vertical="center" wrapText="1"/>
    </xf>
    <xf numFmtId="0" fontId="11" fillId="6" borderId="0" xfId="0" applyFont="1" applyFill="1" applyBorder="1" applyAlignment="1">
      <alignment horizontal="left" wrapText="1"/>
    </xf>
    <xf numFmtId="0" fontId="11" fillId="6" borderId="0" xfId="0" applyFont="1" applyFill="1" applyBorder="1" applyAlignment="1"/>
    <xf numFmtId="4" fontId="7" fillId="6" borderId="0" xfId="0" quotePrefix="1" applyNumberFormat="1" applyFont="1" applyFill="1" applyBorder="1" applyAlignment="1" applyProtection="1">
      <alignment horizontal="center"/>
      <protection hidden="1"/>
    </xf>
    <xf numFmtId="0" fontId="7" fillId="5" borderId="9" xfId="0" applyFont="1" applyFill="1" applyBorder="1" applyAlignment="1">
      <alignment vertical="top"/>
    </xf>
    <xf numFmtId="0" fontId="16" fillId="5" borderId="0" xfId="0" applyNumberFormat="1" applyFont="1" applyFill="1"/>
    <xf numFmtId="0" fontId="18" fillId="5" borderId="0" xfId="0" applyFont="1" applyFill="1" applyBorder="1"/>
    <xf numFmtId="165" fontId="81" fillId="0" borderId="0" xfId="0" applyNumberFormat="1" applyFont="1" applyFill="1" applyAlignment="1">
      <alignment horizontal="left" wrapText="1"/>
    </xf>
    <xf numFmtId="0" fontId="58" fillId="9" borderId="0" xfId="0" applyFont="1" applyFill="1" applyBorder="1"/>
    <xf numFmtId="0" fontId="0" fillId="6" borderId="0" xfId="0" applyFill="1"/>
    <xf numFmtId="0" fontId="82" fillId="15" borderId="0" xfId="0" applyFont="1" applyFill="1" applyBorder="1"/>
    <xf numFmtId="0" fontId="83" fillId="15" borderId="0" xfId="0" applyFont="1" applyFill="1"/>
    <xf numFmtId="0" fontId="83" fillId="15" borderId="0" xfId="0" applyFont="1" applyFill="1" applyAlignment="1">
      <alignment horizontal="right"/>
    </xf>
    <xf numFmtId="0" fontId="82" fillId="15" borderId="0" xfId="0" applyFont="1" applyFill="1"/>
    <xf numFmtId="165" fontId="82" fillId="15" borderId="0" xfId="0" applyNumberFormat="1" applyFont="1" applyFill="1" applyAlignment="1">
      <alignment horizontal="center"/>
    </xf>
    <xf numFmtId="0" fontId="6" fillId="3" borderId="4" xfId="0" applyFont="1" applyFill="1" applyBorder="1" applyAlignment="1">
      <alignment horizontal="center" vertical="top" wrapText="1"/>
    </xf>
    <xf numFmtId="0" fontId="6" fillId="3" borderId="0" xfId="0" applyFont="1" applyFill="1" applyBorder="1" applyAlignment="1">
      <alignment horizontal="center" vertical="top" wrapText="1"/>
    </xf>
    <xf numFmtId="0" fontId="6" fillId="3" borderId="5" xfId="0" applyFont="1" applyFill="1" applyBorder="1" applyAlignment="1">
      <alignment horizontal="center" vertical="top" wrapText="1"/>
    </xf>
    <xf numFmtId="0" fontId="6" fillId="3" borderId="6" xfId="0" applyFont="1" applyFill="1" applyBorder="1" applyAlignment="1">
      <alignment horizontal="center" wrapText="1"/>
    </xf>
    <xf numFmtId="0" fontId="6" fillId="3" borderId="7" xfId="0" applyFont="1" applyFill="1" applyBorder="1" applyAlignment="1">
      <alignment horizontal="center" wrapText="1"/>
    </xf>
    <xf numFmtId="0" fontId="6" fillId="3" borderId="8" xfId="0" applyFont="1" applyFill="1" applyBorder="1" applyAlignment="1">
      <alignment horizontal="center" wrapText="1"/>
    </xf>
    <xf numFmtId="0" fontId="8" fillId="0" borderId="0" xfId="0" applyFont="1" applyFill="1" applyAlignment="1">
      <alignment horizontal="left" wrapText="1"/>
    </xf>
    <xf numFmtId="0" fontId="8" fillId="0" borderId="0" xfId="0" applyFont="1" applyAlignment="1">
      <alignment horizontal="left" vertical="top" wrapText="1"/>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0" xfId="0" applyFont="1" applyFill="1" applyBorder="1" applyAlignment="1">
      <alignment horizontal="center"/>
    </xf>
    <xf numFmtId="0" fontId="5" fillId="2" borderId="5" xfId="0" applyFont="1" applyFill="1" applyBorder="1" applyAlignment="1">
      <alignment horizontal="center"/>
    </xf>
    <xf numFmtId="0" fontId="6" fillId="3" borderId="4" xfId="0" applyFont="1" applyFill="1" applyBorder="1" applyAlignment="1">
      <alignment horizontal="center" wrapText="1"/>
    </xf>
    <xf numFmtId="0" fontId="6" fillId="3" borderId="0" xfId="0" applyFont="1" applyFill="1" applyBorder="1" applyAlignment="1">
      <alignment horizontal="center" wrapText="1"/>
    </xf>
    <xf numFmtId="0" fontId="6" fillId="3" borderId="5" xfId="0" applyFont="1" applyFill="1" applyBorder="1" applyAlignment="1">
      <alignment horizontal="center" wrapText="1"/>
    </xf>
    <xf numFmtId="0" fontId="6" fillId="3" borderId="4" xfId="0" applyFont="1" applyFill="1" applyBorder="1" applyAlignment="1">
      <alignment horizontal="center"/>
    </xf>
    <xf numFmtId="0" fontId="6" fillId="3" borderId="0" xfId="0" applyFont="1" applyFill="1" applyBorder="1" applyAlignment="1">
      <alignment horizontal="center"/>
    </xf>
    <xf numFmtId="0" fontId="6" fillId="3" borderId="5" xfId="0" applyFont="1" applyFill="1" applyBorder="1" applyAlignment="1">
      <alignment horizontal="center"/>
    </xf>
    <xf numFmtId="0" fontId="11" fillId="4" borderId="4" xfId="0" applyFont="1" applyFill="1" applyBorder="1" applyAlignment="1">
      <alignment horizontal="left" vertical="center" wrapText="1"/>
    </xf>
    <xf numFmtId="0" fontId="8" fillId="4" borderId="0" xfId="0" applyFont="1" applyFill="1" applyBorder="1" applyAlignment="1">
      <alignment horizontal="left" vertical="center" wrapText="1"/>
    </xf>
    <xf numFmtId="0" fontId="8" fillId="4" borderId="5" xfId="0" applyFont="1" applyFill="1" applyBorder="1" applyAlignment="1">
      <alignment horizontal="left" vertical="center" wrapText="1"/>
    </xf>
    <xf numFmtId="0" fontId="8" fillId="4" borderId="6" xfId="0" applyFont="1" applyFill="1" applyBorder="1" applyAlignment="1">
      <alignment horizontal="left" vertical="center" wrapText="1"/>
    </xf>
    <xf numFmtId="0" fontId="8" fillId="4" borderId="7" xfId="0" applyFont="1" applyFill="1" applyBorder="1" applyAlignment="1">
      <alignment horizontal="left" vertical="center" wrapText="1"/>
    </xf>
    <xf numFmtId="0" fontId="8" fillId="4" borderId="8" xfId="0" applyFont="1" applyFill="1" applyBorder="1" applyAlignment="1">
      <alignment horizontal="left" vertical="center" wrapText="1"/>
    </xf>
    <xf numFmtId="0" fontId="9" fillId="2" borderId="9" xfId="0" applyFont="1" applyFill="1" applyBorder="1" applyAlignment="1">
      <alignment horizontal="center" vertical="top" wrapText="1"/>
    </xf>
    <xf numFmtId="0" fontId="8" fillId="4" borderId="4" xfId="0" applyFont="1" applyFill="1" applyBorder="1" applyAlignment="1">
      <alignment horizontal="left" vertical="center" wrapText="1"/>
    </xf>
    <xf numFmtId="0" fontId="25" fillId="9" borderId="4" xfId="0" applyFont="1" applyFill="1" applyBorder="1" applyAlignment="1">
      <alignment horizontal="left" vertical="top" wrapText="1"/>
    </xf>
    <xf numFmtId="0" fontId="25" fillId="9" borderId="0" xfId="0" applyFont="1" applyFill="1" applyBorder="1" applyAlignment="1">
      <alignment horizontal="left" vertical="top" wrapText="1"/>
    </xf>
    <xf numFmtId="0" fontId="0" fillId="0" borderId="10" xfId="0" applyBorder="1" applyAlignment="1" applyProtection="1">
      <alignment horizontal="left" vertical="top" wrapText="1"/>
      <protection hidden="1"/>
    </xf>
    <xf numFmtId="0" fontId="0" fillId="0" borderId="12" xfId="0" applyBorder="1" applyAlignment="1" applyProtection="1">
      <alignment horizontal="left" vertical="top" wrapText="1"/>
      <protection hidden="1"/>
    </xf>
    <xf numFmtId="0" fontId="0" fillId="0" borderId="10" xfId="0" applyBorder="1" applyAlignment="1" applyProtection="1">
      <alignment horizontal="left" vertical="top" wrapText="1"/>
      <protection locked="0" hidden="1"/>
    </xf>
    <xf numFmtId="0" fontId="0" fillId="0" borderId="12" xfId="0" applyBorder="1" applyAlignment="1" applyProtection="1">
      <alignment horizontal="left" vertical="top" wrapText="1"/>
      <protection locked="0" hidden="1"/>
    </xf>
    <xf numFmtId="0" fontId="0" fillId="0" borderId="10" xfId="0" applyBorder="1" applyAlignment="1" applyProtection="1">
      <alignment horizontal="center" vertical="top" wrapText="1"/>
      <protection locked="0"/>
    </xf>
    <xf numFmtId="0" fontId="0" fillId="0" borderId="11" xfId="0" applyBorder="1" applyAlignment="1" applyProtection="1">
      <alignment horizontal="center" vertical="top" wrapText="1"/>
      <protection locked="0"/>
    </xf>
    <xf numFmtId="0" fontId="0" fillId="0" borderId="12" xfId="0" applyBorder="1" applyAlignment="1" applyProtection="1">
      <alignment horizontal="center" vertical="top" wrapText="1"/>
      <protection locked="0"/>
    </xf>
    <xf numFmtId="0" fontId="3" fillId="5" borderId="0" xfId="0" applyFont="1" applyFill="1" applyBorder="1" applyAlignment="1">
      <alignment horizontal="left" vertical="center" wrapText="1"/>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36" fillId="4" borderId="10" xfId="0" applyFont="1" applyFill="1" applyBorder="1" applyAlignment="1">
      <alignment horizontal="left" wrapText="1"/>
    </xf>
    <xf numFmtId="0" fontId="36" fillId="4" borderId="11" xfId="0" applyFont="1" applyFill="1" applyBorder="1" applyAlignment="1">
      <alignment horizontal="left" wrapText="1"/>
    </xf>
    <xf numFmtId="0" fontId="36" fillId="4" borderId="12" xfId="0" applyFont="1" applyFill="1" applyBorder="1" applyAlignment="1">
      <alignment horizontal="left" wrapText="1"/>
    </xf>
    <xf numFmtId="0" fontId="0" fillId="5" borderId="10" xfId="0" applyFill="1" applyBorder="1" applyAlignment="1" applyProtection="1">
      <alignment horizontal="center" vertical="top" wrapText="1"/>
      <protection locked="0"/>
    </xf>
    <xf numFmtId="0" fontId="0" fillId="5" borderId="11" xfId="0" applyFill="1" applyBorder="1" applyAlignment="1" applyProtection="1">
      <alignment horizontal="center" vertical="top" wrapText="1"/>
      <protection locked="0"/>
    </xf>
    <xf numFmtId="0" fontId="0" fillId="5" borderId="12" xfId="0" applyFill="1" applyBorder="1" applyAlignment="1" applyProtection="1">
      <alignment horizontal="center" vertical="top" wrapText="1"/>
      <protection locked="0"/>
    </xf>
    <xf numFmtId="0" fontId="36" fillId="4" borderId="10" xfId="0" applyFont="1" applyFill="1" applyBorder="1" applyAlignment="1">
      <alignment horizontal="center"/>
    </xf>
    <xf numFmtId="0" fontId="36" fillId="4" borderId="12" xfId="0" applyFont="1" applyFill="1" applyBorder="1" applyAlignment="1">
      <alignment horizontal="center"/>
    </xf>
    <xf numFmtId="0" fontId="7" fillId="9" borderId="0" xfId="0" applyFont="1" applyFill="1" applyBorder="1" applyAlignment="1" applyProtection="1">
      <alignment horizontal="left" vertical="center" wrapText="1"/>
      <protection hidden="1"/>
    </xf>
    <xf numFmtId="0" fontId="14" fillId="2" borderId="0" xfId="0" applyFont="1" applyFill="1" applyBorder="1" applyAlignment="1" applyProtection="1">
      <alignment horizontal="center"/>
      <protection hidden="1"/>
    </xf>
    <xf numFmtId="0" fontId="20" fillId="5" borderId="0" xfId="0" applyFont="1" applyFill="1" applyBorder="1" applyAlignment="1" applyProtection="1">
      <alignment horizontal="left" wrapText="1"/>
      <protection hidden="1"/>
    </xf>
    <xf numFmtId="0" fontId="7" fillId="9" borderId="0" xfId="0" applyFont="1" applyFill="1" applyBorder="1" applyAlignment="1" applyProtection="1">
      <alignment horizontal="left" wrapText="1"/>
      <protection hidden="1"/>
    </xf>
    <xf numFmtId="0" fontId="14" fillId="2" borderId="0" xfId="0" applyFont="1" applyFill="1" applyAlignment="1">
      <alignment horizontal="center"/>
    </xf>
    <xf numFmtId="0" fontId="9" fillId="2" borderId="0" xfId="0" applyFont="1" applyFill="1" applyAlignment="1">
      <alignment horizontal="center"/>
    </xf>
    <xf numFmtId="0" fontId="39" fillId="6" borderId="0" xfId="0" applyFont="1" applyFill="1" applyAlignment="1">
      <alignment horizontal="center" vertical="center" wrapText="1"/>
    </xf>
    <xf numFmtId="0" fontId="17" fillId="6" borderId="0" xfId="0" applyFont="1" applyFill="1" applyAlignment="1">
      <alignment horizontal="right"/>
    </xf>
    <xf numFmtId="0" fontId="81" fillId="5" borderId="0" xfId="0" applyFont="1" applyFill="1" applyAlignment="1">
      <alignment horizontal="center" vertical="top" wrapText="1"/>
    </xf>
    <xf numFmtId="165" fontId="81" fillId="0" borderId="0" xfId="0" applyNumberFormat="1" applyFont="1" applyAlignment="1">
      <alignment horizontal="center" vertical="top" wrapText="1"/>
    </xf>
    <xf numFmtId="0" fontId="81" fillId="5" borderId="0" xfId="0" applyFont="1" applyFill="1" applyAlignment="1">
      <alignment horizontal="center" wrapText="1"/>
    </xf>
    <xf numFmtId="0" fontId="81" fillId="0" borderId="0" xfId="0" applyFont="1" applyAlignment="1">
      <alignment horizontal="center" wrapText="1"/>
    </xf>
    <xf numFmtId="165" fontId="81" fillId="0" borderId="0" xfId="0" applyNumberFormat="1" applyFont="1" applyFill="1" applyAlignment="1">
      <alignment horizontal="center" vertical="top" wrapText="1"/>
    </xf>
    <xf numFmtId="0" fontId="26" fillId="5" borderId="0" xfId="0" applyFont="1" applyFill="1" applyAlignment="1">
      <alignment horizontal="left" vertical="top" wrapText="1"/>
    </xf>
    <xf numFmtId="0" fontId="75" fillId="12" borderId="10" xfId="0" applyFont="1" applyFill="1" applyBorder="1" applyAlignment="1">
      <alignment horizontal="center" vertical="center" wrapText="1"/>
    </xf>
    <xf numFmtId="0" fontId="75" fillId="12" borderId="12" xfId="0" applyFont="1" applyFill="1" applyBorder="1" applyAlignment="1">
      <alignment horizontal="center" vertical="center" wrapText="1"/>
    </xf>
    <xf numFmtId="0" fontId="75" fillId="12" borderId="1" xfId="0" applyFont="1" applyFill="1" applyBorder="1" applyAlignment="1">
      <alignment horizontal="left" vertical="center" wrapText="1"/>
    </xf>
    <xf numFmtId="0" fontId="75" fillId="12" borderId="6" xfId="0" applyFont="1" applyFill="1" applyBorder="1" applyAlignment="1">
      <alignment horizontal="left" vertical="center" wrapText="1"/>
    </xf>
    <xf numFmtId="0" fontId="75" fillId="12" borderId="14" xfId="0" applyFont="1" applyFill="1" applyBorder="1" applyAlignment="1">
      <alignment horizontal="center" vertical="center" wrapText="1"/>
    </xf>
    <xf numFmtId="0" fontId="75" fillId="12" borderId="13" xfId="0" applyFont="1" applyFill="1" applyBorder="1" applyAlignment="1">
      <alignment horizontal="center" vertical="center" wrapText="1"/>
    </xf>
  </cellXfs>
  <cellStyles count="3">
    <cellStyle name="Comma" xfId="2" builtinId="3"/>
    <cellStyle name="Currency" xfId="1" builtinId="4"/>
    <cellStyle name="Normal" xfId="0" builtinId="0"/>
  </cellStyles>
  <dxfs count="1">
    <dxf>
      <font>
        <color rgb="FFC0000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8" Type="http://schemas.openxmlformats.org/officeDocument/2006/relationships/styles" Target="styles.xml" /><ns0:Relationship Id="rId3" Type="http://schemas.openxmlformats.org/officeDocument/2006/relationships/worksheet" Target="worksheets/sheet3.xml" /><ns0:Relationship Id="rId7" Type="http://schemas.openxmlformats.org/officeDocument/2006/relationships/theme" Target="theme/theme1.xml" /><ns0:Relationship Id="rId2" Type="http://schemas.openxmlformats.org/officeDocument/2006/relationships/worksheet" Target="worksheets/sheet2.xml" /><ns0:Relationship Id="rId1" Type="http://schemas.openxmlformats.org/officeDocument/2006/relationships/worksheet" Target="worksheets/sheet1.xml" /><ns0:Relationship Id="rId6" Type="http://schemas.openxmlformats.org/officeDocument/2006/relationships/worksheet" Target="worksheets/sheet6.xml" /><ns0:Relationship Id="rId5" Type="http://schemas.openxmlformats.org/officeDocument/2006/relationships/worksheet" Target="worksheets/sheet5.xml" /><ns0:Relationship Id="rId10" Type="http://schemas.openxmlformats.org/officeDocument/2006/relationships/calcChain" Target="calcChain.xml" /><ns0:Relationship Id="rId4" Type="http://schemas.openxmlformats.org/officeDocument/2006/relationships/worksheet" Target="worksheets/sheet4.xml" /><ns0:Relationship Id="rId9" Type="http://schemas.openxmlformats.org/officeDocument/2006/relationships/sharedStrings" Target="sharedStrings.xml" /></ns0:Relationships>
</file>

<file path=xl/ctrlProps/ctrlProp1.xml><?xml version="1.0" encoding="utf-8"?>
<formControlPr xmlns="http://schemas.microsoft.com/office/spreadsheetml/2009/9/main" objectType="Drop" dropLines="3" dropStyle="combo" dx="16" fmlaLink="$L$1" fmlaRange="$M$1:$M$3" noThreeD="1" sel="3" val="0"/>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Drop" dropLines="7" dropStyle="combo" dx="22" fmlaLink="$L$5" fmlaRange="$M$5:$M$11" noThreeD="1" sel="2" val="0"/>
</file>

<file path=xl/ctrlProps/ctrlProp4.xml><?xml version="1.0" encoding="utf-8"?>
<formControlPr xmlns="http://schemas.microsoft.com/office/spreadsheetml/2009/9/main" objectType="Drop" dropLines="3" dropStyle="combo" dx="22" fmlaLink="$L$15" fmlaRange="$M$15:$M$17" noThreeD="1" sel="2" val="0"/>
</file>

<file path=xl/ctrlProps/ctrlProp5.xml><?xml version="1.0" encoding="utf-8"?>
<formControlPr xmlns="http://schemas.microsoft.com/office/spreadsheetml/2009/9/main" objectType="Drop" dropLines="3" dropStyle="combo" dx="22" fmlaLink="$L$19" fmlaRange="$M$19:$M$21" noThreeD="1" sel="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962025</xdr:colOff>
          <xdr:row>1</xdr:row>
          <xdr:rowOff>85725</xdr:rowOff>
        </xdr:from>
        <xdr:to>
          <xdr:col>3</xdr:col>
          <xdr:colOff>1714500</xdr:colOff>
          <xdr:row>2</xdr:row>
          <xdr:rowOff>104775</xdr:rowOff>
        </xdr:to>
        <xdr:sp macro="" textlink="">
          <xdr:nvSpPr>
            <xdr:cNvPr id="3073" name="Drop Down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1</xdr:row>
          <xdr:rowOff>257175</xdr:rowOff>
        </xdr:from>
        <xdr:to>
          <xdr:col>7</xdr:col>
          <xdr:colOff>304800</xdr:colOff>
          <xdr:row>3</xdr:row>
          <xdr:rowOff>9525</xdr:rowOff>
        </xdr:to>
        <xdr:sp macro="" textlink="">
          <xdr:nvSpPr>
            <xdr:cNvPr id="3075" name="Button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933450</xdr:colOff>
          <xdr:row>5</xdr:row>
          <xdr:rowOff>104775</xdr:rowOff>
        </xdr:from>
        <xdr:to>
          <xdr:col>3</xdr:col>
          <xdr:colOff>104775</xdr:colOff>
          <xdr:row>5</xdr:row>
          <xdr:rowOff>438150</xdr:rowOff>
        </xdr:to>
        <xdr:sp macro="" textlink="">
          <xdr:nvSpPr>
            <xdr:cNvPr id="3078" name="Drop Down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904875</xdr:colOff>
          <xdr:row>6</xdr:row>
          <xdr:rowOff>190500</xdr:rowOff>
        </xdr:from>
        <xdr:to>
          <xdr:col>3</xdr:col>
          <xdr:colOff>133350</xdr:colOff>
          <xdr:row>7</xdr:row>
          <xdr:rowOff>47625</xdr:rowOff>
        </xdr:to>
        <xdr:sp macro="" textlink="">
          <xdr:nvSpPr>
            <xdr:cNvPr id="3079" name="Drop Down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933450</xdr:colOff>
          <xdr:row>3</xdr:row>
          <xdr:rowOff>266700</xdr:rowOff>
        </xdr:from>
        <xdr:to>
          <xdr:col>3</xdr:col>
          <xdr:colOff>95250</xdr:colOff>
          <xdr:row>4</xdr:row>
          <xdr:rowOff>266700</xdr:rowOff>
        </xdr:to>
        <xdr:sp macro="" textlink="">
          <xdr:nvSpPr>
            <xdr:cNvPr id="3080" name="Drop Down 8"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21"/>
  <sheetViews>
    <sheetView showGridLines="0" zoomScale="110" zoomScaleNormal="110" workbookViewId="0">
      <selection activeCell="A7" sqref="A7:O7"/>
    </sheetView>
  </sheetViews>
  <sheetFormatPr defaultRowHeight="15" x14ac:dyDescent="0.25"/>
  <cols>
    <col min="3" max="3" width="3.7109375" customWidth="1"/>
    <col min="4" max="4" width="22.42578125" customWidth="1"/>
    <col min="5" max="5" width="37.85546875" customWidth="1"/>
    <col min="13" max="13" width="34.85546875" customWidth="1"/>
  </cols>
  <sheetData>
    <row r="1" spans="1:15" ht="23.25" x14ac:dyDescent="0.35">
      <c r="A1" s="330" t="s">
        <v>15</v>
      </c>
      <c r="B1" s="331"/>
      <c r="C1" s="331"/>
      <c r="D1" s="331"/>
      <c r="E1" s="331"/>
      <c r="F1" s="331"/>
      <c r="G1" s="331"/>
      <c r="H1" s="331"/>
      <c r="I1" s="331"/>
      <c r="J1" s="331"/>
      <c r="K1" s="331"/>
      <c r="L1" s="331"/>
      <c r="M1" s="331"/>
      <c r="N1" s="331"/>
      <c r="O1" s="332"/>
    </row>
    <row r="2" spans="1:15" ht="23.25" x14ac:dyDescent="0.35">
      <c r="A2" s="333" t="s">
        <v>104</v>
      </c>
      <c r="B2" s="334"/>
      <c r="C2" s="334"/>
      <c r="D2" s="334"/>
      <c r="E2" s="334"/>
      <c r="F2" s="334"/>
      <c r="G2" s="334"/>
      <c r="H2" s="334"/>
      <c r="I2" s="334"/>
      <c r="J2" s="334"/>
      <c r="K2" s="334"/>
      <c r="L2" s="334"/>
      <c r="M2" s="334"/>
      <c r="N2" s="334"/>
      <c r="O2" s="335"/>
    </row>
    <row r="3" spans="1:15" ht="15.75" x14ac:dyDescent="0.25">
      <c r="A3" s="336" t="s">
        <v>16</v>
      </c>
      <c r="B3" s="337"/>
      <c r="C3" s="337"/>
      <c r="D3" s="337"/>
      <c r="E3" s="337"/>
      <c r="F3" s="337"/>
      <c r="G3" s="337"/>
      <c r="H3" s="337"/>
      <c r="I3" s="337"/>
      <c r="J3" s="337"/>
      <c r="K3" s="337"/>
      <c r="L3" s="337"/>
      <c r="M3" s="337"/>
      <c r="N3" s="337"/>
      <c r="O3" s="338"/>
    </row>
    <row r="4" spans="1:15" ht="15.75" x14ac:dyDescent="0.25">
      <c r="A4" s="339" t="s">
        <v>17</v>
      </c>
      <c r="B4" s="340"/>
      <c r="C4" s="340"/>
      <c r="D4" s="340"/>
      <c r="E4" s="340"/>
      <c r="F4" s="340"/>
      <c r="G4" s="340"/>
      <c r="H4" s="340"/>
      <c r="I4" s="340"/>
      <c r="J4" s="340"/>
      <c r="K4" s="340"/>
      <c r="L4" s="340"/>
      <c r="M4" s="340"/>
      <c r="N4" s="340"/>
      <c r="O4" s="341"/>
    </row>
    <row r="5" spans="1:15" ht="15.75" x14ac:dyDescent="0.25">
      <c r="A5" s="322" t="s">
        <v>18</v>
      </c>
      <c r="B5" s="323"/>
      <c r="C5" s="323"/>
      <c r="D5" s="323"/>
      <c r="E5" s="323"/>
      <c r="F5" s="323"/>
      <c r="G5" s="323"/>
      <c r="H5" s="323"/>
      <c r="I5" s="323"/>
      <c r="J5" s="323"/>
      <c r="K5" s="323"/>
      <c r="L5" s="323"/>
      <c r="M5" s="323"/>
      <c r="N5" s="323"/>
      <c r="O5" s="324"/>
    </row>
    <row r="6" spans="1:15" ht="15.75" x14ac:dyDescent="0.25">
      <c r="A6" s="322" t="s">
        <v>19</v>
      </c>
      <c r="B6" s="323"/>
      <c r="C6" s="323"/>
      <c r="D6" s="323"/>
      <c r="E6" s="323"/>
      <c r="F6" s="323"/>
      <c r="G6" s="323"/>
      <c r="H6" s="323"/>
      <c r="I6" s="323"/>
      <c r="J6" s="323"/>
      <c r="K6" s="323"/>
      <c r="L6" s="323"/>
      <c r="M6" s="323"/>
      <c r="N6" s="323"/>
      <c r="O6" s="324"/>
    </row>
    <row r="7" spans="1:15" ht="15.75" x14ac:dyDescent="0.25">
      <c r="A7" s="325" t="s">
        <v>351</v>
      </c>
      <c r="B7" s="326"/>
      <c r="C7" s="326"/>
      <c r="D7" s="326"/>
      <c r="E7" s="326"/>
      <c r="F7" s="326"/>
      <c r="G7" s="326"/>
      <c r="H7" s="326"/>
      <c r="I7" s="326"/>
      <c r="J7" s="326"/>
      <c r="K7" s="326"/>
      <c r="L7" s="326"/>
      <c r="M7" s="326"/>
      <c r="N7" s="326"/>
      <c r="O7" s="327"/>
    </row>
    <row r="9" spans="1:15" ht="104.25" customHeight="1" x14ac:dyDescent="0.25">
      <c r="A9" s="4"/>
      <c r="B9" s="328" t="s">
        <v>269</v>
      </c>
      <c r="C9" s="328"/>
      <c r="D9" s="328"/>
      <c r="E9" s="328"/>
      <c r="F9" s="328"/>
      <c r="G9" s="328"/>
      <c r="H9" s="328"/>
      <c r="I9" s="328"/>
      <c r="J9" s="328"/>
      <c r="K9" s="328"/>
      <c r="L9" s="328"/>
      <c r="M9" s="328"/>
      <c r="N9" s="328"/>
      <c r="O9" s="5"/>
    </row>
    <row r="10" spans="1:15" ht="15.75" x14ac:dyDescent="0.25">
      <c r="A10" s="4"/>
      <c r="B10" s="4"/>
      <c r="C10" s="4"/>
      <c r="D10" s="4"/>
      <c r="E10" s="4"/>
      <c r="F10" s="4"/>
      <c r="G10" s="4"/>
      <c r="H10" s="4"/>
      <c r="I10" s="4"/>
      <c r="J10" s="4"/>
      <c r="K10" s="4"/>
      <c r="L10" s="4"/>
      <c r="M10" s="4"/>
      <c r="N10" s="4"/>
      <c r="O10" s="4"/>
    </row>
    <row r="11" spans="1:15" ht="86.25" customHeight="1" x14ac:dyDescent="0.25">
      <c r="A11" s="4"/>
      <c r="B11" s="329" t="s">
        <v>266</v>
      </c>
      <c r="C11" s="329"/>
      <c r="D11" s="329"/>
      <c r="E11" s="329"/>
      <c r="F11" s="329"/>
      <c r="G11" s="329"/>
      <c r="H11" s="329"/>
      <c r="I11" s="329"/>
      <c r="J11" s="329"/>
      <c r="K11" s="329"/>
      <c r="L11" s="329"/>
      <c r="M11" s="329"/>
      <c r="N11" s="329"/>
      <c r="O11" s="4"/>
    </row>
    <row r="12" spans="1:15" ht="15.75" x14ac:dyDescent="0.25">
      <c r="A12" s="4"/>
      <c r="B12" s="6"/>
      <c r="C12" s="6"/>
      <c r="D12" s="6"/>
      <c r="E12" s="6"/>
      <c r="F12" s="6"/>
      <c r="G12" s="6"/>
      <c r="H12" s="6"/>
      <c r="I12" s="6"/>
      <c r="J12" s="6"/>
      <c r="K12" s="6"/>
      <c r="L12" s="6"/>
      <c r="M12" s="6"/>
      <c r="N12" s="6"/>
      <c r="O12" s="4"/>
    </row>
    <row r="13" spans="1:15" ht="51" customHeight="1" x14ac:dyDescent="0.25">
      <c r="A13" s="4"/>
      <c r="B13" s="329" t="s">
        <v>328</v>
      </c>
      <c r="C13" s="329"/>
      <c r="D13" s="329"/>
      <c r="E13" s="329"/>
      <c r="F13" s="329"/>
      <c r="G13" s="329"/>
      <c r="H13" s="329"/>
      <c r="I13" s="329"/>
      <c r="J13" s="329"/>
      <c r="K13" s="329"/>
      <c r="L13" s="329"/>
      <c r="M13" s="329"/>
      <c r="N13" s="329"/>
      <c r="O13" s="4"/>
    </row>
    <row r="14" spans="1:15" ht="15.75" x14ac:dyDescent="0.25">
      <c r="A14" s="4"/>
      <c r="B14" s="7"/>
      <c r="C14" s="7"/>
      <c r="D14" s="7"/>
      <c r="E14" s="7"/>
      <c r="F14" s="7"/>
      <c r="G14" s="7"/>
      <c r="H14" s="7"/>
      <c r="I14" s="7"/>
      <c r="J14" s="7"/>
      <c r="K14" s="7"/>
      <c r="L14" s="7"/>
      <c r="M14" s="7"/>
      <c r="N14" s="7"/>
      <c r="O14" s="4"/>
    </row>
    <row r="15" spans="1:15" ht="23.25" customHeight="1" x14ac:dyDescent="0.25">
      <c r="A15" s="4"/>
      <c r="B15" s="348" t="s">
        <v>20</v>
      </c>
      <c r="C15" s="348"/>
      <c r="D15" s="348"/>
      <c r="E15" s="348"/>
      <c r="F15" s="348"/>
      <c r="G15" s="348"/>
      <c r="H15" s="348"/>
      <c r="I15" s="348"/>
      <c r="J15" s="348"/>
      <c r="K15" s="348"/>
      <c r="L15" s="348"/>
      <c r="M15" s="348"/>
      <c r="N15" s="348"/>
      <c r="O15" s="4"/>
    </row>
    <row r="16" spans="1:15" ht="36" customHeight="1" x14ac:dyDescent="0.25">
      <c r="B16" s="349" t="s">
        <v>96</v>
      </c>
      <c r="C16" s="343"/>
      <c r="D16" s="343"/>
      <c r="E16" s="343"/>
      <c r="F16" s="343"/>
      <c r="G16" s="343"/>
      <c r="H16" s="343"/>
      <c r="I16" s="343"/>
      <c r="J16" s="343"/>
      <c r="K16" s="343"/>
      <c r="L16" s="343"/>
      <c r="M16" s="343"/>
      <c r="N16" s="344"/>
    </row>
    <row r="17" spans="1:15" ht="33" customHeight="1" x14ac:dyDescent="0.25">
      <c r="B17" s="349" t="s">
        <v>329</v>
      </c>
      <c r="C17" s="343"/>
      <c r="D17" s="343"/>
      <c r="E17" s="343"/>
      <c r="F17" s="343"/>
      <c r="G17" s="343"/>
      <c r="H17" s="343"/>
      <c r="I17" s="343"/>
      <c r="J17" s="343"/>
      <c r="K17" s="343"/>
      <c r="L17" s="343"/>
      <c r="M17" s="343"/>
      <c r="N17" s="344"/>
    </row>
    <row r="18" spans="1:15" ht="69" customHeight="1" x14ac:dyDescent="0.25">
      <c r="B18" s="342" t="s">
        <v>268</v>
      </c>
      <c r="C18" s="343"/>
      <c r="D18" s="343"/>
      <c r="E18" s="343"/>
      <c r="F18" s="343"/>
      <c r="G18" s="343"/>
      <c r="H18" s="343"/>
      <c r="I18" s="343"/>
      <c r="J18" s="343"/>
      <c r="K18" s="343"/>
      <c r="L18" s="343"/>
      <c r="M18" s="343"/>
      <c r="N18" s="344"/>
    </row>
    <row r="19" spans="1:15" ht="49.5" customHeight="1" x14ac:dyDescent="0.25">
      <c r="A19" s="8"/>
      <c r="B19" s="345" t="s">
        <v>267</v>
      </c>
      <c r="C19" s="346"/>
      <c r="D19" s="346"/>
      <c r="E19" s="346"/>
      <c r="F19" s="346"/>
      <c r="G19" s="346"/>
      <c r="H19" s="346"/>
      <c r="I19" s="346"/>
      <c r="J19" s="346"/>
      <c r="K19" s="346"/>
      <c r="L19" s="346"/>
      <c r="M19" s="346"/>
      <c r="N19" s="347"/>
      <c r="O19" s="8"/>
    </row>
    <row r="20" spans="1:15" ht="15.75" x14ac:dyDescent="0.25">
      <c r="B20" s="9"/>
      <c r="C20" s="9"/>
      <c r="D20" s="9"/>
      <c r="E20" s="9"/>
      <c r="F20" s="9"/>
      <c r="G20" s="9"/>
      <c r="H20" s="9"/>
      <c r="I20" s="9"/>
      <c r="J20" s="9"/>
      <c r="K20" s="9"/>
      <c r="L20" s="9"/>
      <c r="M20" s="9"/>
      <c r="N20" s="9"/>
    </row>
    <row r="21" spans="1:15" ht="15.75" x14ac:dyDescent="0.25">
      <c r="C21" s="9"/>
      <c r="D21" s="9"/>
      <c r="E21" s="9"/>
      <c r="F21" s="9"/>
      <c r="G21" s="9"/>
      <c r="H21" s="9"/>
      <c r="I21" s="9"/>
      <c r="J21" s="9"/>
      <c r="K21" s="9"/>
      <c r="L21" s="9"/>
      <c r="M21" s="9"/>
      <c r="N21" s="9"/>
    </row>
  </sheetData>
  <mergeCells count="15">
    <mergeCell ref="B18:N18"/>
    <mergeCell ref="B19:N19"/>
    <mergeCell ref="B15:N15"/>
    <mergeCell ref="B16:N16"/>
    <mergeCell ref="B17:N17"/>
    <mergeCell ref="A1:O1"/>
    <mergeCell ref="A2:O2"/>
    <mergeCell ref="A3:O3"/>
    <mergeCell ref="A4:O4"/>
    <mergeCell ref="A5:O5"/>
    <mergeCell ref="A6:O6"/>
    <mergeCell ref="A7:O7"/>
    <mergeCell ref="B9:N9"/>
    <mergeCell ref="B11:N11"/>
    <mergeCell ref="B13:N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R70"/>
  <sheetViews>
    <sheetView tabSelected="1" topLeftCell="B1" zoomScaleNormal="100" workbookViewId="0">
      <selection activeCell="D12" sqref="D12"/>
    </sheetView>
  </sheetViews>
  <sheetFormatPr defaultColWidth="9.140625" defaultRowHeight="15" x14ac:dyDescent="0.25"/>
  <cols>
    <col min="1" max="1" width="72.140625" style="21" customWidth="1"/>
    <col min="2" max="2" width="27.5703125" style="21" customWidth="1"/>
    <col min="3" max="3" width="40.7109375" style="21" customWidth="1"/>
    <col min="4" max="4" width="27.140625" style="21" customWidth="1"/>
    <col min="5" max="5" width="15.85546875" style="21" customWidth="1"/>
    <col min="6" max="6" width="17" style="21" customWidth="1"/>
    <col min="7" max="7" width="15.140625" style="21" customWidth="1"/>
    <col min="8" max="8" width="14.28515625" style="21" customWidth="1"/>
    <col min="9" max="9" width="9.140625" style="21"/>
    <col min="10" max="10" width="52.5703125" style="21" customWidth="1"/>
    <col min="11" max="11" width="9.140625" style="21"/>
    <col min="12" max="12" width="15.28515625" style="21" customWidth="1"/>
    <col min="13" max="13" width="16" style="21" customWidth="1"/>
    <col min="14" max="18" width="9.140625" style="21" customWidth="1"/>
    <col min="19" max="16384" width="9.140625" style="21"/>
  </cols>
  <sheetData>
    <row r="1" spans="1:18" ht="23.25" x14ac:dyDescent="0.35">
      <c r="A1" s="70"/>
      <c r="B1" s="70"/>
      <c r="C1" s="70" t="s">
        <v>21</v>
      </c>
      <c r="D1" s="70"/>
      <c r="E1" s="70"/>
      <c r="F1" s="70"/>
      <c r="G1" s="70"/>
      <c r="H1" s="70"/>
      <c r="I1" s="70"/>
      <c r="J1" s="135"/>
      <c r="K1" s="22"/>
      <c r="L1" s="29">
        <v>3</v>
      </c>
      <c r="M1" s="29" t="s">
        <v>278</v>
      </c>
      <c r="N1" s="29"/>
      <c r="R1" s="21" t="str">
        <f>IF(L1=1,M1,(IF(L1=2,M2,M3)))</f>
        <v>Fixed-Bed Carbon Adsorber with Steam Regeneration</v>
      </c>
    </row>
    <row r="2" spans="1:18" ht="23.25" x14ac:dyDescent="0.35">
      <c r="A2" s="58" t="s">
        <v>280</v>
      </c>
      <c r="B2" s="28"/>
      <c r="C2" s="28"/>
      <c r="D2" s="28"/>
      <c r="E2" s="28"/>
      <c r="F2" s="28"/>
      <c r="G2" s="28"/>
      <c r="H2" s="28"/>
      <c r="I2" s="28"/>
      <c r="J2" s="136"/>
      <c r="K2" s="22"/>
      <c r="L2" s="29"/>
      <c r="M2" s="29" t="s">
        <v>279</v>
      </c>
      <c r="N2" s="29"/>
    </row>
    <row r="3" spans="1:18" ht="23.25" x14ac:dyDescent="0.35">
      <c r="A3" s="67"/>
      <c r="B3" s="68"/>
      <c r="C3" s="67"/>
      <c r="D3" s="28"/>
      <c r="E3" s="28"/>
      <c r="F3" s="28"/>
      <c r="G3" s="28"/>
      <c r="H3" s="28"/>
      <c r="I3" s="28"/>
      <c r="J3" s="136"/>
      <c r="K3" s="22"/>
      <c r="L3" s="29"/>
      <c r="M3" s="29" t="s">
        <v>277</v>
      </c>
      <c r="N3" s="29"/>
    </row>
    <row r="4" spans="1:18" ht="23.25" x14ac:dyDescent="0.35">
      <c r="A4" s="274" t="s">
        <v>272</v>
      </c>
      <c r="B4" s="68"/>
      <c r="C4" s="67"/>
      <c r="D4" s="28"/>
      <c r="E4" s="28"/>
      <c r="F4" s="28"/>
      <c r="G4" s="28"/>
      <c r="H4" s="28"/>
      <c r="I4" s="28"/>
      <c r="J4" s="136"/>
      <c r="K4" s="22"/>
      <c r="L4" s="29"/>
      <c r="M4" s="29"/>
      <c r="N4" s="29"/>
      <c r="O4" s="231" t="s">
        <v>183</v>
      </c>
      <c r="P4" s="231" t="s">
        <v>184</v>
      </c>
    </row>
    <row r="5" spans="1:18" ht="23.25" x14ac:dyDescent="0.35">
      <c r="A5" s="67" t="s">
        <v>236</v>
      </c>
      <c r="B5" s="68"/>
      <c r="C5" s="67"/>
      <c r="D5" s="28"/>
      <c r="E5" s="28"/>
      <c r="F5" s="28"/>
      <c r="G5" s="28"/>
      <c r="H5" s="28"/>
      <c r="I5" s="28"/>
      <c r="J5" s="136"/>
      <c r="K5" s="22"/>
      <c r="L5" s="29">
        <v>2</v>
      </c>
      <c r="M5" s="29" t="s">
        <v>317</v>
      </c>
      <c r="N5" s="31"/>
      <c r="O5" s="224">
        <v>1</v>
      </c>
      <c r="P5" s="232">
        <v>0</v>
      </c>
      <c r="Q5" s="21">
        <f>IF($L$5=1, 0,  0)</f>
        <v>0</v>
      </c>
      <c r="R5" s="21" t="str">
        <f>IF($L$5=1, "Not Applicable"," ")</f>
        <v xml:space="preserve"> </v>
      </c>
    </row>
    <row r="6" spans="1:18" ht="36.75" customHeight="1" x14ac:dyDescent="0.35">
      <c r="A6" s="58" t="s">
        <v>177</v>
      </c>
      <c r="B6" s="68"/>
      <c r="C6" s="67"/>
      <c r="D6" s="28"/>
      <c r="E6" s="28"/>
      <c r="F6" s="28"/>
      <c r="G6" s="28"/>
      <c r="H6" s="28"/>
      <c r="I6" s="28"/>
      <c r="J6" s="136"/>
      <c r="K6" s="22"/>
      <c r="L6" s="29"/>
      <c r="M6" s="223" t="s">
        <v>178</v>
      </c>
      <c r="N6" s="223"/>
      <c r="O6" s="226">
        <v>2</v>
      </c>
      <c r="P6" s="230">
        <v>1</v>
      </c>
      <c r="Q6" s="21">
        <f>IF($L$5=2, 1,  0)</f>
        <v>1</v>
      </c>
      <c r="R6" s="21" t="str">
        <f>IF($L$5=2, "(* Stainless Steel, 304)", " ")</f>
        <v>(* Stainless Steel, 304)</v>
      </c>
    </row>
    <row r="7" spans="1:18" ht="35.25" customHeight="1" x14ac:dyDescent="0.35">
      <c r="A7" s="58" t="s">
        <v>207</v>
      </c>
      <c r="B7" s="68"/>
      <c r="C7" s="67"/>
      <c r="D7" s="28"/>
      <c r="E7" s="28"/>
      <c r="F7" s="28"/>
      <c r="G7" s="28"/>
      <c r="H7" s="28"/>
      <c r="I7" s="28"/>
      <c r="J7" s="136"/>
      <c r="K7" s="22"/>
      <c r="L7" s="29"/>
      <c r="M7" s="223" t="s">
        <v>185</v>
      </c>
      <c r="N7" s="223"/>
      <c r="O7" s="227">
        <v>3</v>
      </c>
      <c r="P7" s="228">
        <v>1.3</v>
      </c>
      <c r="Q7" s="21">
        <f>IF($L$5=3, 1.3,  0)</f>
        <v>0</v>
      </c>
      <c r="R7" s="21" t="str">
        <f>IF($L$5=3, "(* Stainless Steel, 316)", " ")</f>
        <v xml:space="preserve"> </v>
      </c>
    </row>
    <row r="8" spans="1:18" ht="23.25" x14ac:dyDescent="0.35">
      <c r="A8" s="28"/>
      <c r="B8" s="28"/>
      <c r="C8" s="28"/>
      <c r="D8" s="28"/>
      <c r="E8" s="28"/>
      <c r="F8" s="28"/>
      <c r="G8" s="28"/>
      <c r="H8" s="28"/>
      <c r="I8" s="28"/>
      <c r="J8" s="136"/>
      <c r="K8" s="22"/>
      <c r="L8" s="22"/>
      <c r="M8" s="223" t="s">
        <v>179</v>
      </c>
      <c r="N8" s="223"/>
      <c r="O8" s="227">
        <v>4</v>
      </c>
      <c r="P8" s="228">
        <v>1.9</v>
      </c>
      <c r="Q8" s="21">
        <f>IF($L$5=4, 1.9,  0)</f>
        <v>0</v>
      </c>
      <c r="R8" s="21" t="str">
        <f>IF($L$5=4, "(* Carpenter 20 CB-3)", " ")</f>
        <v xml:space="preserve"> </v>
      </c>
    </row>
    <row r="9" spans="1:18" ht="18.75" x14ac:dyDescent="0.3">
      <c r="A9" s="71" t="str">
        <f>"Enter the design data for the proposed "&amp;R1</f>
        <v>Enter the design data for the proposed Fixed-Bed Carbon Adsorber with Steam Regeneration</v>
      </c>
      <c r="B9" s="71"/>
      <c r="C9" s="71"/>
      <c r="D9" s="71"/>
      <c r="E9" s="71"/>
      <c r="F9" s="71"/>
      <c r="G9" s="71"/>
      <c r="H9" s="71"/>
      <c r="I9" s="71"/>
      <c r="J9" s="71"/>
      <c r="M9" s="223" t="s">
        <v>180</v>
      </c>
      <c r="N9" s="223"/>
      <c r="O9" s="227">
        <v>5</v>
      </c>
      <c r="P9" s="228">
        <v>2.2999999999999998</v>
      </c>
      <c r="Q9" s="21">
        <f>IF($L$5=5, 2.3,  0)</f>
        <v>0</v>
      </c>
      <c r="R9" s="21" t="str">
        <f>IF($L$5=5, "(* Monel-400)", " ")</f>
        <v xml:space="preserve"> </v>
      </c>
    </row>
    <row r="10" spans="1:18" ht="18.75" x14ac:dyDescent="0.3">
      <c r="A10" s="27"/>
      <c r="B10" s="40"/>
      <c r="C10" s="260"/>
      <c r="D10" s="40"/>
      <c r="E10" s="40"/>
      <c r="F10" s="40"/>
      <c r="G10" s="40"/>
      <c r="H10" s="40"/>
      <c r="I10" s="40"/>
      <c r="J10" s="40"/>
      <c r="M10" s="225" t="s">
        <v>181</v>
      </c>
      <c r="N10" s="225"/>
      <c r="O10" s="227">
        <v>6</v>
      </c>
      <c r="P10" s="228">
        <v>3.2</v>
      </c>
      <c r="Q10" s="21">
        <f>IF($L$5=6,3.2,  0)</f>
        <v>0</v>
      </c>
      <c r="R10" s="21" t="str">
        <f>IF($L$5=6, "(* Nickel-200)", " ")</f>
        <v xml:space="preserve"> </v>
      </c>
    </row>
    <row r="11" spans="1:18" s="24" customFormat="1" ht="20.25" customHeight="1" x14ac:dyDescent="0.35">
      <c r="A11" s="33" t="s">
        <v>288</v>
      </c>
      <c r="B11" s="254">
        <v>8640</v>
      </c>
      <c r="C11" s="52" t="s">
        <v>0</v>
      </c>
      <c r="D11" s="261"/>
      <c r="E11" s="47"/>
      <c r="F11" s="262"/>
      <c r="G11" s="138"/>
      <c r="H11" s="138"/>
      <c r="I11" s="138"/>
      <c r="J11" s="139"/>
      <c r="K11" s="23"/>
      <c r="L11" s="23"/>
      <c r="M11" s="225" t="s">
        <v>182</v>
      </c>
      <c r="N11" s="225"/>
      <c r="O11" s="227">
        <v>7</v>
      </c>
      <c r="P11" s="228">
        <v>4.5</v>
      </c>
      <c r="Q11" s="21">
        <f>IF($L$5=7,4.5,  0)</f>
        <v>0</v>
      </c>
      <c r="R11" s="21" t="str">
        <f>IF($L$5=7, "(* Titanium)", " ")</f>
        <v xml:space="preserve"> </v>
      </c>
    </row>
    <row r="12" spans="1:18" ht="20.25" customHeight="1" x14ac:dyDescent="0.25">
      <c r="A12" s="33" t="s">
        <v>138</v>
      </c>
      <c r="B12" s="171">
        <v>10000</v>
      </c>
      <c r="C12" s="41" t="s">
        <v>349</v>
      </c>
      <c r="D12" s="141" t="s">
        <v>350</v>
      </c>
      <c r="E12" s="40"/>
      <c r="F12" s="40"/>
      <c r="G12" s="40"/>
      <c r="H12" s="40"/>
      <c r="I12" s="40"/>
      <c r="J12" s="140"/>
      <c r="K12" s="13"/>
      <c r="L12" s="13"/>
      <c r="M12" s="13"/>
      <c r="N12" s="13"/>
    </row>
    <row r="13" spans="1:18" ht="20.25" customHeight="1" x14ac:dyDescent="0.35">
      <c r="A13" s="33" t="s">
        <v>158</v>
      </c>
      <c r="B13" s="239">
        <v>100</v>
      </c>
      <c r="C13" s="52" t="s">
        <v>137</v>
      </c>
      <c r="D13" s="141"/>
      <c r="E13" s="40"/>
      <c r="F13" s="40"/>
      <c r="G13" s="40"/>
      <c r="H13" s="40"/>
      <c r="I13" s="40"/>
      <c r="J13" s="140"/>
      <c r="K13" s="13"/>
      <c r="L13" s="13"/>
      <c r="M13" s="13" t="s">
        <v>187</v>
      </c>
      <c r="N13" s="13"/>
      <c r="P13" s="232">
        <f>SUM(Q5:Q11)</f>
        <v>1</v>
      </c>
    </row>
    <row r="14" spans="1:18" s="24" customFormat="1" ht="20.25" customHeight="1" x14ac:dyDescent="0.3">
      <c r="A14" s="20"/>
      <c r="B14" s="20"/>
      <c r="C14" s="20"/>
      <c r="D14" s="141"/>
      <c r="E14" s="27"/>
      <c r="F14" s="27"/>
      <c r="G14" s="27"/>
      <c r="H14" s="27"/>
      <c r="I14" s="27"/>
      <c r="J14" s="27"/>
      <c r="M14" s="12"/>
      <c r="N14" s="12"/>
      <c r="P14" s="312" t="str">
        <f>R5&amp;R6&amp;R7&amp;R8&amp;R9&amp;R10&amp;R11</f>
        <v xml:space="preserve"> (* Stainless Steel, 304)     </v>
      </c>
    </row>
    <row r="15" spans="1:18" s="24" customFormat="1" ht="20.25" customHeight="1" x14ac:dyDescent="0.3">
      <c r="A15" s="33" t="s">
        <v>135</v>
      </c>
      <c r="B15" s="172">
        <v>98</v>
      </c>
      <c r="C15" s="52" t="str">
        <f>"percent"&amp;(IF(B15=98, "*",""))</f>
        <v>percent*</v>
      </c>
      <c r="D15" s="141" t="str">
        <f>IF(B15=98,"* 98 percent is a default control efficiency. User should enter actual value, if known."," ")</f>
        <v>* 98 percent is a default control efficiency. User should enter actual value, if known.</v>
      </c>
      <c r="E15" s="27"/>
      <c r="F15" s="27"/>
      <c r="G15" s="27"/>
      <c r="H15" s="27"/>
      <c r="I15" s="27"/>
      <c r="J15" s="27"/>
      <c r="L15" s="24">
        <v>2</v>
      </c>
      <c r="M15" s="12" t="s">
        <v>317</v>
      </c>
      <c r="N15" s="12"/>
      <c r="P15" s="24" t="str">
        <f>IF(L15=1, "Not Applicable", IF(L15=2,"Horizontal", "Vertical"))</f>
        <v>Horizontal</v>
      </c>
    </row>
    <row r="16" spans="1:18" s="24" customFormat="1" ht="19.5" x14ac:dyDescent="0.35">
      <c r="A16" s="33" t="s">
        <v>141</v>
      </c>
      <c r="B16" s="173">
        <v>75</v>
      </c>
      <c r="C16" s="41" t="s">
        <v>140</v>
      </c>
      <c r="D16" s="141" t="str">
        <f>IF(B16=0.65,"* 0.65 Btu/lb-mole-°F is a default value. User should enter actual value, if known."," ")</f>
        <v xml:space="preserve"> </v>
      </c>
      <c r="E16" s="27"/>
      <c r="F16" s="27"/>
      <c r="G16" s="27"/>
      <c r="H16" s="27"/>
      <c r="I16" s="27"/>
      <c r="J16" s="27"/>
      <c r="M16" s="12" t="s">
        <v>208</v>
      </c>
      <c r="N16" s="12"/>
    </row>
    <row r="17" spans="1:16" s="24" customFormat="1" ht="20.25" customHeight="1" x14ac:dyDescent="0.3">
      <c r="A17" s="148" t="str">
        <f>"Estimated equipment life of"&amp;(IF(L1&gt;1," adsorber vessels and auxiliary Equipment (n)"," auxiliary Equipment (n)"))</f>
        <v>Estimated equipment life of adsorber vessels and auxiliary Equipment (n)</v>
      </c>
      <c r="B17" s="172">
        <v>15</v>
      </c>
      <c r="C17" s="52" t="str">
        <f>"Years"&amp;IF(B17=15,"*","")</f>
        <v>Years*</v>
      </c>
      <c r="D17" s="141" t="str">
        <f>IF(AND(B17=15,L1&gt;1),"* 15 years is a default equipment life. User should enter actual value, if known.",(IF(AND(B17=10,L1=1), "*10 years is a default equipment life. User should enter actual value , if known.")))</f>
        <v>* 15 years is a default equipment life. User should enter actual value, if known.</v>
      </c>
      <c r="E17" s="27"/>
      <c r="F17" s="27"/>
      <c r="G17" s="27"/>
      <c r="H17" s="27"/>
      <c r="I17" s="27"/>
      <c r="J17" s="27"/>
      <c r="M17" s="12" t="s">
        <v>209</v>
      </c>
      <c r="N17" s="12"/>
    </row>
    <row r="18" spans="1:16" s="24" customFormat="1" ht="18.75" x14ac:dyDescent="0.3">
      <c r="A18" s="33" t="s">
        <v>136</v>
      </c>
      <c r="B18" s="172">
        <v>5</v>
      </c>
      <c r="C18" s="52" t="s">
        <v>348</v>
      </c>
      <c r="D18" s="141"/>
      <c r="E18" s="27"/>
      <c r="F18" s="27"/>
      <c r="G18" s="27"/>
      <c r="H18" s="27"/>
      <c r="I18" s="27"/>
      <c r="J18" s="27"/>
      <c r="M18" s="12"/>
      <c r="N18" s="12"/>
    </row>
    <row r="19" spans="1:16" ht="19.5" x14ac:dyDescent="0.35">
      <c r="A19" s="40" t="s">
        <v>240</v>
      </c>
      <c r="B19" s="172">
        <v>3</v>
      </c>
      <c r="C19" s="251" t="str">
        <f>IF(B19=3,"Beds*", "Beds")</f>
        <v>Beds*</v>
      </c>
      <c r="D19" s="141" t="str">
        <f>IF(B19=3,"* 3 beds is the default. User should enter actual number of beds, if known."," ")</f>
        <v>* 3 beds is the default. User should enter actual number of beds, if known.</v>
      </c>
      <c r="E19" s="40"/>
      <c r="F19" s="40"/>
      <c r="G19" s="40"/>
      <c r="H19" s="40"/>
      <c r="I19" s="40"/>
      <c r="J19" s="40"/>
      <c r="L19" s="249">
        <v>2</v>
      </c>
      <c r="M19" s="21" t="s">
        <v>317</v>
      </c>
      <c r="P19" s="21" t="str">
        <f>IF(L19=2, "Continuous Operation", (IF(L19=3, "Intermittent Operation", "Not Applicable")))</f>
        <v>Continuous Operation</v>
      </c>
    </row>
    <row r="20" spans="1:16" ht="19.5" x14ac:dyDescent="0.35">
      <c r="A20" s="40" t="s">
        <v>241</v>
      </c>
      <c r="B20" s="172">
        <v>2</v>
      </c>
      <c r="C20" s="251" t="str">
        <f>IF(B20=2,"Beds*", "Beds")</f>
        <v>Beds*</v>
      </c>
      <c r="D20" s="141" t="str">
        <f>IF(B20=2,"* 2 beds is the default. User should enter actual number of beds, if known."," ")</f>
        <v>* 2 beds is the default. User should enter actual number of beds, if known.</v>
      </c>
      <c r="E20" s="40"/>
      <c r="F20" s="40"/>
      <c r="G20" s="40"/>
      <c r="H20" s="40"/>
      <c r="I20" s="40"/>
      <c r="J20" s="40"/>
      <c r="M20" s="249" t="s">
        <v>237</v>
      </c>
    </row>
    <row r="21" spans="1:16" ht="19.5" x14ac:dyDescent="0.35">
      <c r="A21" s="33" t="s">
        <v>319</v>
      </c>
      <c r="B21" s="171">
        <v>12</v>
      </c>
      <c r="C21" s="251" t="str">
        <f>IF(B21=12,"hours*", "hours")</f>
        <v>hours*</v>
      </c>
      <c r="D21" s="141" t="str">
        <f>IF(B21=12,"* 12 hours is a default value. User should enter actual value, if known."," ")</f>
        <v>* 12 hours is a default value. User should enter actual value, if known.</v>
      </c>
      <c r="E21" s="40"/>
      <c r="F21" s="40"/>
      <c r="G21" s="40"/>
      <c r="H21" s="40"/>
      <c r="I21" s="40"/>
      <c r="J21" s="40"/>
      <c r="M21" s="249" t="s">
        <v>238</v>
      </c>
    </row>
    <row r="22" spans="1:16" ht="19.5" x14ac:dyDescent="0.35">
      <c r="A22" s="33" t="s">
        <v>251</v>
      </c>
      <c r="B22" s="253">
        <v>5</v>
      </c>
      <c r="C22" s="251" t="str">
        <f>IF(B22=5,"hours*", "hours")</f>
        <v>hours*</v>
      </c>
      <c r="D22" s="141" t="str">
        <f>IF(B22=5,"* 5 hours is a default value. User should enter actual value, if known."," ")</f>
        <v>* 5 hours is a default value. User should enter actual value, if known.</v>
      </c>
      <c r="E22" s="40"/>
      <c r="F22" s="40"/>
      <c r="G22" s="40"/>
      <c r="H22" s="40"/>
      <c r="I22" s="40"/>
      <c r="J22" s="40"/>
      <c r="M22" s="249"/>
    </row>
    <row r="23" spans="1:16" s="24" customFormat="1" ht="18.75" x14ac:dyDescent="0.3">
      <c r="A23" s="47" t="s">
        <v>165</v>
      </c>
      <c r="B23" s="250">
        <v>379</v>
      </c>
      <c r="C23" s="41" t="str">
        <f>IF(B23=379,"lbs/hour*","lbs/hour")</f>
        <v>lbs/hour*</v>
      </c>
      <c r="D23" s="141" t="str">
        <f>IF(B23=379,"* 379 lbs./hour is a default value. User should enter actual value, if known."," ")</f>
        <v>* 379 lbs./hour is a default value. User should enter actual value, if known.</v>
      </c>
      <c r="E23" s="27"/>
      <c r="F23" s="27"/>
      <c r="G23" s="27"/>
      <c r="H23" s="27"/>
      <c r="I23" s="27"/>
      <c r="J23" s="27"/>
      <c r="N23" s="12"/>
    </row>
    <row r="24" spans="1:16" s="24" customFormat="1" ht="20.25" hidden="1" customHeight="1" x14ac:dyDescent="0.3">
      <c r="A24" s="33" t="s">
        <v>316</v>
      </c>
      <c r="B24" s="172">
        <v>3000</v>
      </c>
      <c r="C24" s="251" t="str">
        <f>IF(B24=3000,"lbs carbon per canister*", "lbs of carbon per canister")</f>
        <v>lbs carbon per canister*</v>
      </c>
      <c r="D24" s="141" t="str">
        <f>IF(B24=3000,"* 3000 lbs of carbon per canister is a default value. User should enter prefered canister size, if known."," ")</f>
        <v>* 3000 lbs of carbon per canister is a default value. User should enter prefered canister size, if known.</v>
      </c>
      <c r="E24" s="27"/>
      <c r="F24" s="27"/>
      <c r="G24" s="27"/>
      <c r="H24" s="27"/>
      <c r="I24" s="27"/>
      <c r="J24" s="27"/>
      <c r="M24" s="12"/>
      <c r="N24" s="12"/>
    </row>
    <row r="25" spans="1:16" s="137" customFormat="1" ht="19.5" hidden="1" x14ac:dyDescent="0.35">
      <c r="A25" s="47" t="s">
        <v>331</v>
      </c>
      <c r="B25" s="172">
        <v>4380</v>
      </c>
      <c r="C25" s="277" t="s">
        <v>142</v>
      </c>
      <c r="D25" s="265"/>
      <c r="E25" s="265"/>
      <c r="F25" s="265"/>
      <c r="G25" s="265"/>
      <c r="H25" s="265"/>
      <c r="I25" s="265"/>
      <c r="J25" s="265"/>
      <c r="M25" s="313"/>
      <c r="N25" s="313"/>
    </row>
    <row r="26" spans="1:16" s="24" customFormat="1" ht="20.25" customHeight="1" x14ac:dyDescent="0.3">
      <c r="A26" s="93"/>
      <c r="M26" s="12"/>
      <c r="N26" s="12"/>
    </row>
    <row r="27" spans="1:16" ht="18.75" x14ac:dyDescent="0.3">
      <c r="A27" s="71" t="s">
        <v>97</v>
      </c>
      <c r="B27" s="71"/>
      <c r="C27" s="71"/>
      <c r="D27" s="71"/>
      <c r="E27" s="71"/>
      <c r="F27" s="71"/>
      <c r="G27" s="71"/>
      <c r="H27" s="71"/>
      <c r="I27" s="71"/>
      <c r="J27" s="71"/>
    </row>
    <row r="29" spans="1:16" ht="28.5" customHeight="1" x14ac:dyDescent="0.25">
      <c r="A29" s="49" t="s">
        <v>98</v>
      </c>
      <c r="B29" s="248" t="s">
        <v>94</v>
      </c>
      <c r="C29" s="47"/>
      <c r="D29" s="33"/>
      <c r="E29" s="40"/>
      <c r="F29" s="34"/>
      <c r="G29" s="34"/>
      <c r="H29" s="34"/>
      <c r="I29" s="34"/>
      <c r="J29" s="34"/>
      <c r="K29" s="143"/>
      <c r="L29" s="143"/>
      <c r="M29" s="143"/>
      <c r="N29" s="143"/>
    </row>
    <row r="30" spans="1:16" s="24" customFormat="1" ht="20.25" customHeight="1" x14ac:dyDescent="0.3">
      <c r="A30" s="33" t="str">
        <f>"Partial Pressure of "&amp;B29&amp;" in waste gas stream"</f>
        <v>Partial Pressure of Toluene in waste gas stream</v>
      </c>
      <c r="B30" s="172">
        <v>1.04E-2</v>
      </c>
      <c r="C30" s="52" t="s">
        <v>139</v>
      </c>
      <c r="D30" s="141"/>
      <c r="E30" s="27"/>
      <c r="F30" s="27"/>
      <c r="G30" s="27"/>
      <c r="H30" s="27"/>
      <c r="I30" s="27"/>
      <c r="J30" s="27"/>
      <c r="M30" s="12"/>
      <c r="N30" s="12"/>
    </row>
    <row r="31" spans="1:16" ht="15.75" x14ac:dyDescent="0.25">
      <c r="A31" s="263" t="str">
        <f>"Parameter ""k"" for "&amp;B29</f>
        <v>Parameter "k" for Toluene</v>
      </c>
      <c r="B31" s="172">
        <v>0.55100000000000005</v>
      </c>
      <c r="C31" s="240" t="s">
        <v>95</v>
      </c>
      <c r="D31" s="47"/>
      <c r="E31" s="181"/>
      <c r="F31" s="181"/>
      <c r="G31" s="181"/>
      <c r="H31" s="34"/>
      <c r="I31" s="34"/>
      <c r="J31" s="34"/>
      <c r="K31" s="143"/>
      <c r="L31" s="143"/>
      <c r="M31" s="143"/>
      <c r="N31" s="143"/>
    </row>
    <row r="32" spans="1:16" ht="30" x14ac:dyDescent="0.25">
      <c r="A32" s="263" t="str">
        <f>"Parameter ""m"" for "&amp;B29</f>
        <v>Parameter "m" for Toluene</v>
      </c>
      <c r="B32" s="239">
        <v>0.11</v>
      </c>
      <c r="C32" s="241" t="s">
        <v>270</v>
      </c>
      <c r="D32" s="47"/>
      <c r="E32" s="181"/>
      <c r="F32" s="181"/>
      <c r="G32" s="181"/>
      <c r="H32" s="34"/>
      <c r="I32" s="34"/>
      <c r="J32" s="34"/>
      <c r="K32" s="143"/>
      <c r="L32" s="143"/>
      <c r="M32" s="143"/>
      <c r="N32" s="143"/>
    </row>
    <row r="33" spans="1:14" s="24" customFormat="1" ht="20.25" customHeight="1" x14ac:dyDescent="0.3">
      <c r="A33" s="137"/>
      <c r="B33" s="142"/>
      <c r="C33" s="137"/>
      <c r="M33" s="12"/>
      <c r="N33" s="12"/>
    </row>
    <row r="34" spans="1:14" ht="18.75" x14ac:dyDescent="0.3">
      <c r="A34" s="71" t="s">
        <v>121</v>
      </c>
      <c r="B34" s="71"/>
      <c r="C34" s="71"/>
      <c r="D34" s="71"/>
      <c r="E34" s="71"/>
      <c r="F34" s="71"/>
      <c r="G34" s="71"/>
      <c r="H34" s="71"/>
      <c r="I34" s="71"/>
      <c r="J34" s="71"/>
    </row>
    <row r="35" spans="1:14" ht="18.75" x14ac:dyDescent="0.3">
      <c r="A35" s="134"/>
      <c r="B35" s="134"/>
      <c r="C35" s="134"/>
      <c r="D35" s="134"/>
      <c r="E35" s="134"/>
      <c r="F35" s="134"/>
      <c r="G35" s="134"/>
      <c r="H35" s="134"/>
      <c r="I35" s="134"/>
      <c r="J35" s="134"/>
    </row>
    <row r="36" spans="1:14" ht="32.25" customHeight="1" x14ac:dyDescent="0.25">
      <c r="A36" s="33" t="s">
        <v>49</v>
      </c>
      <c r="B36" s="178">
        <v>2018</v>
      </c>
      <c r="C36" s="47"/>
      <c r="D36" s="47"/>
      <c r="E36" s="47"/>
      <c r="F36" s="47"/>
      <c r="G36" s="40"/>
      <c r="H36" s="40"/>
      <c r="I36" s="40"/>
      <c r="J36" s="40"/>
      <c r="M36" s="30"/>
      <c r="N36" s="30"/>
    </row>
    <row r="37" spans="1:14" ht="20.25" customHeight="1" x14ac:dyDescent="0.25">
      <c r="A37" s="47" t="str">
        <f>"CEPCI* for " &amp; B36</f>
        <v>CEPCI* for 2018</v>
      </c>
      <c r="B37" s="178">
        <v>567.5</v>
      </c>
      <c r="C37" s="57" t="str">
        <f>"CEPCI value for "&amp;B36</f>
        <v>CEPCI value for 2018</v>
      </c>
      <c r="D37" s="53"/>
      <c r="E37" s="202">
        <v>390.6</v>
      </c>
      <c r="F37" s="203">
        <v>1999</v>
      </c>
      <c r="G37" s="40"/>
      <c r="H37" s="40"/>
      <c r="I37" s="40"/>
      <c r="J37" s="40"/>
      <c r="M37" s="30"/>
      <c r="N37" s="30"/>
    </row>
    <row r="38" spans="1:14" ht="15.75" x14ac:dyDescent="0.25">
      <c r="A38" s="47" t="s">
        <v>26</v>
      </c>
      <c r="B38" s="172">
        <v>5</v>
      </c>
      <c r="C38" s="170" t="str">
        <f>(IF(B38&lt;&gt;5,"percent (Current bank prime rate)","percent*"))</f>
        <v>percent*</v>
      </c>
      <c r="D38" s="350" t="str">
        <f>IF(B38=5,"* 5 percent is a default value. User should enter current prime bank rate.", "")</f>
        <v>* 5 percent is a default value. User should enter current prime bank rate.</v>
      </c>
      <c r="E38" s="351"/>
      <c r="F38" s="351"/>
      <c r="G38" s="351"/>
      <c r="H38" s="351"/>
      <c r="I38" s="351"/>
      <c r="J38" s="150"/>
      <c r="K38" s="30"/>
      <c r="L38" s="30"/>
      <c r="M38" s="30"/>
      <c r="N38" s="30"/>
    </row>
    <row r="39" spans="1:14" x14ac:dyDescent="0.25">
      <c r="A39" s="40"/>
      <c r="B39" s="40"/>
      <c r="C39" s="40"/>
      <c r="D39" s="40"/>
      <c r="E39" s="40"/>
      <c r="F39" s="40"/>
      <c r="G39" s="40"/>
      <c r="H39" s="40"/>
      <c r="I39" s="40"/>
      <c r="J39" s="40"/>
    </row>
    <row r="40" spans="1:14" ht="48.75" customHeight="1" x14ac:dyDescent="0.25">
      <c r="A40" s="359" t="s">
        <v>99</v>
      </c>
      <c r="B40" s="359"/>
      <c r="C40" s="359"/>
      <c r="D40" s="359"/>
      <c r="E40" s="359"/>
      <c r="F40" s="359"/>
      <c r="G40" s="359"/>
    </row>
    <row r="41" spans="1:14" ht="21" customHeight="1" x14ac:dyDescent="0.25">
      <c r="A41" s="305"/>
      <c r="B41" s="304"/>
      <c r="C41" s="304"/>
      <c r="D41" s="304"/>
      <c r="E41" s="304"/>
      <c r="F41" s="304"/>
    </row>
    <row r="42" spans="1:14" ht="18.75" hidden="1" x14ac:dyDescent="0.3">
      <c r="A42" s="33" t="s">
        <v>294</v>
      </c>
      <c r="B42" s="302">
        <v>13400</v>
      </c>
      <c r="C42" s="277" t="str">
        <f>"per canister (in "&amp;B36&amp;" dollars)"</f>
        <v>per canister (in 2018 dollars)</v>
      </c>
      <c r="D42" s="31" t="s">
        <v>295</v>
      </c>
      <c r="E42" s="24"/>
      <c r="F42" s="24"/>
    </row>
    <row r="43" spans="1:14" ht="18.75" x14ac:dyDescent="0.35">
      <c r="A43" s="47" t="s">
        <v>131</v>
      </c>
      <c r="B43" s="174">
        <v>6.7599999999999993E-2</v>
      </c>
      <c r="C43" s="133" t="str">
        <f>"per kWh"&amp;IF(B43=0.0676, "*","")</f>
        <v>per kWh*</v>
      </c>
      <c r="D43" s="145" t="str">
        <f>IF(B43=0.0676,"* $0.0676/kWh is a default value. User should enter actual value, if known.","")</f>
        <v>* $0.0676/kWh is a default value. User should enter actual value, if known.</v>
      </c>
      <c r="E43" s="146"/>
      <c r="F43" s="146"/>
      <c r="G43" s="146"/>
      <c r="H43" s="146"/>
      <c r="I43" s="146"/>
      <c r="J43" s="146"/>
    </row>
    <row r="44" spans="1:14" ht="18.75" x14ac:dyDescent="0.35">
      <c r="A44" s="47" t="s">
        <v>129</v>
      </c>
      <c r="B44" s="204">
        <v>5</v>
      </c>
      <c r="C44" s="133" t="str">
        <f>"per 1,000 lbs"&amp;IF(B44=5, "*","")</f>
        <v>per 1,000 lbs*</v>
      </c>
      <c r="D44" s="145" t="str">
        <f>IF(B44=5,"* $5.00/1,000 lbs is a default value. User should enter actual value, if known.","")</f>
        <v>* $5.00/1,000 lbs is a default value. User should enter actual value, if known.</v>
      </c>
      <c r="E44" s="146"/>
      <c r="F44" s="146"/>
      <c r="G44" s="146"/>
      <c r="H44" s="146"/>
      <c r="I44" s="146"/>
      <c r="J44" s="146"/>
    </row>
    <row r="45" spans="1:14" ht="18.75" x14ac:dyDescent="0.35">
      <c r="A45" s="47" t="s">
        <v>130</v>
      </c>
      <c r="B45" s="205">
        <v>3.55</v>
      </c>
      <c r="C45" s="133" t="str">
        <f>"per 1,000 gallons of water"&amp;IF(B45=3.55, "*","")</f>
        <v>per 1,000 gallons of water*</v>
      </c>
      <c r="D45" s="145" t="str">
        <f>IF(B45=3.55,"* $3.55/1,000 gallons is a default value. User should enter actual value, if known.","")</f>
        <v>* $3.55/1,000 gallons is a default value. User should enter actual value, if known.</v>
      </c>
      <c r="E45" s="146"/>
      <c r="F45" s="146"/>
      <c r="G45" s="146"/>
      <c r="H45" s="146"/>
      <c r="I45" s="146"/>
      <c r="J45" s="146"/>
    </row>
    <row r="46" spans="1:14" ht="15.75" x14ac:dyDescent="0.25">
      <c r="A46" s="33" t="s">
        <v>33</v>
      </c>
      <c r="B46" s="175">
        <v>27.48</v>
      </c>
      <c r="C46" s="53" t="str">
        <f>"per hour"&amp;IF(B46=27.48,"*","")</f>
        <v>per hour*</v>
      </c>
      <c r="D46" s="145" t="str">
        <f>IF(B46=27.48,"* $27.48/hour is a default value. User should enter actual value, if known.","")</f>
        <v>* $27.48/hour is a default value. User should enter actual value, if known.</v>
      </c>
      <c r="E46" s="146"/>
      <c r="F46" s="146"/>
      <c r="G46" s="146"/>
      <c r="H46" s="146"/>
      <c r="I46" s="146"/>
      <c r="J46" s="146"/>
    </row>
    <row r="47" spans="1:14" ht="15.75" x14ac:dyDescent="0.25">
      <c r="A47" s="33" t="s">
        <v>72</v>
      </c>
      <c r="B47" s="175">
        <v>30.23</v>
      </c>
      <c r="C47" s="53" t="str">
        <f>"per hour"&amp;IF(B47=30.23,"*","")</f>
        <v>per hour*</v>
      </c>
      <c r="D47" s="145" t="str">
        <f>IF(B47=30.23,"* $30.23/hour is a default value. User should enter actual value, if known. If the rate is not known, use 1.10 x operator labor rate.","")</f>
        <v>* $30.23/hour is a default value. User should enter actual value, if known. If the rate is not known, use 1.10 x operator labor rate.</v>
      </c>
      <c r="E47" s="146"/>
      <c r="F47" s="146"/>
      <c r="G47" s="146"/>
      <c r="H47" s="146"/>
      <c r="I47" s="146"/>
      <c r="J47" s="146"/>
    </row>
    <row r="48" spans="1:14" ht="15.75" x14ac:dyDescent="0.25">
      <c r="A48" s="33" t="s">
        <v>117</v>
      </c>
      <c r="B48" s="175">
        <v>4.2</v>
      </c>
      <c r="C48" s="53" t="str">
        <f>"per lb"&amp;IF(B48=1.9,"*","")</f>
        <v>per lb</v>
      </c>
      <c r="D48" s="145" t="str">
        <f>IF(B48=4.2,"* $4.20/lb is a default value based on 2018 market price. User should enter actual value, if known.","")</f>
        <v>* $4.20/lb is a default value based on 2018 market price. User should enter actual value, if known.</v>
      </c>
      <c r="E48" s="40"/>
      <c r="F48" s="40"/>
      <c r="G48" s="40"/>
      <c r="H48" s="40"/>
      <c r="I48" s="40"/>
      <c r="J48" s="40"/>
    </row>
    <row r="49" spans="1:14" x14ac:dyDescent="0.25">
      <c r="A49" s="40"/>
      <c r="B49" s="40"/>
      <c r="C49" s="40"/>
      <c r="D49" s="40"/>
      <c r="E49" s="40"/>
      <c r="F49" s="40"/>
      <c r="G49" s="40"/>
      <c r="H49" s="40"/>
      <c r="I49" s="40"/>
      <c r="J49" s="40"/>
    </row>
    <row r="50" spans="1:14" ht="18.75" x14ac:dyDescent="0.35">
      <c r="A50" s="33" t="s">
        <v>133</v>
      </c>
      <c r="B50" s="175">
        <v>0.33</v>
      </c>
      <c r="C50" s="53" t="str">
        <f>"per lb"&amp;IF(B50=0.33,"*","")</f>
        <v>per lb*</v>
      </c>
      <c r="D50" s="350" t="str">
        <f>IF(B50=0.33,"* $0.33/lb is a default value for recovered toluene based on 2018 data. User should enter actual value of recovered VOC/HAP, if known. Enter zero if the recovered VOC/HAP cannot be sold or re-used onsite.","")</f>
        <v>* $0.33/lb is a default value for recovered toluene based on 2018 data. User should enter actual value of recovered VOC/HAP, if known. Enter zero if the recovered VOC/HAP cannot be sold or re-used onsite.</v>
      </c>
      <c r="E50" s="351"/>
      <c r="F50" s="351"/>
      <c r="G50" s="351"/>
      <c r="H50" s="351"/>
      <c r="I50" s="351"/>
      <c r="J50" s="194"/>
    </row>
    <row r="51" spans="1:14" ht="18.75" x14ac:dyDescent="0.35">
      <c r="A51" s="33" t="s">
        <v>134</v>
      </c>
      <c r="B51" s="175">
        <v>0</v>
      </c>
      <c r="C51" s="53" t="str">
        <f>"per lb"&amp;IF(B51=0,"*","")</f>
        <v>per lb*</v>
      </c>
      <c r="D51" s="350" t="str">
        <f>IF(B51=0,"* $0/lb is a default value for disposal and/or treatment of recovered VOC/HAP. User should enter actual value,  if known. Enter zero if the recovered VOC/HAP can be sold or re-used onsite without additional treatment.","")</f>
        <v>* $0/lb is a default value for disposal and/or treatment of recovered VOC/HAP. User should enter actual value,  if known. Enter zero if the recovered VOC/HAP can be sold or re-used onsite without additional treatment.</v>
      </c>
      <c r="E51" s="351"/>
      <c r="F51" s="351"/>
      <c r="G51" s="351"/>
      <c r="H51" s="351"/>
      <c r="I51" s="351"/>
      <c r="J51" s="194"/>
    </row>
    <row r="52" spans="1:14" ht="15.75" customHeight="1" x14ac:dyDescent="0.25">
      <c r="A52" s="33"/>
      <c r="B52" s="190"/>
      <c r="C52" s="47"/>
      <c r="D52" s="149"/>
      <c r="E52" s="146"/>
      <c r="F52" s="146"/>
      <c r="G52" s="146"/>
      <c r="H52" s="146"/>
      <c r="I52" s="146"/>
      <c r="J52" s="146"/>
    </row>
    <row r="53" spans="1:14" ht="15.75" x14ac:dyDescent="0.25">
      <c r="A53" s="33" t="s">
        <v>48</v>
      </c>
      <c r="B53" s="33"/>
      <c r="C53" s="40"/>
      <c r="D53" s="40"/>
      <c r="E53" s="40"/>
      <c r="F53" s="40"/>
      <c r="G53" s="40"/>
      <c r="H53" s="40"/>
      <c r="I53" s="40"/>
      <c r="J53" s="40"/>
    </row>
    <row r="54" spans="1:14" ht="15.75" x14ac:dyDescent="0.25">
      <c r="A54" s="147" t="s">
        <v>7</v>
      </c>
      <c r="B54" s="176">
        <v>0</v>
      </c>
      <c r="C54" s="145" t="str">
        <f>IF(B54=0, "* Default value. User should enter actual value, if known."," ")</f>
        <v>* Default value. User should enter actual value, if known.</v>
      </c>
      <c r="D54" s="149"/>
      <c r="E54" s="149"/>
      <c r="F54" s="149"/>
      <c r="G54" s="149"/>
      <c r="H54" s="149"/>
      <c r="I54" s="149"/>
      <c r="J54" s="40"/>
    </row>
    <row r="55" spans="1:14" ht="15.75" x14ac:dyDescent="0.25">
      <c r="A55" s="147" t="s">
        <v>8</v>
      </c>
      <c r="B55" s="177">
        <v>0</v>
      </c>
      <c r="C55" s="145" t="str">
        <f t="shared" ref="C55" si="0">IF(B55=0, "* Default value. User should enter actual value, if known."," ")</f>
        <v>* Default value. User should enter actual value, if known.</v>
      </c>
      <c r="D55" s="149"/>
      <c r="E55" s="149"/>
      <c r="F55" s="149"/>
      <c r="G55" s="149"/>
      <c r="H55" s="149"/>
      <c r="I55" s="149"/>
      <c r="J55" s="40"/>
    </row>
    <row r="56" spans="1:14" ht="36" customHeight="1" x14ac:dyDescent="0.35">
      <c r="A56" s="148" t="s">
        <v>168</v>
      </c>
      <c r="B56" s="176">
        <v>32000</v>
      </c>
      <c r="C56" s="145" t="str">
        <f>IF(OR(B56=32000,B56=2000), "* Default value. User should enter actual value, if known."," ")</f>
        <v>* Default value. User should enter actual value, if known.</v>
      </c>
      <c r="D56" s="149"/>
      <c r="E56" s="149"/>
      <c r="F56" s="149"/>
      <c r="G56" s="149"/>
      <c r="H56" s="149"/>
      <c r="I56" s="149"/>
      <c r="J56" s="40"/>
    </row>
    <row r="57" spans="1:14" ht="17.25" customHeight="1" x14ac:dyDescent="0.3">
      <c r="A57" s="33" t="s">
        <v>100</v>
      </c>
      <c r="B57" s="179">
        <v>10</v>
      </c>
      <c r="C57" s="53" t="str">
        <f>"percent"&amp;IF(B57=10,"*","")</f>
        <v>percent*</v>
      </c>
      <c r="D57" s="145" t="str">
        <f>IF(B57=10,"* 10 percent is a default value. The contingency factor should be between 5 and 15 percent.","")</f>
        <v>* 10 percent is a default value. The contingency factor should be between 5 and 15 percent.</v>
      </c>
      <c r="E57" s="40"/>
      <c r="F57" s="40"/>
      <c r="G57" s="40"/>
      <c r="H57" s="40"/>
      <c r="I57" s="40"/>
      <c r="J57" s="151"/>
      <c r="K57" s="25"/>
      <c r="L57" s="25"/>
    </row>
    <row r="58" spans="1:14" s="144" customFormat="1" ht="15.75" x14ac:dyDescent="0.25">
      <c r="A58" s="55"/>
      <c r="B58" s="56"/>
      <c r="C58" s="54"/>
      <c r="D58" s="54"/>
      <c r="E58" s="54"/>
      <c r="F58" s="54"/>
      <c r="G58" s="54"/>
      <c r="H58" s="54"/>
      <c r="I58" s="54"/>
      <c r="J58" s="34"/>
      <c r="K58" s="143"/>
      <c r="L58" s="143"/>
      <c r="M58" s="143"/>
      <c r="N58" s="143"/>
    </row>
    <row r="60" spans="1:14" s="4" customFormat="1" ht="18.75" x14ac:dyDescent="0.3">
      <c r="A60" s="71" t="s">
        <v>61</v>
      </c>
      <c r="B60" s="71"/>
      <c r="C60" s="71"/>
      <c r="D60" s="71"/>
      <c r="E60" s="71"/>
      <c r="F60" s="71"/>
      <c r="G60" s="71"/>
      <c r="H60" s="71"/>
      <c r="I60" s="71"/>
      <c r="J60" s="71"/>
      <c r="K60" s="134"/>
      <c r="L60" s="134"/>
      <c r="M60" s="134"/>
      <c r="N60" s="134"/>
    </row>
    <row r="61" spans="1:14" customFormat="1" ht="16.5" customHeight="1" x14ac:dyDescent="0.25">
      <c r="A61" s="21"/>
      <c r="B61" s="21"/>
      <c r="C61" s="21"/>
      <c r="D61" s="21"/>
      <c r="E61" s="21"/>
      <c r="F61" s="21"/>
      <c r="G61" s="21"/>
      <c r="H61" s="21"/>
      <c r="I61" s="21"/>
      <c r="J61" s="21"/>
      <c r="K61" s="21"/>
      <c r="L61" s="13"/>
      <c r="M61" s="13"/>
      <c r="N61" s="13"/>
    </row>
    <row r="62" spans="1:14" customFormat="1" ht="47.25" customHeight="1" x14ac:dyDescent="0.25">
      <c r="A62" s="124" t="s">
        <v>62</v>
      </c>
      <c r="B62" s="125" t="s">
        <v>63</v>
      </c>
      <c r="C62" s="369" t="s">
        <v>64</v>
      </c>
      <c r="D62" s="370"/>
      <c r="E62" s="363" t="s">
        <v>73</v>
      </c>
      <c r="F62" s="364"/>
      <c r="G62" s="364"/>
      <c r="H62" s="364"/>
      <c r="I62" s="365"/>
      <c r="J62" s="126" t="s">
        <v>65</v>
      </c>
      <c r="K62" s="21"/>
      <c r="L62" s="21"/>
      <c r="M62" s="21"/>
      <c r="N62" s="21"/>
    </row>
    <row r="63" spans="1:14" customFormat="1" ht="70.5" customHeight="1" x14ac:dyDescent="0.25">
      <c r="A63" s="189" t="s">
        <v>109</v>
      </c>
      <c r="B63" s="193">
        <v>1.9</v>
      </c>
      <c r="C63" s="352" t="s">
        <v>110</v>
      </c>
      <c r="D63" s="353"/>
      <c r="E63" s="356" t="s">
        <v>66</v>
      </c>
      <c r="F63" s="357"/>
      <c r="G63" s="357"/>
      <c r="H63" s="357"/>
      <c r="I63" s="358"/>
      <c r="J63" s="128" t="s">
        <v>113</v>
      </c>
      <c r="K63" s="21"/>
      <c r="L63" s="21"/>
      <c r="M63" s="21"/>
      <c r="N63" s="21"/>
    </row>
    <row r="64" spans="1:14" customFormat="1" ht="60" x14ac:dyDescent="0.25">
      <c r="A64" s="131" t="s">
        <v>70</v>
      </c>
      <c r="B64" s="206">
        <v>27.48</v>
      </c>
      <c r="C64" s="354" t="s">
        <v>105</v>
      </c>
      <c r="D64" s="355"/>
      <c r="E64" s="360" t="s">
        <v>66</v>
      </c>
      <c r="F64" s="361"/>
      <c r="G64" s="361"/>
      <c r="H64" s="361"/>
      <c r="I64" s="362"/>
      <c r="J64" s="129" t="s">
        <v>115</v>
      </c>
      <c r="K64" s="21"/>
      <c r="L64" s="21"/>
      <c r="M64" s="21"/>
      <c r="N64" s="21"/>
    </row>
    <row r="65" spans="1:14" customFormat="1" ht="107.25" customHeight="1" x14ac:dyDescent="0.25">
      <c r="A65" s="311" t="s">
        <v>71</v>
      </c>
      <c r="B65" s="206">
        <v>30.23</v>
      </c>
      <c r="C65" s="354" t="s">
        <v>273</v>
      </c>
      <c r="D65" s="355"/>
      <c r="E65" s="360" t="s">
        <v>66</v>
      </c>
      <c r="F65" s="361"/>
      <c r="G65" s="361"/>
      <c r="H65" s="361"/>
      <c r="I65" s="362"/>
      <c r="J65" s="129" t="s">
        <v>120</v>
      </c>
      <c r="K65" s="21"/>
      <c r="L65" s="21"/>
      <c r="M65" s="21"/>
      <c r="N65" s="21"/>
    </row>
    <row r="66" spans="1:14" customFormat="1" ht="74.25" customHeight="1" x14ac:dyDescent="0.25">
      <c r="A66" s="130" t="s">
        <v>88</v>
      </c>
      <c r="B66" s="193">
        <v>0.33</v>
      </c>
      <c r="C66" s="352" t="s">
        <v>116</v>
      </c>
      <c r="D66" s="353"/>
      <c r="E66" s="360" t="s">
        <v>66</v>
      </c>
      <c r="F66" s="361"/>
      <c r="G66" s="361"/>
      <c r="H66" s="361"/>
      <c r="I66" s="362"/>
      <c r="J66" s="128" t="s">
        <v>67</v>
      </c>
      <c r="K66" s="21"/>
      <c r="L66" s="21"/>
      <c r="M66" s="21"/>
      <c r="N66" s="21"/>
    </row>
    <row r="67" spans="1:14" customFormat="1" ht="70.5" customHeight="1" x14ac:dyDescent="0.25">
      <c r="A67" s="192" t="s">
        <v>111</v>
      </c>
      <c r="B67" s="193">
        <v>0</v>
      </c>
      <c r="C67" s="352" t="s">
        <v>112</v>
      </c>
      <c r="D67" s="353"/>
      <c r="E67" s="366" t="s">
        <v>66</v>
      </c>
      <c r="F67" s="367"/>
      <c r="G67" s="367"/>
      <c r="H67" s="367"/>
      <c r="I67" s="368"/>
      <c r="J67" s="129" t="s">
        <v>114</v>
      </c>
      <c r="K67" s="21"/>
      <c r="L67" s="21"/>
      <c r="M67" s="21"/>
      <c r="N67" s="21"/>
    </row>
    <row r="68" spans="1:14" customFormat="1" ht="132" customHeight="1" x14ac:dyDescent="0.25">
      <c r="A68" s="192" t="s">
        <v>122</v>
      </c>
      <c r="B68" s="193">
        <v>5</v>
      </c>
      <c r="C68" s="352" t="s">
        <v>123</v>
      </c>
      <c r="D68" s="353"/>
      <c r="E68" s="366" t="s">
        <v>66</v>
      </c>
      <c r="F68" s="367"/>
      <c r="G68" s="367"/>
      <c r="H68" s="367"/>
      <c r="I68" s="368"/>
      <c r="J68" s="129" t="s">
        <v>124</v>
      </c>
      <c r="K68" s="21"/>
      <c r="L68" s="21"/>
      <c r="M68" s="21"/>
      <c r="N68" s="21"/>
    </row>
    <row r="69" spans="1:14" customFormat="1" ht="120" x14ac:dyDescent="0.25">
      <c r="A69" s="192" t="s">
        <v>126</v>
      </c>
      <c r="B69" s="193">
        <v>3.55</v>
      </c>
      <c r="C69" s="352" t="s">
        <v>125</v>
      </c>
      <c r="D69" s="353"/>
      <c r="E69" s="366" t="s">
        <v>66</v>
      </c>
      <c r="F69" s="367"/>
      <c r="G69" s="367"/>
      <c r="H69" s="367"/>
      <c r="I69" s="368"/>
      <c r="J69" s="129" t="s">
        <v>124</v>
      </c>
      <c r="K69" s="21"/>
      <c r="L69" s="21"/>
      <c r="M69" s="21"/>
      <c r="N69" s="21"/>
    </row>
    <row r="70" spans="1:14" customFormat="1" ht="70.5" customHeight="1" x14ac:dyDescent="0.25">
      <c r="A70" s="127" t="s">
        <v>68</v>
      </c>
      <c r="B70" s="193">
        <v>6.7599999999999993E-2</v>
      </c>
      <c r="C70" s="352" t="s">
        <v>108</v>
      </c>
      <c r="D70" s="353"/>
      <c r="E70" s="360" t="s">
        <v>66</v>
      </c>
      <c r="F70" s="361"/>
      <c r="G70" s="361"/>
      <c r="H70" s="361"/>
      <c r="I70" s="362"/>
      <c r="J70" s="129" t="s">
        <v>69</v>
      </c>
      <c r="K70" s="21"/>
      <c r="L70" s="21"/>
      <c r="M70" s="21"/>
      <c r="N70" s="21"/>
    </row>
  </sheetData>
  <mergeCells count="22">
    <mergeCell ref="D51:I51"/>
    <mergeCell ref="C68:D68"/>
    <mergeCell ref="E68:I68"/>
    <mergeCell ref="C65:D65"/>
    <mergeCell ref="C66:D66"/>
    <mergeCell ref="C62:D62"/>
    <mergeCell ref="D38:I38"/>
    <mergeCell ref="C70:D70"/>
    <mergeCell ref="C64:D64"/>
    <mergeCell ref="C63:D63"/>
    <mergeCell ref="E63:I63"/>
    <mergeCell ref="A40:G40"/>
    <mergeCell ref="E70:I70"/>
    <mergeCell ref="E64:I64"/>
    <mergeCell ref="E65:I65"/>
    <mergeCell ref="E66:I66"/>
    <mergeCell ref="E62:I62"/>
    <mergeCell ref="C69:D69"/>
    <mergeCell ref="E69:I69"/>
    <mergeCell ref="C67:D67"/>
    <mergeCell ref="E67:I67"/>
    <mergeCell ref="D50:I50"/>
  </mergeCells>
  <dataValidations count="2">
    <dataValidation type="decimal" allowBlank="1" showInputMessage="1" showErrorMessage="1" prompt="Value must be between 0 and 100. Typical efficiency is 98%" sqref="B15" xr:uid="{00000000-0002-0000-0100-000000000000}">
      <formula1>0</formula1>
      <formula2>100</formula2>
    </dataValidation>
    <dataValidation type="decimal" operator="greaterThan" allowBlank="1" showInputMessage="1" showErrorMessage="1" sqref="B38" xr:uid="{00000000-0002-0000-0100-000001000000}">
      <formula1>0</formula1>
    </dataValidation>
  </dataValidations>
  <pageMargins left="0.7" right="0.7" top="0.75" bottom="0.75" header="0.3" footer="0.3"/>
  <pageSetup orientation="portrait" r:id="rId1"/>
  <ignoredErrors>
    <ignoredError sqref="C21"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073" r:id="rId4" name="Drop Down 1">
              <controlPr defaultSize="0" autoLine="0" autoPict="0" macro="[0]!DropDown1_Change">
                <anchor moveWithCells="1">
                  <from>
                    <xdr:col>2</xdr:col>
                    <xdr:colOff>962025</xdr:colOff>
                    <xdr:row>1</xdr:row>
                    <xdr:rowOff>85725</xdr:rowOff>
                  </from>
                  <to>
                    <xdr:col>3</xdr:col>
                    <xdr:colOff>1714500</xdr:colOff>
                    <xdr:row>2</xdr:row>
                    <xdr:rowOff>104775</xdr:rowOff>
                  </to>
                </anchor>
              </controlPr>
            </control>
          </mc:Choice>
        </mc:AlternateContent>
        <mc:AlternateContent xmlns:mc="http://schemas.openxmlformats.org/markup-compatibility/2006">
          <mc:Choice Requires="x14">
            <control shapeId="3075" r:id="rId5" name="Button 3">
              <controlPr defaultSize="0" print="0" autoFill="0" autoPict="0" macro="[0]!Reset">
                <anchor moveWithCells="1">
                  <from>
                    <xdr:col>6</xdr:col>
                    <xdr:colOff>257175</xdr:colOff>
                    <xdr:row>1</xdr:row>
                    <xdr:rowOff>257175</xdr:rowOff>
                  </from>
                  <to>
                    <xdr:col>7</xdr:col>
                    <xdr:colOff>304800</xdr:colOff>
                    <xdr:row>3</xdr:row>
                    <xdr:rowOff>9525</xdr:rowOff>
                  </to>
                </anchor>
              </controlPr>
            </control>
          </mc:Choice>
        </mc:AlternateContent>
        <mc:AlternateContent xmlns:mc="http://schemas.openxmlformats.org/markup-compatibility/2006">
          <mc:Choice Requires="x14">
            <control shapeId="3078" r:id="rId6" name="Drop Down 6">
              <controlPr defaultSize="0" autoLine="0" autoPict="0" macro="[0]!Fab_Factor">
                <anchor moveWithCells="1">
                  <from>
                    <xdr:col>2</xdr:col>
                    <xdr:colOff>933450</xdr:colOff>
                    <xdr:row>5</xdr:row>
                    <xdr:rowOff>104775</xdr:rowOff>
                  </from>
                  <to>
                    <xdr:col>3</xdr:col>
                    <xdr:colOff>104775</xdr:colOff>
                    <xdr:row>5</xdr:row>
                    <xdr:rowOff>438150</xdr:rowOff>
                  </to>
                </anchor>
              </controlPr>
            </control>
          </mc:Choice>
        </mc:AlternateContent>
        <mc:AlternateContent xmlns:mc="http://schemas.openxmlformats.org/markup-compatibility/2006">
          <mc:Choice Requires="x14">
            <control shapeId="3079" r:id="rId7" name="Drop Down 7">
              <controlPr defaultSize="0" autoLine="0" autoPict="0" macro="[0]!Orientation">
                <anchor moveWithCells="1">
                  <from>
                    <xdr:col>2</xdr:col>
                    <xdr:colOff>904875</xdr:colOff>
                    <xdr:row>6</xdr:row>
                    <xdr:rowOff>190500</xdr:rowOff>
                  </from>
                  <to>
                    <xdr:col>3</xdr:col>
                    <xdr:colOff>133350</xdr:colOff>
                    <xdr:row>7</xdr:row>
                    <xdr:rowOff>47625</xdr:rowOff>
                  </to>
                </anchor>
              </controlPr>
            </control>
          </mc:Choice>
        </mc:AlternateContent>
        <mc:AlternateContent xmlns:mc="http://schemas.openxmlformats.org/markup-compatibility/2006">
          <mc:Choice Requires="x14">
            <control shapeId="3080" r:id="rId8" name="Drop Down 8">
              <controlPr defaultSize="0" autoLine="0" autoPict="0" macro="[0]!OP_METHOD">
                <anchor moveWithCells="1">
                  <from>
                    <xdr:col>2</xdr:col>
                    <xdr:colOff>933450</xdr:colOff>
                    <xdr:row>3</xdr:row>
                    <xdr:rowOff>266700</xdr:rowOff>
                  </from>
                  <to>
                    <xdr:col>3</xdr:col>
                    <xdr:colOff>95250</xdr:colOff>
                    <xdr:row>4</xdr:row>
                    <xdr:rowOff>266700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Q70"/>
  <sheetViews>
    <sheetView topLeftCell="A65" workbookViewId="0">
      <selection activeCell="A68" sqref="A68:XFD69"/>
    </sheetView>
  </sheetViews>
  <sheetFormatPr defaultColWidth="9.140625" defaultRowHeight="15" x14ac:dyDescent="0.25"/>
  <cols>
    <col min="1" max="1" width="75.5703125" style="21" customWidth="1"/>
    <col min="2" max="2" width="81.7109375" style="21" customWidth="1"/>
    <col min="3" max="3" width="52.42578125" style="21" customWidth="1"/>
    <col min="4" max="4" width="25.85546875" style="21" customWidth="1"/>
    <col min="5" max="5" width="26.28515625" style="21" customWidth="1"/>
    <col min="6" max="6" width="22.7109375" style="21" customWidth="1"/>
    <col min="7" max="10" width="9.140625" style="21"/>
    <col min="11" max="11" width="2.7109375" style="21" customWidth="1"/>
    <col min="12" max="12" width="9.140625" style="21" customWidth="1"/>
    <col min="13" max="16384" width="9.140625" style="21"/>
  </cols>
  <sheetData>
    <row r="1" spans="1:17" s="16" customFormat="1" ht="23.25" x14ac:dyDescent="0.35">
      <c r="A1" s="372" t="s">
        <v>31</v>
      </c>
      <c r="B1" s="372"/>
      <c r="C1" s="372"/>
      <c r="D1" s="372"/>
      <c r="E1" s="372"/>
      <c r="F1" s="372"/>
      <c r="G1" s="15"/>
      <c r="H1" s="15"/>
      <c r="I1" s="15"/>
      <c r="J1" s="15"/>
      <c r="K1" s="15"/>
      <c r="L1" s="15"/>
      <c r="M1" s="15"/>
      <c r="O1" s="15"/>
      <c r="P1" s="15"/>
      <c r="Q1" s="15"/>
    </row>
    <row r="2" spans="1:17" s="18" customFormat="1" ht="15.75" x14ac:dyDescent="0.25">
      <c r="A2" s="26"/>
      <c r="B2" s="26"/>
      <c r="C2" s="26"/>
    </row>
    <row r="3" spans="1:17" s="18" customFormat="1" ht="31.5" customHeight="1" x14ac:dyDescent="0.25">
      <c r="A3" s="373" t="s">
        <v>233</v>
      </c>
      <c r="B3" s="373"/>
      <c r="C3" s="373"/>
      <c r="D3" s="373"/>
      <c r="E3" s="373"/>
      <c r="F3" s="373"/>
    </row>
    <row r="4" spans="1:17" s="31" customFormat="1" ht="25.5" customHeight="1" x14ac:dyDescent="0.25">
      <c r="A4" s="309" t="s">
        <v>276</v>
      </c>
      <c r="B4" s="308" t="str">
        <f>'Data Inputs'!R1</f>
        <v>Fixed-Bed Carbon Adsorber with Steam Regeneration</v>
      </c>
      <c r="D4" s="154"/>
      <c r="E4" s="155"/>
      <c r="F4" s="155"/>
    </row>
    <row r="5" spans="1:17" s="31" customFormat="1" ht="28.5" customHeight="1" x14ac:dyDescent="0.25">
      <c r="A5" s="309" t="s">
        <v>234</v>
      </c>
      <c r="B5" s="308" t="str">
        <f>'Data Inputs'!B29</f>
        <v>Toluene</v>
      </c>
      <c r="C5" s="245"/>
      <c r="D5" s="246"/>
    </row>
    <row r="6" spans="1:17" s="31" customFormat="1" ht="15.75" x14ac:dyDescent="0.25">
      <c r="A6" s="143"/>
      <c r="B6" s="143"/>
      <c r="C6" s="152"/>
      <c r="D6" s="153"/>
      <c r="E6" s="20"/>
      <c r="F6" s="20"/>
    </row>
    <row r="7" spans="1:17" s="17" customFormat="1" ht="18" customHeight="1" x14ac:dyDescent="0.25">
      <c r="A7" s="37" t="s">
        <v>27</v>
      </c>
      <c r="B7" s="50" t="s">
        <v>28</v>
      </c>
      <c r="C7" s="37" t="s">
        <v>29</v>
      </c>
      <c r="D7" s="37" t="s">
        <v>30</v>
      </c>
      <c r="E7" s="37"/>
      <c r="F7" s="37"/>
      <c r="G7" s="18"/>
      <c r="H7" s="18"/>
      <c r="I7" s="18"/>
      <c r="J7" s="18"/>
      <c r="K7" s="18"/>
      <c r="L7" s="18"/>
      <c r="M7" s="18"/>
      <c r="O7" s="18"/>
      <c r="P7" s="18"/>
      <c r="Q7" s="18"/>
    </row>
    <row r="8" spans="1:17" s="10" customFormat="1" ht="15.75" x14ac:dyDescent="0.25">
      <c r="A8" s="60" t="str">
        <f>IF('Data Inputs'!B29=" ", "Quantity of VOC Recovered:", IF('Data Inputs'!L1&lt;3,"Quantity of "&amp;'Data Inputs'!B29&amp;" Removed:","Quantity of "&amp;'Data Inputs'!B29&amp;" Recovered:" ))</f>
        <v>Quantity of Toluene Recovered:</v>
      </c>
      <c r="B8" s="60"/>
      <c r="C8" s="61"/>
      <c r="D8" s="60"/>
      <c r="E8" s="62"/>
      <c r="F8" s="63"/>
    </row>
    <row r="9" spans="1:17" s="31" customFormat="1" ht="18.75" x14ac:dyDescent="0.35">
      <c r="A9" s="33" t="str">
        <f>IF('Data Inputs'!B29=" ","Quantity of VOC Recovered (Wvoc) =",IF('Data Inputs'!L1&lt;3,"Quantity of "&amp;'Data Inputs'!B29&amp;" Removed (Wvoc) =","Quantity of "&amp;'Data Inputs'!B29&amp;" Recovered (Wvoc) ="))</f>
        <v>Quantity of Toluene Recovered (Wvoc) =</v>
      </c>
      <c r="B9" s="267" t="s">
        <v>154</v>
      </c>
      <c r="C9" s="36">
        <f>('Data Inputs'!B13*'Data Inputs'!B11*('Data Inputs'!B15/100))/2000</f>
        <v>423.36</v>
      </c>
      <c r="D9" s="33" t="s">
        <v>24</v>
      </c>
      <c r="E9" s="268"/>
      <c r="F9" s="33"/>
    </row>
    <row r="10" spans="1:17" s="24" customFormat="1" ht="20.25" customHeight="1" x14ac:dyDescent="0.35">
      <c r="A10" s="33" t="s">
        <v>253</v>
      </c>
      <c r="B10" s="27"/>
      <c r="C10" s="244">
        <f>'Data Inputs'!B22</f>
        <v>5</v>
      </c>
      <c r="D10" s="47" t="s">
        <v>142</v>
      </c>
      <c r="E10" s="265"/>
      <c r="F10" s="27"/>
      <c r="G10" s="27"/>
      <c r="H10" s="27"/>
      <c r="I10" s="27"/>
      <c r="J10" s="27"/>
      <c r="M10" s="12"/>
      <c r="N10" s="12"/>
    </row>
    <row r="11" spans="1:17" s="24" customFormat="1" ht="20.25" customHeight="1" x14ac:dyDescent="0.35">
      <c r="A11" s="47" t="s">
        <v>252</v>
      </c>
      <c r="B11" s="27"/>
      <c r="C11" s="275">
        <f>'Data Inputs'!B21</f>
        <v>12</v>
      </c>
      <c r="D11" s="47" t="s">
        <v>142</v>
      </c>
      <c r="E11" s="265"/>
      <c r="F11" s="27"/>
      <c r="G11" s="27"/>
      <c r="H11" s="27"/>
      <c r="I11" s="27"/>
      <c r="J11" s="27"/>
      <c r="M11" s="12"/>
      <c r="N11" s="12"/>
    </row>
    <row r="12" spans="1:17" s="24" customFormat="1" ht="20.25" customHeight="1" x14ac:dyDescent="0.35">
      <c r="A12" s="47" t="s">
        <v>256</v>
      </c>
      <c r="B12" s="264" t="s">
        <v>255</v>
      </c>
      <c r="C12" s="244">
        <f>C11*C19/C20</f>
        <v>6</v>
      </c>
      <c r="D12" s="47" t="s">
        <v>142</v>
      </c>
      <c r="E12" s="265"/>
      <c r="F12" s="27"/>
      <c r="G12" s="27"/>
      <c r="H12" s="27"/>
      <c r="I12" s="27"/>
      <c r="J12" s="27"/>
      <c r="M12" s="12"/>
      <c r="N12" s="12"/>
    </row>
    <row r="13" spans="1:17" s="31" customFormat="1" ht="15.75" x14ac:dyDescent="0.25">
      <c r="A13" s="33"/>
      <c r="B13" s="33"/>
      <c r="C13" s="255" t="str">
        <f>IF(C10&gt;C12, "* Warning: Time required for desorption is less than the amount of time available.", " ")</f>
        <v xml:space="preserve"> </v>
      </c>
      <c r="D13" s="266"/>
      <c r="E13" s="32"/>
      <c r="F13" s="32"/>
    </row>
    <row r="14" spans="1:17" s="31" customFormat="1" ht="15.75" x14ac:dyDescent="0.25">
      <c r="A14" s="33"/>
      <c r="B14" s="33"/>
      <c r="C14" s="268"/>
      <c r="D14" s="33"/>
      <c r="E14" s="269"/>
      <c r="F14" s="33"/>
    </row>
    <row r="15" spans="1:17" s="31" customFormat="1" ht="15.75" x14ac:dyDescent="0.25">
      <c r="A15" s="60" t="s">
        <v>243</v>
      </c>
      <c r="B15" s="64"/>
      <c r="C15" s="65"/>
      <c r="D15" s="60"/>
      <c r="E15" s="60"/>
      <c r="F15" s="63"/>
    </row>
    <row r="16" spans="1:17" s="31" customFormat="1" ht="19.5" x14ac:dyDescent="0.35">
      <c r="A16" s="33" t="s">
        <v>212</v>
      </c>
      <c r="B16" s="238" t="s">
        <v>213</v>
      </c>
      <c r="C16" s="276">
        <f>'Data Inputs'!B31*('Data Inputs'!B30)^'Data Inputs'!B32</f>
        <v>0.33344581124834016</v>
      </c>
      <c r="D16" s="33" t="s">
        <v>190</v>
      </c>
      <c r="E16" s="33"/>
      <c r="F16" s="33"/>
    </row>
    <row r="17" spans="1:6" s="31" customFormat="1" ht="18.75" x14ac:dyDescent="0.35">
      <c r="A17" s="33" t="s">
        <v>189</v>
      </c>
      <c r="B17" s="33" t="s">
        <v>281</v>
      </c>
      <c r="C17" s="36">
        <f>0.5*C16</f>
        <v>0.16672290562417008</v>
      </c>
      <c r="D17" s="33" t="s">
        <v>190</v>
      </c>
      <c r="E17" s="33"/>
      <c r="F17" s="33"/>
    </row>
    <row r="18" spans="1:6" s="31" customFormat="1" ht="19.5" customHeight="1" x14ac:dyDescent="0.35">
      <c r="A18" s="270" t="s">
        <v>186</v>
      </c>
      <c r="B18" s="271"/>
      <c r="C18" s="220">
        <f>'Data Inputs'!P13</f>
        <v>1</v>
      </c>
      <c r="D18" s="271" t="str">
        <f>'Data Inputs'!P14</f>
        <v xml:space="preserve"> (* Stainless Steel, 304)     </v>
      </c>
      <c r="E18" s="33"/>
      <c r="F18" s="33"/>
    </row>
    <row r="19" spans="1:6" s="31" customFormat="1" ht="17.25" customHeight="1" x14ac:dyDescent="0.35">
      <c r="A19" s="270" t="s">
        <v>172</v>
      </c>
      <c r="B19" s="33" t="s">
        <v>242</v>
      </c>
      <c r="C19" s="252">
        <f>'Data Inputs'!B19-'Data Inputs'!B20</f>
        <v>1</v>
      </c>
      <c r="D19" s="221" t="s">
        <v>173</v>
      </c>
      <c r="E19" s="33"/>
      <c r="F19" s="33"/>
    </row>
    <row r="20" spans="1:6" s="31" customFormat="1" ht="18.75" x14ac:dyDescent="0.35">
      <c r="A20" s="33" t="s">
        <v>171</v>
      </c>
      <c r="B20" s="33"/>
      <c r="C20" s="39">
        <f>'Data Inputs'!B20</f>
        <v>2</v>
      </c>
      <c r="D20" s="33" t="s">
        <v>173</v>
      </c>
      <c r="E20" s="33"/>
      <c r="F20" s="33"/>
    </row>
    <row r="21" spans="1:6" ht="15.75" x14ac:dyDescent="0.25">
      <c r="A21" s="33"/>
      <c r="B21" s="40"/>
      <c r="C21" s="40"/>
      <c r="D21" s="40"/>
      <c r="E21" s="40"/>
      <c r="F21" s="40"/>
    </row>
    <row r="22" spans="1:6" ht="18" x14ac:dyDescent="0.35">
      <c r="A22" s="33" t="s">
        <v>202</v>
      </c>
      <c r="B22" s="234" t="s">
        <v>203</v>
      </c>
      <c r="C22" s="207">
        <f>'Data Inputs'!B12/'Design Parameters'!C20</f>
        <v>5000</v>
      </c>
      <c r="D22" s="40" t="s">
        <v>200</v>
      </c>
      <c r="E22" s="40"/>
      <c r="F22" s="40"/>
    </row>
    <row r="23" spans="1:6" ht="18.75" x14ac:dyDescent="0.35">
      <c r="A23" s="33" t="s">
        <v>286</v>
      </c>
      <c r="B23" s="208" t="s">
        <v>283</v>
      </c>
      <c r="C23" s="236">
        <f>(C29/30)/(C22/'Data Inputs'!B16)</f>
        <v>1.7993928241405872</v>
      </c>
      <c r="D23" s="40" t="s">
        <v>258</v>
      </c>
      <c r="E23" s="40"/>
      <c r="F23" s="40"/>
    </row>
    <row r="24" spans="1:6" ht="19.5" x14ac:dyDescent="0.35">
      <c r="A24" s="33" t="s">
        <v>287</v>
      </c>
      <c r="B24" s="208" t="s">
        <v>282</v>
      </c>
      <c r="C24" s="258">
        <f>1+(C23*((0.03679*'Data Inputs'!B16)+((0.0001107)*('Data Inputs'!B16^2))))</f>
        <v>7.0854340691919573</v>
      </c>
      <c r="D24" s="40" t="s">
        <v>259</v>
      </c>
      <c r="E24" s="40"/>
      <c r="F24" s="40"/>
    </row>
    <row r="25" spans="1:6" ht="18.75" x14ac:dyDescent="0.35">
      <c r="A25" s="33" t="s">
        <v>285</v>
      </c>
      <c r="B25" s="208" t="s">
        <v>284</v>
      </c>
      <c r="C25" s="207">
        <f>0.4*C10*(C20*'Data Inputs'!B11)/'Design Parameters'!C11</f>
        <v>2880</v>
      </c>
      <c r="D25" s="40" t="s">
        <v>142</v>
      </c>
      <c r="E25" s="40"/>
      <c r="F25" s="40"/>
    </row>
    <row r="26" spans="1:6" s="31" customFormat="1" ht="15.75" x14ac:dyDescent="0.25">
      <c r="A26" s="60" t="s">
        <v>244</v>
      </c>
      <c r="B26" s="60"/>
      <c r="C26" s="62"/>
      <c r="D26" s="60"/>
      <c r="E26" s="60"/>
      <c r="F26" s="63"/>
    </row>
    <row r="27" spans="1:6" s="31" customFormat="1" ht="18.75" x14ac:dyDescent="0.35">
      <c r="A27" s="33" t="s">
        <v>249</v>
      </c>
      <c r="B27" s="33" t="s">
        <v>188</v>
      </c>
      <c r="C27" s="207">
        <f>('Data Inputs'!B13/C17)*'Data Inputs'!B21*(1+'Design Parameters'!C19/'Design Parameters'!C20)</f>
        <v>10796.356944843523</v>
      </c>
      <c r="D27" s="33" t="s">
        <v>191</v>
      </c>
      <c r="E27" s="33"/>
      <c r="F27" s="33"/>
    </row>
    <row r="28" spans="1:6" s="31" customFormat="1" ht="18.75" hidden="1" x14ac:dyDescent="0.35">
      <c r="A28" s="33" t="s">
        <v>250</v>
      </c>
      <c r="B28" s="33" t="s">
        <v>239</v>
      </c>
      <c r="C28" s="207">
        <f>('Data Inputs'!B13/'Design Parameters'!C17)*'Data Inputs'!B21</f>
        <v>7197.5712965623479</v>
      </c>
      <c r="D28" s="33" t="s">
        <v>191</v>
      </c>
      <c r="E28" s="33"/>
      <c r="F28" s="33"/>
    </row>
    <row r="29" spans="1:6" ht="18" x14ac:dyDescent="0.35">
      <c r="A29" s="40" t="s">
        <v>201</v>
      </c>
      <c r="B29" s="234" t="s">
        <v>205</v>
      </c>
      <c r="C29" s="207">
        <f>IF('Data Inputs'!L19=2,(C27/(C19+C20)),IF('Data Inputs'!L19=3,(C28),0))</f>
        <v>3598.7856482811744</v>
      </c>
      <c r="D29" s="40" t="s">
        <v>199</v>
      </c>
      <c r="E29" s="40"/>
      <c r="F29" s="40"/>
    </row>
    <row r="30" spans="1:6" ht="15.75" x14ac:dyDescent="0.25">
      <c r="A30" s="40"/>
      <c r="B30" s="234"/>
      <c r="C30" s="207"/>
      <c r="D30" s="40"/>
      <c r="E30" s="40"/>
      <c r="F30" s="40"/>
    </row>
    <row r="31" spans="1:6" s="31" customFormat="1" ht="15.75" x14ac:dyDescent="0.25">
      <c r="A31" s="60" t="s">
        <v>245</v>
      </c>
      <c r="B31" s="64"/>
      <c r="C31" s="65"/>
      <c r="D31" s="60"/>
      <c r="E31" s="60"/>
      <c r="F31" s="63"/>
    </row>
    <row r="32" spans="1:6" s="93" customFormat="1" ht="15.75" x14ac:dyDescent="0.25">
      <c r="A32" s="257" t="s">
        <v>206</v>
      </c>
      <c r="B32" s="33"/>
      <c r="C32" s="237" t="str">
        <f>'Data Inputs'!P15</f>
        <v>Horizontal</v>
      </c>
      <c r="D32" s="211"/>
      <c r="E32" s="211"/>
      <c r="F32" s="33"/>
    </row>
    <row r="33" spans="1:6" s="10" customFormat="1" ht="18.75" x14ac:dyDescent="0.35">
      <c r="A33" s="257" t="s">
        <v>194</v>
      </c>
      <c r="B33" s="272" t="s">
        <v>204</v>
      </c>
      <c r="C33" s="235">
        <f>(0.127*C29*'Data Inputs'!B16)/C22</f>
        <v>6.8556866599756363</v>
      </c>
      <c r="D33" s="257" t="s">
        <v>197</v>
      </c>
      <c r="E33" s="257"/>
      <c r="F33" s="257"/>
    </row>
    <row r="34" spans="1:6" s="10" customFormat="1" ht="19.5" x14ac:dyDescent="0.35">
      <c r="A34" s="257" t="s">
        <v>195</v>
      </c>
      <c r="B34" s="273" t="s">
        <v>198</v>
      </c>
      <c r="C34" s="235">
        <f>(7.87/C29)*(C22/'Data Inputs'!B16)^2</f>
        <v>9.7193279056460664</v>
      </c>
      <c r="D34" s="257" t="s">
        <v>197</v>
      </c>
      <c r="E34" s="257"/>
      <c r="F34" s="257"/>
    </row>
    <row r="35" spans="1:6" s="31" customFormat="1" ht="15.75" x14ac:dyDescent="0.25">
      <c r="A35" s="40" t="s">
        <v>192</v>
      </c>
      <c r="B35" s="234" t="s">
        <v>196</v>
      </c>
      <c r="C35" s="39">
        <f>PI()*C33*(C34+C33/2)</f>
        <v>283.16081393874236</v>
      </c>
      <c r="D35" s="33" t="s">
        <v>193</v>
      </c>
      <c r="E35" s="33"/>
      <c r="F35" s="33"/>
    </row>
    <row r="36" spans="1:6" s="10" customFormat="1" ht="18.75" hidden="1" x14ac:dyDescent="0.35">
      <c r="A36" s="257" t="s">
        <v>194</v>
      </c>
      <c r="B36" s="272" t="s">
        <v>210</v>
      </c>
      <c r="C36" s="235">
        <f>((4*C22)/(PI()*'Data Inputs'!B16))^0.5</f>
        <v>9.2131773192356121</v>
      </c>
      <c r="D36" s="257" t="s">
        <v>197</v>
      </c>
      <c r="E36" s="257"/>
      <c r="F36" s="257"/>
    </row>
    <row r="37" spans="1:6" s="10" customFormat="1" ht="18.75" hidden="1" x14ac:dyDescent="0.35">
      <c r="A37" s="257" t="s">
        <v>195</v>
      </c>
      <c r="B37" s="273" t="s">
        <v>211</v>
      </c>
      <c r="C37" s="235">
        <f xml:space="preserve"> C23+4</f>
        <v>5.799392824140587</v>
      </c>
      <c r="D37" s="257" t="s">
        <v>197</v>
      </c>
      <c r="E37" s="257"/>
      <c r="F37" s="257"/>
    </row>
    <row r="38" spans="1:6" s="31" customFormat="1" ht="15.75" hidden="1" x14ac:dyDescent="0.25">
      <c r="A38" s="40" t="s">
        <v>192</v>
      </c>
      <c r="B38" s="234" t="s">
        <v>196</v>
      </c>
      <c r="C38" s="39">
        <f>PI()*C36*(C37+C36/2)</f>
        <v>301.19125026230699</v>
      </c>
      <c r="D38" s="33" t="s">
        <v>193</v>
      </c>
      <c r="E38" s="33"/>
      <c r="F38" s="33"/>
    </row>
    <row r="39" spans="1:6" s="31" customFormat="1" ht="15.75" x14ac:dyDescent="0.25">
      <c r="A39" s="33"/>
      <c r="B39" s="33"/>
      <c r="C39" s="35"/>
      <c r="D39" s="33"/>
      <c r="E39" s="33"/>
      <c r="F39" s="33"/>
    </row>
    <row r="40" spans="1:6" s="31" customFormat="1" ht="15.75" x14ac:dyDescent="0.25">
      <c r="A40" s="60" t="s">
        <v>246</v>
      </c>
      <c r="B40" s="60"/>
      <c r="C40" s="62"/>
      <c r="D40" s="60"/>
      <c r="E40" s="60"/>
      <c r="F40" s="63"/>
    </row>
    <row r="41" spans="1:6" s="31" customFormat="1" ht="19.5" x14ac:dyDescent="0.35">
      <c r="A41" s="257" t="s">
        <v>257</v>
      </c>
      <c r="B41" s="257" t="s">
        <v>261</v>
      </c>
      <c r="C41" s="259">
        <f>0.746*(0.00025)*C24*'Data Inputs'!B12*'Data Inputs'!B11</f>
        <v>114171.85041733153</v>
      </c>
      <c r="D41" s="257" t="s">
        <v>143</v>
      </c>
      <c r="E41" s="211"/>
      <c r="F41" s="33"/>
    </row>
    <row r="42" spans="1:6" s="31" customFormat="1" ht="19.5" x14ac:dyDescent="0.35">
      <c r="A42" s="257" t="s">
        <v>260</v>
      </c>
      <c r="B42" s="257" t="s">
        <v>262</v>
      </c>
      <c r="C42" s="259">
        <f>0.746*(0.00025)*C24*3000*C25</f>
        <v>11417.185041733153</v>
      </c>
      <c r="D42" s="257" t="s">
        <v>143</v>
      </c>
      <c r="E42" s="211"/>
      <c r="F42" s="33"/>
    </row>
    <row r="43" spans="1:6" s="31" customFormat="1" ht="19.5" x14ac:dyDescent="0.35">
      <c r="A43" s="257" t="s">
        <v>264</v>
      </c>
      <c r="B43" s="257" t="s">
        <v>265</v>
      </c>
      <c r="C43" s="259">
        <f>(0.746)*((0.000252*100)/0.63)*(C51/((0.6*C10*C20*'Data Inputs'!B11)/'Design Parameters'!C11)*60)</f>
        <v>4298.7503999999999</v>
      </c>
      <c r="D43" s="257" t="s">
        <v>143</v>
      </c>
      <c r="E43" s="211"/>
      <c r="F43" s="33"/>
    </row>
    <row r="44" spans="1:6" s="31" customFormat="1" ht="18.75" x14ac:dyDescent="0.35">
      <c r="A44" s="33" t="s">
        <v>144</v>
      </c>
      <c r="B44" s="33" t="s">
        <v>263</v>
      </c>
      <c r="C44" s="207">
        <f>C41+C42+C43</f>
        <v>129887.78585906469</v>
      </c>
      <c r="D44" s="33" t="s">
        <v>143</v>
      </c>
      <c r="E44" s="33"/>
      <c r="F44" s="33"/>
    </row>
    <row r="45" spans="1:6" s="31" customFormat="1" ht="15.75" x14ac:dyDescent="0.25">
      <c r="A45" s="33"/>
      <c r="B45" s="33"/>
      <c r="C45" s="35"/>
      <c r="D45" s="33"/>
      <c r="E45" s="33"/>
      <c r="F45" s="33"/>
    </row>
    <row r="46" spans="1:6" s="31" customFormat="1" ht="15.75" x14ac:dyDescent="0.25">
      <c r="A46" s="60" t="s">
        <v>247</v>
      </c>
      <c r="B46" s="60"/>
      <c r="C46" s="62"/>
      <c r="D46" s="60"/>
      <c r="E46" s="60"/>
      <c r="F46" s="63"/>
    </row>
    <row r="47" spans="1:6" s="31" customFormat="1" ht="18.75" x14ac:dyDescent="0.35">
      <c r="A47" s="33" t="s">
        <v>147</v>
      </c>
      <c r="B47" s="208" t="s">
        <v>148</v>
      </c>
      <c r="C47" s="207">
        <f>3.5*'Data Inputs'!B13*'Data Inputs'!B11</f>
        <v>3024000</v>
      </c>
      <c r="D47" s="33" t="s">
        <v>164</v>
      </c>
      <c r="E47" s="33"/>
      <c r="F47" s="33"/>
    </row>
    <row r="48" spans="1:6" s="31" customFormat="1" ht="15.75" x14ac:dyDescent="0.25">
      <c r="A48" s="33"/>
      <c r="B48" s="40"/>
      <c r="C48" s="35"/>
      <c r="D48" s="33"/>
      <c r="E48" s="33"/>
      <c r="F48" s="33"/>
    </row>
    <row r="49" spans="1:17" s="31" customFormat="1" ht="15.75" x14ac:dyDescent="0.25">
      <c r="A49" s="33"/>
      <c r="B49" s="33"/>
      <c r="C49" s="35"/>
      <c r="D49" s="33"/>
      <c r="E49" s="33"/>
      <c r="F49" s="33"/>
    </row>
    <row r="50" spans="1:17" s="31" customFormat="1" ht="15.75" x14ac:dyDescent="0.25">
      <c r="A50" s="60" t="s">
        <v>248</v>
      </c>
      <c r="B50" s="60"/>
      <c r="C50" s="62"/>
      <c r="D50" s="60"/>
      <c r="E50" s="60"/>
      <c r="F50" s="63"/>
    </row>
    <row r="51" spans="1:17" s="31" customFormat="1" ht="18.75" x14ac:dyDescent="0.35">
      <c r="A51" s="33" t="s">
        <v>149</v>
      </c>
      <c r="B51" s="208" t="s">
        <v>150</v>
      </c>
      <c r="C51" s="207">
        <f>C47*3.43</f>
        <v>10372320</v>
      </c>
      <c r="D51" s="33" t="s">
        <v>151</v>
      </c>
      <c r="E51" s="33"/>
      <c r="F51" s="33"/>
    </row>
    <row r="52" spans="1:17" s="31" customFormat="1" ht="15.75" x14ac:dyDescent="0.25">
      <c r="A52" s="33"/>
      <c r="B52" s="208"/>
      <c r="C52" s="207"/>
      <c r="D52" s="33"/>
      <c r="E52" s="33"/>
      <c r="F52" s="33"/>
    </row>
    <row r="53" spans="1:17" s="31" customFormat="1" ht="18.75" hidden="1" x14ac:dyDescent="0.3">
      <c r="A53" s="93"/>
      <c r="B53" s="27"/>
      <c r="C53" s="275"/>
      <c r="D53" s="47"/>
      <c r="E53" s="265"/>
      <c r="F53" s="27"/>
    </row>
    <row r="54" spans="1:17" s="31" customFormat="1" ht="19.5" hidden="1" x14ac:dyDescent="0.35">
      <c r="A54" s="20" t="s">
        <v>347</v>
      </c>
      <c r="B54" s="315" t="s">
        <v>330</v>
      </c>
      <c r="C54" s="275">
        <f>'Data Inputs'!B11/'Data Inputs'!B25</f>
        <v>1.9726027397260273</v>
      </c>
      <c r="D54" s="47"/>
      <c r="E54" s="265"/>
      <c r="F54" s="27"/>
    </row>
    <row r="55" spans="1:17" s="31" customFormat="1" ht="15.75" hidden="1" x14ac:dyDescent="0.25">
      <c r="A55" s="33"/>
      <c r="B55" s="267"/>
      <c r="C55" s="39"/>
      <c r="D55" s="33"/>
      <c r="E55" s="268"/>
      <c r="F55" s="33"/>
    </row>
    <row r="56" spans="1:17" s="31" customFormat="1" ht="15.75" hidden="1" x14ac:dyDescent="0.25">
      <c r="A56" s="60" t="s">
        <v>312</v>
      </c>
      <c r="B56" s="64"/>
      <c r="C56" s="65"/>
      <c r="D56" s="60"/>
      <c r="E56" s="60"/>
      <c r="F56" s="63"/>
    </row>
    <row r="57" spans="1:17" s="31" customFormat="1" ht="18.75" hidden="1" x14ac:dyDescent="0.35">
      <c r="A57" s="47" t="s">
        <v>252</v>
      </c>
      <c r="B57" s="267" t="s">
        <v>323</v>
      </c>
      <c r="C57" s="275">
        <f>'Data Inputs'!B25</f>
        <v>4380</v>
      </c>
      <c r="D57" s="47" t="s">
        <v>142</v>
      </c>
      <c r="E57" s="211"/>
      <c r="F57" s="33"/>
    </row>
    <row r="58" spans="1:17" s="19" customFormat="1" ht="19.5" hidden="1" x14ac:dyDescent="0.35">
      <c r="A58" s="33" t="s">
        <v>212</v>
      </c>
      <c r="B58" s="238" t="s">
        <v>213</v>
      </c>
      <c r="C58" s="276">
        <f>'Data Inputs'!B31*('Data Inputs'!B30)^'Data Inputs'!B32</f>
        <v>0.33344581124834016</v>
      </c>
      <c r="D58" s="33" t="s">
        <v>190</v>
      </c>
      <c r="E58" s="33"/>
      <c r="F58" s="33"/>
      <c r="G58" s="20"/>
      <c r="H58" s="20"/>
      <c r="I58" s="20"/>
      <c r="J58" s="20"/>
      <c r="K58" s="20"/>
      <c r="L58" s="20"/>
      <c r="M58" s="20"/>
      <c r="O58" s="20"/>
      <c r="P58" s="20"/>
      <c r="Q58" s="20"/>
    </row>
    <row r="59" spans="1:17" s="18" customFormat="1" ht="18" hidden="1" customHeight="1" x14ac:dyDescent="0.35">
      <c r="A59" s="33" t="s">
        <v>189</v>
      </c>
      <c r="B59" s="33" t="s">
        <v>281</v>
      </c>
      <c r="C59" s="36">
        <f>0.5*C58</f>
        <v>0.16672290562417008</v>
      </c>
      <c r="D59" s="33" t="s">
        <v>190</v>
      </c>
      <c r="E59" s="33"/>
      <c r="F59" s="33"/>
    </row>
    <row r="60" spans="1:17" s="18" customFormat="1" ht="18" hidden="1" customHeight="1" x14ac:dyDescent="0.35">
      <c r="A60" s="33" t="s">
        <v>313</v>
      </c>
      <c r="B60" s="33" t="s">
        <v>239</v>
      </c>
      <c r="C60" s="207">
        <f>('Data Inputs'!B13/'Design Parameters'!C58)*C57</f>
        <v>1313556.7616226287</v>
      </c>
      <c r="D60" s="33" t="s">
        <v>191</v>
      </c>
      <c r="E60" s="268"/>
      <c r="F60" s="33"/>
    </row>
    <row r="61" spans="1:17" s="18" customFormat="1" ht="18" hidden="1" customHeight="1" x14ac:dyDescent="0.35">
      <c r="A61" s="33" t="s">
        <v>289</v>
      </c>
      <c r="B61" s="33" t="s">
        <v>290</v>
      </c>
      <c r="C61" s="207">
        <f>ROUNDUP((C60/'Data Inputs'!B24),0.1)</f>
        <v>438</v>
      </c>
      <c r="D61" s="33" t="s">
        <v>311</v>
      </c>
      <c r="E61" s="268"/>
      <c r="F61" s="33"/>
    </row>
    <row r="62" spans="1:17" s="18" customFormat="1" ht="18" hidden="1" customHeight="1" x14ac:dyDescent="0.25">
      <c r="A62" s="33" t="str">
        <f>"Total Quantity of Carbon Required for "&amp;C61&amp;" Canisters ="</f>
        <v>Total Quantity of Carbon Required for 438 Canisters =</v>
      </c>
      <c r="B62" s="33" t="s">
        <v>322</v>
      </c>
      <c r="C62" s="207">
        <f>C61*'Data Inputs'!B24</f>
        <v>1314000</v>
      </c>
      <c r="D62" s="33" t="s">
        <v>191</v>
      </c>
      <c r="E62" s="268"/>
      <c r="F62" s="33"/>
    </row>
    <row r="63" spans="1:17" s="31" customFormat="1" ht="15.75" x14ac:dyDescent="0.25">
      <c r="A63" s="59" t="s">
        <v>32</v>
      </c>
      <c r="B63" s="66"/>
      <c r="C63" s="66"/>
      <c r="D63" s="66"/>
      <c r="E63" s="66"/>
      <c r="F63" s="66"/>
    </row>
    <row r="64" spans="1:17" ht="15" customHeight="1" x14ac:dyDescent="0.25">
      <c r="A64" s="374" t="str">
        <f>"Capital Recovery Factor for "&amp;(IF('Data Inputs'!L1&gt;1,"adsorber vessels and auxiliary equipment (CFRabsorber)=","auxiliary equipment (CFRaux) ="))</f>
        <v>Capital Recovery Factor for adsorber vessels and auxiliary equipment (CFRabsorber)=</v>
      </c>
      <c r="B64" s="157" t="s">
        <v>75</v>
      </c>
      <c r="C64" s="120">
        <f>(('Data Inputs'!B38/100)*(1+('Data Inputs'!B38/100))^'Data Inputs'!B17)/(((1+('Data Inputs'!B38/100))^'Data Inputs'!B17)-1)</f>
        <v>9.6342287609244348E-2</v>
      </c>
      <c r="D64" s="156"/>
      <c r="E64" s="48"/>
      <c r="F64" s="48"/>
    </row>
    <row r="65" spans="1:6" ht="15.75" x14ac:dyDescent="0.25">
      <c r="A65" s="374"/>
      <c r="B65" s="156" t="s">
        <v>76</v>
      </c>
      <c r="C65" s="120"/>
      <c r="D65" s="156"/>
      <c r="E65" s="158"/>
      <c r="F65" s="48"/>
    </row>
    <row r="66" spans="1:6" ht="18" x14ac:dyDescent="0.25">
      <c r="A66" s="371" t="s">
        <v>321</v>
      </c>
      <c r="B66" s="157" t="s">
        <v>75</v>
      </c>
      <c r="C66" s="120">
        <f>((('Data Inputs'!B38/100)*(1+('Data Inputs'!B38/100))^'Data Inputs'!B18)/(((1+('Data Inputs'!B38/100))^'Data Inputs'!B18)-1))</f>
        <v>0.23097479812826807</v>
      </c>
      <c r="D66" s="156"/>
      <c r="E66" s="48"/>
      <c r="F66" s="48"/>
    </row>
    <row r="67" spans="1:6" ht="15.75" x14ac:dyDescent="0.25">
      <c r="A67" s="371"/>
      <c r="B67" s="156" t="s">
        <v>163</v>
      </c>
      <c r="C67" s="120"/>
      <c r="D67" s="156"/>
      <c r="E67" s="158"/>
      <c r="F67" s="48"/>
    </row>
    <row r="68" spans="1:6" ht="18" hidden="1" x14ac:dyDescent="0.25">
      <c r="A68" s="371" t="s">
        <v>332</v>
      </c>
      <c r="B68" s="157" t="s">
        <v>75</v>
      </c>
      <c r="C68" s="120" t="str">
        <f>IF(C54&gt;1, "Not applicable: Canisters are replaced "&amp;C54&amp;" times/year", ((('Data Inputs'!B38/100)*(1+('Data Inputs'!B38/100))^(1/C54))/(((1+('Data Inputs'!B38/100))^(1/C54))-1)))</f>
        <v>Not applicable: Canisters are replaced 1.97260273972603 times/year</v>
      </c>
      <c r="D68" s="156"/>
      <c r="E68" s="48"/>
      <c r="F68" s="48"/>
    </row>
    <row r="69" spans="1:6" ht="15.75" hidden="1" x14ac:dyDescent="0.25">
      <c r="A69" s="371"/>
      <c r="B69" s="156" t="s">
        <v>333</v>
      </c>
      <c r="C69" s="316"/>
      <c r="D69" s="156"/>
      <c r="E69" s="158"/>
      <c r="F69" s="48"/>
    </row>
    <row r="70" spans="1:6" ht="15.75" x14ac:dyDescent="0.25">
      <c r="D70" s="26"/>
      <c r="E70" s="18"/>
      <c r="F70" s="18"/>
    </row>
  </sheetData>
  <mergeCells count="5">
    <mergeCell ref="A66:A67"/>
    <mergeCell ref="A1:F1"/>
    <mergeCell ref="A3:F3"/>
    <mergeCell ref="A64:A65"/>
    <mergeCell ref="A68:A6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X229"/>
  <sheetViews>
    <sheetView showGridLines="0" topLeftCell="A77" zoomScaleNormal="100" workbookViewId="0">
      <selection activeCell="A97" sqref="A97:XFD205"/>
    </sheetView>
  </sheetViews>
  <sheetFormatPr defaultColWidth="9.140625" defaultRowHeight="15" x14ac:dyDescent="0.25"/>
  <cols>
    <col min="1" max="1" width="63.5703125" customWidth="1"/>
    <col min="2" max="2" width="74.42578125" customWidth="1"/>
    <col min="3" max="3" width="19.85546875" style="2" customWidth="1"/>
    <col min="4" max="4" width="55" customWidth="1"/>
    <col min="5" max="5" width="19.42578125" customWidth="1"/>
    <col min="6" max="6" width="16" customWidth="1"/>
    <col min="12" max="12" width="9.140625" customWidth="1"/>
    <col min="13" max="13" width="29.5703125" customWidth="1"/>
    <col min="14" max="24" width="9.140625" customWidth="1"/>
  </cols>
  <sheetData>
    <row r="1" spans="1:24" ht="23.25" x14ac:dyDescent="0.35">
      <c r="A1" s="375" t="s">
        <v>22</v>
      </c>
      <c r="B1" s="375"/>
      <c r="C1" s="375"/>
      <c r="D1" s="375"/>
      <c r="L1">
        <v>3</v>
      </c>
      <c r="P1" s="132"/>
    </row>
    <row r="2" spans="1:24" s="3" customFormat="1" ht="23.25" x14ac:dyDescent="0.35">
      <c r="A2" s="46"/>
      <c r="B2" s="46"/>
      <c r="C2" s="46"/>
      <c r="M2" s="233"/>
      <c r="N2" s="233"/>
      <c r="O2" s="233"/>
      <c r="P2" s="233"/>
      <c r="Q2" s="233"/>
      <c r="R2" s="233"/>
      <c r="S2" s="233"/>
      <c r="T2" s="233"/>
      <c r="U2" s="233"/>
      <c r="V2" s="233"/>
      <c r="W2" s="233"/>
      <c r="X2"/>
    </row>
    <row r="3" spans="1:24" ht="21" x14ac:dyDescent="0.35">
      <c r="A3" s="376" t="s">
        <v>52</v>
      </c>
      <c r="B3" s="376"/>
      <c r="C3" s="376"/>
      <c r="D3" s="376"/>
      <c r="E3" s="1"/>
      <c r="F3" s="1"/>
    </row>
    <row r="4" spans="1:24" s="4" customFormat="1" ht="15.75" x14ac:dyDescent="0.25">
      <c r="A4" s="78"/>
      <c r="B4" s="78"/>
      <c r="C4" s="377"/>
      <c r="D4" s="79"/>
      <c r="E4" s="165"/>
      <c r="F4" s="80"/>
      <c r="M4"/>
      <c r="N4"/>
      <c r="O4"/>
      <c r="P4"/>
      <c r="Q4"/>
      <c r="R4"/>
      <c r="S4"/>
      <c r="T4"/>
      <c r="U4"/>
      <c r="V4"/>
      <c r="W4"/>
      <c r="X4"/>
    </row>
    <row r="5" spans="1:24" s="31" customFormat="1" ht="15.75" x14ac:dyDescent="0.25">
      <c r="A5" s="43" t="str">
        <f>"Estimated capital costs for a "&amp;'Data Inputs'!R1&amp;" with the following characteristics:"</f>
        <v>Estimated capital costs for a Fixed-Bed Carbon Adsorber with Steam Regeneration with the following characteristics:</v>
      </c>
      <c r="B5" s="44"/>
      <c r="C5" s="377"/>
      <c r="D5" s="38"/>
      <c r="L5" s="31">
        <v>2</v>
      </c>
      <c r="M5"/>
      <c r="N5"/>
      <c r="O5"/>
      <c r="P5"/>
      <c r="Q5"/>
      <c r="R5"/>
      <c r="S5"/>
      <c r="T5"/>
      <c r="U5"/>
      <c r="V5"/>
      <c r="W5"/>
      <c r="X5"/>
    </row>
    <row r="6" spans="1:24" s="31" customFormat="1" ht="15.75" x14ac:dyDescent="0.25">
      <c r="A6" s="81" t="s">
        <v>58</v>
      </c>
      <c r="B6" s="82" t="str">
        <f>'Data Inputs'!B29</f>
        <v>Toluene</v>
      </c>
      <c r="C6" s="377"/>
      <c r="D6" s="38"/>
      <c r="M6"/>
      <c r="N6"/>
      <c r="O6"/>
      <c r="P6"/>
      <c r="Q6"/>
      <c r="R6"/>
      <c r="S6"/>
      <c r="T6"/>
      <c r="U6"/>
      <c r="V6"/>
      <c r="W6"/>
      <c r="X6"/>
    </row>
    <row r="7" spans="1:24" s="31" customFormat="1" ht="15.75" x14ac:dyDescent="0.25">
      <c r="A7" s="42" t="s">
        <v>232</v>
      </c>
      <c r="B7" s="75" t="str">
        <f>'Data Inputs'!P15</f>
        <v>Horizontal</v>
      </c>
      <c r="C7" s="377"/>
      <c r="D7" s="38"/>
      <c r="M7"/>
      <c r="N7"/>
      <c r="O7"/>
      <c r="P7"/>
      <c r="Q7"/>
      <c r="R7"/>
      <c r="S7"/>
      <c r="T7"/>
      <c r="U7"/>
      <c r="V7"/>
      <c r="W7"/>
      <c r="X7"/>
    </row>
    <row r="8" spans="1:24" s="31" customFormat="1" ht="15.75" x14ac:dyDescent="0.25">
      <c r="A8" s="42" t="s">
        <v>235</v>
      </c>
      <c r="B8" s="76" t="str">
        <f>'Data Inputs'!P19</f>
        <v>Continuous Operation</v>
      </c>
      <c r="C8" s="377"/>
      <c r="D8" s="51"/>
      <c r="M8"/>
      <c r="N8"/>
      <c r="O8"/>
      <c r="P8"/>
      <c r="Q8"/>
      <c r="R8"/>
      <c r="S8"/>
      <c r="T8"/>
      <c r="U8"/>
      <c r="V8"/>
      <c r="W8"/>
      <c r="X8"/>
    </row>
    <row r="9" spans="1:24" s="31" customFormat="1" ht="15.75" x14ac:dyDescent="0.25">
      <c r="B9" s="159"/>
      <c r="C9" s="160"/>
      <c r="D9" s="161"/>
      <c r="M9" s="21"/>
      <c r="N9" s="21"/>
      <c r="O9" s="21"/>
      <c r="P9" s="21"/>
      <c r="Q9" s="21"/>
      <c r="R9" s="21"/>
      <c r="S9" s="21"/>
      <c r="T9" s="21"/>
      <c r="U9" s="21"/>
      <c r="V9" s="21"/>
      <c r="W9" s="21"/>
      <c r="X9" s="21"/>
    </row>
    <row r="10" spans="1:24" s="4" customFormat="1" ht="15.75" x14ac:dyDescent="0.25">
      <c r="A10" s="72" t="str">
        <f>"Total Capital Investment (TCI) (in "&amp;'Data Inputs'!B36&amp;" dollars)"</f>
        <v>Total Capital Investment (TCI) (in 2018 dollars)</v>
      </c>
      <c r="B10" s="72"/>
      <c r="C10" s="72"/>
      <c r="D10" s="72"/>
      <c r="E10" s="80"/>
      <c r="F10" s="80"/>
      <c r="M10"/>
      <c r="N10"/>
      <c r="O10"/>
      <c r="P10"/>
      <c r="Q10"/>
      <c r="R10"/>
      <c r="S10"/>
      <c r="T10"/>
      <c r="U10"/>
      <c r="V10"/>
      <c r="W10"/>
      <c r="X10"/>
    </row>
    <row r="11" spans="1:24" s="4" customFormat="1" ht="15.75" x14ac:dyDescent="0.25">
      <c r="A11" s="83" t="s">
        <v>27</v>
      </c>
      <c r="B11" s="83" t="s">
        <v>28</v>
      </c>
      <c r="C11" s="84" t="s">
        <v>254</v>
      </c>
      <c r="D11" s="85"/>
      <c r="E11" s="80"/>
      <c r="F11" s="80"/>
      <c r="M11"/>
      <c r="N11"/>
      <c r="O11"/>
      <c r="P11"/>
      <c r="Q11"/>
      <c r="R11"/>
      <c r="S11"/>
      <c r="T11"/>
      <c r="U11"/>
      <c r="V11"/>
      <c r="W11"/>
      <c r="X11"/>
    </row>
    <row r="12" spans="1:24" s="31" customFormat="1" ht="19.5" x14ac:dyDescent="0.35">
      <c r="A12" s="31" t="s">
        <v>174</v>
      </c>
      <c r="B12" s="31" t="s">
        <v>344</v>
      </c>
      <c r="C12" s="89">
        <f>271*'Design Parameters'!C18*(IF('Data Inputs'!L15=2, ('Design Parameters'!C35^0.778), IF('Data Inputs'!L15=3, ('Design Parameters'!C38^0.778), 0)))*('Data Inputs'!B37/'Data Inputs'!E37)</f>
        <v>31833.523412827559</v>
      </c>
    </row>
    <row r="13" spans="1:24" s="31" customFormat="1" ht="19.5" x14ac:dyDescent="0.35">
      <c r="A13" s="31" t="s">
        <v>176</v>
      </c>
      <c r="B13" s="93" t="s">
        <v>345</v>
      </c>
      <c r="C13" s="89">
        <f>5.82*('Data Inputs'!B12^-0.133)*(('Data Inputs'!B48*'Design Parameters'!C27)+(('Design Parameters'!C19+'Design Parameters'!C20)*C12))</f>
        <v>240804.86097227238</v>
      </c>
      <c r="N13" s="229"/>
      <c r="O13" s="229"/>
    </row>
    <row r="14" spans="1:24" s="4" customFormat="1" ht="19.5" x14ac:dyDescent="0.35">
      <c r="A14" s="31" t="s">
        <v>169</v>
      </c>
      <c r="B14" s="93" t="s">
        <v>170</v>
      </c>
      <c r="C14" s="89">
        <f>'Data Inputs'!B56</f>
        <v>32000</v>
      </c>
      <c r="M14" s="223"/>
      <c r="N14" s="226"/>
      <c r="O14" s="230"/>
    </row>
    <row r="15" spans="1:24" s="4" customFormat="1" ht="19.5" x14ac:dyDescent="0.35">
      <c r="A15" s="38" t="s">
        <v>271</v>
      </c>
      <c r="B15" s="222" t="s">
        <v>175</v>
      </c>
      <c r="C15" s="89">
        <f>C13+C14</f>
        <v>272804.86097227235</v>
      </c>
      <c r="D15" s="91"/>
      <c r="E15" s="92"/>
      <c r="F15" s="92"/>
      <c r="G15" s="93"/>
      <c r="H15" s="93"/>
      <c r="I15" s="93"/>
      <c r="J15" s="93"/>
      <c r="K15" s="93"/>
      <c r="L15" s="93">
        <v>2</v>
      </c>
      <c r="M15" s="223"/>
      <c r="N15" s="227"/>
      <c r="O15" s="228"/>
      <c r="P15" s="4" t="s">
        <v>208</v>
      </c>
    </row>
    <row r="16" spans="1:24" s="94" customFormat="1" ht="18.75" x14ac:dyDescent="0.3">
      <c r="A16" s="212"/>
      <c r="B16" s="212"/>
      <c r="C16" s="166"/>
      <c r="D16" s="95"/>
      <c r="E16" s="96"/>
      <c r="F16" s="96"/>
      <c r="G16" s="97"/>
      <c r="H16" s="97"/>
      <c r="I16" s="97"/>
      <c r="J16" s="97"/>
      <c r="K16" s="97"/>
      <c r="L16" s="97"/>
      <c r="M16" s="223"/>
      <c r="N16" s="227"/>
      <c r="O16" s="228"/>
    </row>
    <row r="17" spans="1:15" s="4" customFormat="1" ht="18.75" x14ac:dyDescent="0.3">
      <c r="A17" s="31" t="s">
        <v>59</v>
      </c>
      <c r="B17" s="31" t="s">
        <v>77</v>
      </c>
      <c r="C17" s="89" t="s">
        <v>159</v>
      </c>
      <c r="D17" s="93"/>
      <c r="E17" s="93"/>
      <c r="F17" s="92"/>
      <c r="G17" s="93"/>
      <c r="H17" s="93"/>
      <c r="I17" s="93"/>
      <c r="J17" s="93"/>
      <c r="K17" s="93"/>
      <c r="L17" s="93"/>
      <c r="M17" s="223"/>
      <c r="N17" s="227"/>
      <c r="O17" s="228"/>
    </row>
    <row r="18" spans="1:15" s="4" customFormat="1" ht="18.75" x14ac:dyDescent="0.3">
      <c r="A18" s="31" t="s">
        <v>1</v>
      </c>
      <c r="B18" s="31" t="s">
        <v>78</v>
      </c>
      <c r="C18" s="89">
        <f>0.03*C15</f>
        <v>8184.1458291681702</v>
      </c>
      <c r="D18" s="93"/>
      <c r="E18" s="93"/>
      <c r="F18" s="93"/>
      <c r="G18" s="93"/>
      <c r="H18" s="93"/>
      <c r="I18" s="93"/>
      <c r="J18" s="93"/>
      <c r="K18" s="93"/>
      <c r="L18" s="93"/>
      <c r="M18" s="225"/>
      <c r="N18" s="227"/>
      <c r="O18" s="228"/>
    </row>
    <row r="19" spans="1:15" s="4" customFormat="1" ht="18.75" x14ac:dyDescent="0.3">
      <c r="A19" s="31" t="s">
        <v>2</v>
      </c>
      <c r="B19" s="31" t="s">
        <v>79</v>
      </c>
      <c r="C19" s="89">
        <f>0.05*C15</f>
        <v>13640.243048613618</v>
      </c>
      <c r="D19" s="93"/>
      <c r="E19" s="93"/>
      <c r="F19" s="93"/>
      <c r="G19" s="93"/>
      <c r="H19" s="93"/>
      <c r="I19" s="93"/>
      <c r="J19" s="93"/>
      <c r="K19" s="93"/>
      <c r="L19" s="93">
        <v>2</v>
      </c>
      <c r="M19" s="225"/>
      <c r="N19" s="227"/>
      <c r="O19" s="228"/>
    </row>
    <row r="20" spans="1:15" s="4" customFormat="1" ht="15.75" x14ac:dyDescent="0.25">
      <c r="C20" s="98"/>
      <c r="D20" s="93"/>
      <c r="E20" s="93"/>
      <c r="F20" s="93"/>
      <c r="G20" s="93"/>
      <c r="H20" s="93"/>
      <c r="I20" s="93"/>
      <c r="J20" s="93"/>
      <c r="K20" s="93"/>
      <c r="L20" s="93"/>
      <c r="M20" s="93"/>
      <c r="N20" s="93"/>
      <c r="O20" s="93"/>
    </row>
    <row r="21" spans="1:15" s="4" customFormat="1" ht="16.5" customHeight="1" x14ac:dyDescent="0.25">
      <c r="A21" s="378" t="s">
        <v>50</v>
      </c>
      <c r="B21" s="378"/>
      <c r="C21" s="87">
        <f>C15+C18+C19</f>
        <v>294629.2498500541</v>
      </c>
    </row>
    <row r="22" spans="1:15" s="4" customFormat="1" ht="14.25" customHeight="1" x14ac:dyDescent="0.25">
      <c r="C22" s="90"/>
    </row>
    <row r="23" spans="1:15" s="4" customFormat="1" ht="15.75" x14ac:dyDescent="0.25">
      <c r="A23" s="73" t="str">
        <f>"Direct Installation Costs (in "&amp;'Data Inputs'!B36&amp;" dollars)"</f>
        <v>Direct Installation Costs (in 2018 dollars)</v>
      </c>
      <c r="B23" s="73"/>
      <c r="C23" s="77"/>
      <c r="D23" s="73"/>
    </row>
    <row r="24" spans="1:15" s="4" customFormat="1" ht="15.75" x14ac:dyDescent="0.25">
      <c r="A24" s="83" t="s">
        <v>27</v>
      </c>
      <c r="B24" s="83" t="s">
        <v>28</v>
      </c>
      <c r="C24" s="84" t="s">
        <v>254</v>
      </c>
      <c r="D24" s="85"/>
      <c r="E24" s="80"/>
      <c r="F24" s="80"/>
    </row>
    <row r="25" spans="1:15" s="4" customFormat="1" ht="15.75" x14ac:dyDescent="0.25">
      <c r="A25" s="31" t="s">
        <v>3</v>
      </c>
      <c r="B25" s="31" t="s">
        <v>346</v>
      </c>
      <c r="C25" s="89">
        <f>0.08*C21</f>
        <v>23570.339988004329</v>
      </c>
    </row>
    <row r="26" spans="1:15" s="4" customFormat="1" ht="15.75" x14ac:dyDescent="0.25">
      <c r="A26" s="31" t="s">
        <v>89</v>
      </c>
      <c r="B26" s="31" t="s">
        <v>80</v>
      </c>
      <c r="C26" s="89">
        <f>0.14*C21</f>
        <v>41248.094979007576</v>
      </c>
    </row>
    <row r="27" spans="1:15" s="4" customFormat="1" ht="15.75" x14ac:dyDescent="0.25">
      <c r="A27" s="31" t="s">
        <v>4</v>
      </c>
      <c r="B27" s="31" t="s">
        <v>160</v>
      </c>
      <c r="C27" s="89">
        <f>0.04*C21</f>
        <v>11785.169994002164</v>
      </c>
    </row>
    <row r="28" spans="1:15" s="4" customFormat="1" ht="15.75" x14ac:dyDescent="0.25">
      <c r="A28" s="31" t="s">
        <v>5</v>
      </c>
      <c r="B28" s="31" t="s">
        <v>81</v>
      </c>
      <c r="C28" s="89">
        <f>0.02*C21</f>
        <v>5892.5849970010822</v>
      </c>
    </row>
    <row r="29" spans="1:15" s="4" customFormat="1" ht="15.75" x14ac:dyDescent="0.25">
      <c r="A29" s="31" t="s">
        <v>60</v>
      </c>
      <c r="B29" s="31" t="s">
        <v>83</v>
      </c>
      <c r="C29" s="89">
        <f>0.01*C21</f>
        <v>2946.2924985005411</v>
      </c>
    </row>
    <row r="30" spans="1:15" s="4" customFormat="1" ht="15.75" x14ac:dyDescent="0.25">
      <c r="A30" s="31" t="s">
        <v>6</v>
      </c>
      <c r="B30" s="31" t="s">
        <v>83</v>
      </c>
      <c r="C30" s="89">
        <f>0.01*C21</f>
        <v>2946.2924985005411</v>
      </c>
    </row>
    <row r="31" spans="1:15" s="4" customFormat="1" ht="15.75" x14ac:dyDescent="0.25">
      <c r="A31" s="191" t="s">
        <v>7</v>
      </c>
      <c r="B31" s="213"/>
      <c r="C31" s="89">
        <f>'Data Inputs'!B54</f>
        <v>0</v>
      </c>
    </row>
    <row r="32" spans="1:15" s="4" customFormat="1" ht="15.75" x14ac:dyDescent="0.25">
      <c r="A32" s="191" t="s">
        <v>8</v>
      </c>
      <c r="B32" s="213"/>
      <c r="C32" s="89">
        <f>'Data Inputs'!B55</f>
        <v>0</v>
      </c>
    </row>
    <row r="33" spans="1:6" s="4" customFormat="1" ht="15.75" x14ac:dyDescent="0.25">
      <c r="A33" s="45"/>
      <c r="B33" s="45"/>
      <c r="C33" s="100"/>
    </row>
    <row r="34" spans="1:6" s="4" customFormat="1" ht="15.75" x14ac:dyDescent="0.25">
      <c r="A34" s="82"/>
      <c r="B34" s="81" t="s">
        <v>161</v>
      </c>
      <c r="C34" s="87">
        <f>SUM(C25:C32)+C21</f>
        <v>383018.02480507031</v>
      </c>
    </row>
    <row r="35" spans="1:6" s="4" customFormat="1" ht="15.75" x14ac:dyDescent="0.25">
      <c r="A35" s="45"/>
      <c r="B35" s="45"/>
      <c r="C35" s="90"/>
    </row>
    <row r="36" spans="1:6" s="4" customFormat="1" ht="15.75" x14ac:dyDescent="0.25">
      <c r="A36" s="73" t="str">
        <f>"Total Indirect Installation Costs (in "&amp;'Data Inputs'!B36&amp;" dollars)"</f>
        <v>Total Indirect Installation Costs (in 2018 dollars)</v>
      </c>
      <c r="B36" s="73"/>
      <c r="C36" s="77"/>
      <c r="D36" s="73"/>
    </row>
    <row r="37" spans="1:6" s="4" customFormat="1" ht="15.75" x14ac:dyDescent="0.25">
      <c r="A37" s="83" t="s">
        <v>27</v>
      </c>
      <c r="B37" s="83" t="s">
        <v>28</v>
      </c>
      <c r="C37" s="84" t="s">
        <v>254</v>
      </c>
      <c r="D37" s="85"/>
      <c r="E37" s="80"/>
      <c r="F37" s="80"/>
    </row>
    <row r="38" spans="1:6" s="4" customFormat="1" ht="15.75" x14ac:dyDescent="0.25">
      <c r="A38" s="191" t="s">
        <v>9</v>
      </c>
      <c r="B38" s="214" t="s">
        <v>82</v>
      </c>
      <c r="C38" s="89">
        <f>(0.1*C$21)</f>
        <v>29462.924985005411</v>
      </c>
    </row>
    <row r="39" spans="1:6" s="4" customFormat="1" ht="15.75" x14ac:dyDescent="0.25">
      <c r="A39" s="191" t="s">
        <v>10</v>
      </c>
      <c r="B39" s="214" t="s">
        <v>84</v>
      </c>
      <c r="C39" s="89">
        <f>(0.05*C$21)</f>
        <v>14731.462492502706</v>
      </c>
    </row>
    <row r="40" spans="1:6" s="4" customFormat="1" ht="15.75" x14ac:dyDescent="0.25">
      <c r="A40" s="191" t="s">
        <v>11</v>
      </c>
      <c r="B40" s="214" t="s">
        <v>82</v>
      </c>
      <c r="C40" s="89">
        <f>(0.1*C$21)</f>
        <v>29462.924985005411</v>
      </c>
    </row>
    <row r="41" spans="1:6" s="4" customFormat="1" ht="15.75" x14ac:dyDescent="0.25">
      <c r="A41" s="191" t="s">
        <v>12</v>
      </c>
      <c r="B41" s="214" t="s">
        <v>81</v>
      </c>
      <c r="C41" s="89">
        <f>(0.02*C$21)</f>
        <v>5892.5849970010822</v>
      </c>
    </row>
    <row r="42" spans="1:6" s="4" customFormat="1" ht="15.75" x14ac:dyDescent="0.25">
      <c r="A42" s="191" t="s">
        <v>13</v>
      </c>
      <c r="B42" s="214" t="s">
        <v>83</v>
      </c>
      <c r="C42" s="89">
        <f>(0.01*C$21)</f>
        <v>2946.2924985005411</v>
      </c>
    </row>
    <row r="43" spans="1:6" s="93" customFormat="1" ht="15.75" x14ac:dyDescent="0.25">
      <c r="A43" s="101"/>
      <c r="B43" s="102"/>
      <c r="C43" s="98"/>
    </row>
    <row r="44" spans="1:6" s="4" customFormat="1" ht="15.75" x14ac:dyDescent="0.25">
      <c r="A44" s="378" t="s">
        <v>14</v>
      </c>
      <c r="B44" s="378"/>
      <c r="C44" s="87">
        <f>(SUM(C38:C42))</f>
        <v>82496.189958015151</v>
      </c>
    </row>
    <row r="45" spans="1:6" s="93" customFormat="1" ht="15.75" x14ac:dyDescent="0.25">
      <c r="A45" s="180" t="s">
        <v>274</v>
      </c>
      <c r="B45" s="180" t="s">
        <v>101</v>
      </c>
      <c r="C45" s="87">
        <f>(C34+C44)*('Data Inputs'!B57/100)</f>
        <v>46551.421476308547</v>
      </c>
    </row>
    <row r="46" spans="1:6" s="31" customFormat="1" ht="15.75" x14ac:dyDescent="0.25">
      <c r="A46" s="256"/>
      <c r="B46" s="256"/>
      <c r="C46" s="165"/>
    </row>
    <row r="47" spans="1:6" s="4" customFormat="1" ht="15.75" x14ac:dyDescent="0.25">
      <c r="A47" s="103" t="s">
        <v>167</v>
      </c>
      <c r="B47" s="104" t="s">
        <v>162</v>
      </c>
      <c r="C47" s="113">
        <f>C34+C44+C45</f>
        <v>512065.63623939402</v>
      </c>
      <c r="D47" s="105" t="str">
        <f>"in "&amp;'Data Inputs'!$B$36&amp;" dollars"</f>
        <v>in 2018 dollars</v>
      </c>
    </row>
    <row r="48" spans="1:6" s="93" customFormat="1" ht="15.75" x14ac:dyDescent="0.25">
      <c r="A48" s="180"/>
      <c r="B48" s="180"/>
      <c r="C48" s="88"/>
    </row>
    <row r="49" spans="1:6" s="4" customFormat="1" ht="21" x14ac:dyDescent="0.35">
      <c r="A49" s="376" t="s">
        <v>57</v>
      </c>
      <c r="B49" s="376"/>
      <c r="C49" s="376"/>
      <c r="D49" s="376"/>
    </row>
    <row r="50" spans="1:6" s="93" customFormat="1" ht="15.75" x14ac:dyDescent="0.25">
      <c r="A50" s="106"/>
      <c r="B50" s="107"/>
      <c r="C50" s="108"/>
    </row>
    <row r="51" spans="1:6" s="4" customFormat="1" ht="15.75" x14ac:dyDescent="0.25">
      <c r="A51" s="73" t="s">
        <v>36</v>
      </c>
      <c r="B51" s="73"/>
      <c r="C51" s="73"/>
      <c r="D51" s="73"/>
    </row>
    <row r="52" spans="1:6" s="4" customFormat="1" ht="15.75" x14ac:dyDescent="0.25">
      <c r="A52" s="83" t="s">
        <v>27</v>
      </c>
      <c r="B52" s="83" t="s">
        <v>28</v>
      </c>
      <c r="C52" s="84" t="s">
        <v>254</v>
      </c>
      <c r="D52" s="85"/>
      <c r="E52" s="80"/>
      <c r="F52" s="80"/>
    </row>
    <row r="53" spans="1:6" s="4" customFormat="1" ht="18.75" x14ac:dyDescent="0.35">
      <c r="A53" s="4" t="s">
        <v>51</v>
      </c>
      <c r="B53" s="209" t="s">
        <v>145</v>
      </c>
      <c r="C53" s="89">
        <f>'Data Inputs'!B43*'Design Parameters'!C44</f>
        <v>8780.4143240727717</v>
      </c>
    </row>
    <row r="54" spans="1:6" s="4" customFormat="1" ht="18.75" x14ac:dyDescent="0.35">
      <c r="A54" s="4" t="s">
        <v>127</v>
      </c>
      <c r="B54" s="109" t="s">
        <v>152</v>
      </c>
      <c r="C54" s="89">
        <f>('Design Parameters'!C47/1000)*'Data Inputs'!B44</f>
        <v>15120</v>
      </c>
    </row>
    <row r="55" spans="1:6" s="4" customFormat="1" ht="18.75" x14ac:dyDescent="0.35">
      <c r="A55" s="4" t="s">
        <v>128</v>
      </c>
      <c r="B55" s="109" t="s">
        <v>132</v>
      </c>
      <c r="C55" s="89">
        <f>('Design Parameters'!C51/1000)*'Data Inputs'!B45</f>
        <v>36821.735999999997</v>
      </c>
    </row>
    <row r="56" spans="1:6" s="4" customFormat="1" ht="15.75" x14ac:dyDescent="0.25">
      <c r="A56" s="4" t="s">
        <v>156</v>
      </c>
      <c r="B56" s="110" t="s">
        <v>85</v>
      </c>
      <c r="C56" s="89">
        <f>0.5*'Data Inputs'!B46*'Data Inputs'!B11/8</f>
        <v>14839.2</v>
      </c>
      <c r="D56" s="111"/>
    </row>
    <row r="57" spans="1:6" s="4" customFormat="1" ht="15.75" x14ac:dyDescent="0.25">
      <c r="B57" s="110" t="s">
        <v>34</v>
      </c>
      <c r="C57" s="89">
        <f>(0.15*C56)</f>
        <v>2225.88</v>
      </c>
      <c r="D57" s="111"/>
    </row>
    <row r="58" spans="1:6" s="4" customFormat="1" ht="15.75" x14ac:dyDescent="0.25">
      <c r="A58" s="4" t="s">
        <v>157</v>
      </c>
      <c r="B58" s="110" t="s">
        <v>86</v>
      </c>
      <c r="C58" s="89">
        <f>(0.5*'Data Inputs'!B47*'Data Inputs'!B11/8)</f>
        <v>16324.2</v>
      </c>
      <c r="D58" s="111"/>
    </row>
    <row r="59" spans="1:6" s="4" customFormat="1" ht="15.75" x14ac:dyDescent="0.25">
      <c r="B59" s="110" t="s">
        <v>35</v>
      </c>
      <c r="C59" s="89">
        <f>C58</f>
        <v>16324.2</v>
      </c>
      <c r="D59" s="111"/>
    </row>
    <row r="60" spans="1:6" s="4" customFormat="1" ht="18.75" x14ac:dyDescent="0.35">
      <c r="A60" s="31" t="s">
        <v>155</v>
      </c>
      <c r="B60" s="216" t="s">
        <v>166</v>
      </c>
      <c r="C60" s="303">
        <f>IF(B8="Continuous Operation",'Design Parameters'!C66*(('Data Inputs'!B47*'Design Parameters'!C27)/'Data Inputs'!B23),'Design Parameters'!C66*(('Data Inputs'!B47*'Design Parameters'!C28)/'Data Inputs'!B23))</f>
        <v>198.90274100217837</v>
      </c>
      <c r="D60" s="111"/>
    </row>
    <row r="61" spans="1:6" s="4" customFormat="1" ht="18.75" x14ac:dyDescent="0.35">
      <c r="A61" s="31"/>
      <c r="B61" s="216" t="s">
        <v>275</v>
      </c>
      <c r="C61" s="303">
        <f>IF(B8="Continuous Operation",'Design Parameters'!C66*'Data Inputs'!B48*'Design Parameters'!C27*1.08, 'Design Parameters'!C66*'Data Inputs'!B48*'Design Parameters'!C27*1.08)</f>
        <v>11311.361355522626</v>
      </c>
      <c r="D61" s="111"/>
    </row>
    <row r="62" spans="1:6" s="4" customFormat="1" ht="15.75" x14ac:dyDescent="0.25">
      <c r="C62" s="38"/>
      <c r="D62" s="111"/>
    </row>
    <row r="63" spans="1:6" s="4" customFormat="1" ht="15.75" x14ac:dyDescent="0.25">
      <c r="B63" s="110"/>
      <c r="C63" s="112"/>
      <c r="D63" s="111"/>
    </row>
    <row r="64" spans="1:6" s="4" customFormat="1" ht="15.75" x14ac:dyDescent="0.25">
      <c r="A64" s="103" t="s">
        <v>102</v>
      </c>
      <c r="B64" s="104"/>
      <c r="C64" s="113">
        <f>SUM(C53:C61)</f>
        <v>121945.89442059759</v>
      </c>
      <c r="D64" s="105" t="str">
        <f>"in "&amp;'Data Inputs'!$B$36&amp;" dollars"</f>
        <v>in 2018 dollars</v>
      </c>
    </row>
    <row r="65" spans="1:6" s="4" customFormat="1" ht="15.75" x14ac:dyDescent="0.25">
      <c r="B65" s="110"/>
      <c r="C65" s="112"/>
      <c r="D65" s="111"/>
    </row>
    <row r="66" spans="1:6" s="4" customFormat="1" ht="15.75" x14ac:dyDescent="0.25">
      <c r="A66" s="73" t="s">
        <v>37</v>
      </c>
      <c r="B66" s="73"/>
      <c r="C66" s="73"/>
      <c r="D66" s="73"/>
    </row>
    <row r="67" spans="1:6" s="4" customFormat="1" ht="15.75" x14ac:dyDescent="0.25">
      <c r="A67" s="83" t="s">
        <v>27</v>
      </c>
      <c r="B67" s="83" t="s">
        <v>28</v>
      </c>
      <c r="C67" s="84" t="s">
        <v>254</v>
      </c>
      <c r="D67" s="85"/>
      <c r="E67" s="80"/>
      <c r="F67" s="80"/>
    </row>
    <row r="68" spans="1:6" s="114" customFormat="1" ht="31.5" x14ac:dyDescent="0.25">
      <c r="A68" s="86" t="s">
        <v>38</v>
      </c>
      <c r="B68" s="215" t="s">
        <v>47</v>
      </c>
      <c r="C68" s="87">
        <f>(0.6*(C56+C57+C58+C59))</f>
        <v>29828.087999999996</v>
      </c>
      <c r="D68" s="116"/>
    </row>
    <row r="69" spans="1:6" s="114" customFormat="1" ht="15.75" x14ac:dyDescent="0.25">
      <c r="A69" s="86" t="s">
        <v>39</v>
      </c>
      <c r="B69" s="215" t="s">
        <v>40</v>
      </c>
      <c r="C69" s="87">
        <f>(0.02*C47)</f>
        <v>10241.31272478788</v>
      </c>
      <c r="D69" s="116"/>
    </row>
    <row r="70" spans="1:6" s="114" customFormat="1" ht="15.75" x14ac:dyDescent="0.25">
      <c r="A70" s="86" t="s">
        <v>41</v>
      </c>
      <c r="B70" s="215" t="s">
        <v>42</v>
      </c>
      <c r="C70" s="87">
        <f>0.01*C47</f>
        <v>5120.6563623939401</v>
      </c>
      <c r="D70" s="116"/>
    </row>
    <row r="71" spans="1:6" s="114" customFormat="1" ht="15.75" x14ac:dyDescent="0.25">
      <c r="A71" s="86" t="s">
        <v>43</v>
      </c>
      <c r="B71" s="215" t="s">
        <v>42</v>
      </c>
      <c r="C71" s="87">
        <f>0.01*C47</f>
        <v>5120.6563623939401</v>
      </c>
      <c r="D71" s="116"/>
    </row>
    <row r="72" spans="1:6" s="4" customFormat="1" ht="18.75" x14ac:dyDescent="0.35">
      <c r="A72" s="86" t="s">
        <v>44</v>
      </c>
      <c r="B72" s="215" t="s">
        <v>327</v>
      </c>
      <c r="C72" s="89">
        <f>'Design Parameters'!$C$64*(C47-((C61/'Design Parameters'!C66)+(C60/'Design Parameters'!C66)))</f>
        <v>44532.509130880091</v>
      </c>
      <c r="D72" s="111"/>
    </row>
    <row r="73" spans="1:6" s="4" customFormat="1" ht="15.75" x14ac:dyDescent="0.25">
      <c r="A73" s="114"/>
      <c r="B73" s="115"/>
      <c r="C73" s="168"/>
      <c r="D73" s="111"/>
    </row>
    <row r="74" spans="1:6" s="4" customFormat="1" ht="15.75" x14ac:dyDescent="0.25">
      <c r="A74" s="103" t="s">
        <v>103</v>
      </c>
      <c r="B74" s="104"/>
      <c r="C74" s="113">
        <f>SUM(C68:C72)</f>
        <v>94843.222580455855</v>
      </c>
      <c r="D74" s="105" t="str">
        <f>"in "&amp;'Data Inputs'!$B$36&amp;" dollars"</f>
        <v>in 2018 dollars</v>
      </c>
    </row>
    <row r="75" spans="1:6" s="93" customFormat="1" ht="15.75" x14ac:dyDescent="0.25">
      <c r="A75" s="106"/>
      <c r="B75" s="107"/>
      <c r="C75" s="197"/>
      <c r="D75" s="198"/>
    </row>
    <row r="76" spans="1:6" s="4" customFormat="1" ht="15.75" x14ac:dyDescent="0.25">
      <c r="A76" s="103" t="s">
        <v>119</v>
      </c>
      <c r="B76" s="104"/>
      <c r="C76" s="113"/>
      <c r="D76" s="105"/>
    </row>
    <row r="77" spans="1:6" s="31" customFormat="1" ht="15.75" x14ac:dyDescent="0.25">
      <c r="A77" s="162"/>
      <c r="B77" s="163"/>
      <c r="C77" s="187"/>
      <c r="D77" s="164"/>
    </row>
    <row r="78" spans="1:6" ht="15.75" x14ac:dyDescent="0.25">
      <c r="A78" s="73" t="s">
        <v>106</v>
      </c>
      <c r="B78" s="199"/>
      <c r="C78" s="200"/>
      <c r="D78" s="196"/>
    </row>
    <row r="79" spans="1:6" s="4" customFormat="1" ht="15.75" x14ac:dyDescent="0.25">
      <c r="A79" s="83" t="s">
        <v>27</v>
      </c>
      <c r="B79" s="83" t="s">
        <v>28</v>
      </c>
      <c r="C79" s="84" t="s">
        <v>254</v>
      </c>
      <c r="D79" s="85"/>
      <c r="E79" s="80"/>
      <c r="F79" s="80"/>
    </row>
    <row r="80" spans="1:6" s="185" customFormat="1" ht="18" x14ac:dyDescent="0.35">
      <c r="A80" s="188" t="s">
        <v>107</v>
      </c>
      <c r="B80" s="195" t="s">
        <v>118</v>
      </c>
      <c r="C80" s="217">
        <f>'Design Parameters'!C9*2000*'Data Inputs'!B51</f>
        <v>0</v>
      </c>
      <c r="D80" s="186"/>
    </row>
    <row r="81" spans="1:21" s="185" customFormat="1" x14ac:dyDescent="0.25">
      <c r="A81" s="182"/>
      <c r="B81" s="183"/>
      <c r="C81" s="184"/>
      <c r="D81" s="186"/>
    </row>
    <row r="82" spans="1:21" s="4" customFormat="1" ht="15.75" x14ac:dyDescent="0.25">
      <c r="A82" s="114"/>
      <c r="B82" s="115"/>
      <c r="C82" s="117"/>
      <c r="D82" s="111"/>
    </row>
    <row r="83" spans="1:21" s="4" customFormat="1" ht="15.75" x14ac:dyDescent="0.25">
      <c r="A83" s="73" t="s">
        <v>53</v>
      </c>
      <c r="B83" s="73"/>
      <c r="C83" s="73"/>
      <c r="D83" s="73"/>
    </row>
    <row r="84" spans="1:21" s="4" customFormat="1" ht="15.75" x14ac:dyDescent="0.25">
      <c r="A84" s="83" t="s">
        <v>27</v>
      </c>
      <c r="B84" s="83" t="s">
        <v>28</v>
      </c>
      <c r="C84" s="84" t="s">
        <v>254</v>
      </c>
      <c r="D84" s="85"/>
      <c r="E84" s="80"/>
      <c r="F84" s="80"/>
    </row>
    <row r="85" spans="1:21" s="4" customFormat="1" ht="18.75" x14ac:dyDescent="0.35">
      <c r="A85" s="114" t="s">
        <v>46</v>
      </c>
      <c r="B85" s="201" t="s">
        <v>153</v>
      </c>
      <c r="C85" s="118">
        <f>'Design Parameters'!C9*2000*'Data Inputs'!B50</f>
        <v>279417.60000000003</v>
      </c>
      <c r="D85" s="99"/>
    </row>
    <row r="86" spans="1:21" s="4" customFormat="1" ht="15.75" x14ac:dyDescent="0.25">
      <c r="A86" s="114"/>
      <c r="B86" s="115"/>
      <c r="C86" s="119"/>
      <c r="D86" s="111"/>
    </row>
    <row r="87" spans="1:21" s="4" customFormat="1" ht="18.75" x14ac:dyDescent="0.35">
      <c r="A87" s="103" t="s">
        <v>55</v>
      </c>
      <c r="B87" s="104" t="s">
        <v>291</v>
      </c>
      <c r="C87" s="113">
        <f>C74+C64+C80-C85</f>
        <v>-62628.482998946594</v>
      </c>
      <c r="D87" s="105" t="str">
        <f>"in "&amp;'Data Inputs'!$B$36&amp;" dollars"</f>
        <v>in 2018 dollars</v>
      </c>
    </row>
    <row r="88" spans="1:21" s="4" customFormat="1" ht="15.75" x14ac:dyDescent="0.25">
      <c r="C88" s="45"/>
    </row>
    <row r="89" spans="1:21" s="4" customFormat="1" ht="21" x14ac:dyDescent="0.35">
      <c r="A89" s="376" t="s">
        <v>23</v>
      </c>
      <c r="B89" s="376"/>
      <c r="C89" s="376"/>
      <c r="D89" s="376"/>
      <c r="E89" s="10"/>
      <c r="F89" s="10"/>
      <c r="G89" s="10"/>
      <c r="H89" s="10"/>
      <c r="I89" s="10"/>
      <c r="J89" s="10"/>
      <c r="K89" s="10"/>
      <c r="L89" s="10"/>
      <c r="M89" s="10"/>
      <c r="N89" s="10"/>
      <c r="O89" s="10"/>
      <c r="P89" s="10"/>
      <c r="Q89" s="10"/>
      <c r="R89" s="10"/>
      <c r="S89" s="10"/>
      <c r="T89" s="10"/>
      <c r="U89" s="11"/>
    </row>
    <row r="90" spans="1:21" s="31" customFormat="1" ht="15.75" x14ac:dyDescent="0.25">
      <c r="C90" s="213"/>
      <c r="D90" s="10"/>
      <c r="E90" s="10"/>
      <c r="F90" s="10"/>
      <c r="G90" s="10"/>
      <c r="H90" s="10"/>
      <c r="I90" s="10"/>
      <c r="J90" s="10"/>
      <c r="K90" s="10"/>
      <c r="L90" s="10"/>
      <c r="M90" s="10"/>
      <c r="N90" s="10"/>
      <c r="O90" s="10"/>
      <c r="P90" s="10"/>
      <c r="Q90" s="10"/>
      <c r="R90" s="10"/>
      <c r="S90" s="10"/>
      <c r="T90" s="10"/>
      <c r="U90" s="10"/>
    </row>
    <row r="91" spans="1:21" s="4" customFormat="1" ht="15.75" x14ac:dyDescent="0.25">
      <c r="A91" s="74" t="s">
        <v>54</v>
      </c>
      <c r="B91" s="74"/>
      <c r="C91" s="74"/>
      <c r="D91" s="74"/>
      <c r="E91" s="10"/>
      <c r="F91" s="10"/>
      <c r="G91" s="10"/>
      <c r="H91" s="10"/>
      <c r="I91" s="10"/>
      <c r="J91" s="10"/>
      <c r="K91" s="10"/>
      <c r="L91" s="10"/>
      <c r="M91" s="10"/>
      <c r="N91" s="10"/>
      <c r="O91" s="10"/>
      <c r="P91" s="10"/>
      <c r="Q91" s="10"/>
      <c r="R91" s="10"/>
      <c r="S91" s="10"/>
      <c r="T91" s="10"/>
      <c r="U91" s="11"/>
    </row>
    <row r="92" spans="1:21" s="4" customFormat="1" ht="15.75" x14ac:dyDescent="0.25">
      <c r="A92" s="83" t="s">
        <v>27</v>
      </c>
      <c r="B92" s="83" t="s">
        <v>28</v>
      </c>
      <c r="C92" s="84" t="s">
        <v>254</v>
      </c>
      <c r="D92" s="123"/>
      <c r="E92" s="80"/>
      <c r="F92" s="80"/>
    </row>
    <row r="93" spans="1:21" s="4" customFormat="1" ht="15.75" x14ac:dyDescent="0.25">
      <c r="A93" s="14" t="s">
        <v>45</v>
      </c>
      <c r="B93" s="19" t="s">
        <v>56</v>
      </c>
      <c r="C93" s="121">
        <f>C87</f>
        <v>-62628.482998946594</v>
      </c>
      <c r="D93" s="122" t="str">
        <f>"per year in "&amp;'Data Inputs'!B36&amp; " dollars"</f>
        <v>per year in 2018 dollars</v>
      </c>
      <c r="E93" s="10"/>
      <c r="F93" s="10"/>
      <c r="G93" s="10"/>
      <c r="H93" s="10"/>
      <c r="I93" s="10"/>
      <c r="J93" s="10"/>
      <c r="K93" s="10"/>
      <c r="L93" s="10"/>
      <c r="M93" s="10"/>
      <c r="N93" s="10"/>
      <c r="O93" s="10"/>
      <c r="P93" s="10"/>
      <c r="Q93" s="10"/>
      <c r="R93" s="10"/>
      <c r="S93" s="10"/>
      <c r="T93" s="10"/>
      <c r="U93" s="11"/>
    </row>
    <row r="94" spans="1:21" s="4" customFormat="1" ht="18.75" x14ac:dyDescent="0.35">
      <c r="A94" s="14" t="s">
        <v>87</v>
      </c>
      <c r="B94" s="210" t="s">
        <v>154</v>
      </c>
      <c r="C94" s="218">
        <f>'Data Inputs'!B13*'Data Inputs'!B11*('Data Inputs'!B15/100)*(1/2000)</f>
        <v>423.36</v>
      </c>
      <c r="D94" s="69" t="s">
        <v>24</v>
      </c>
      <c r="E94" s="10"/>
      <c r="F94" s="10"/>
      <c r="G94" s="10"/>
      <c r="H94" s="10"/>
      <c r="I94" s="10"/>
      <c r="J94" s="10"/>
      <c r="K94" s="10"/>
      <c r="L94" s="10"/>
      <c r="M94" s="10"/>
      <c r="N94" s="10"/>
      <c r="O94" s="10"/>
      <c r="P94" s="10"/>
      <c r="Q94" s="10"/>
      <c r="R94" s="10"/>
      <c r="S94" s="10"/>
      <c r="T94" s="10"/>
      <c r="U94" s="11"/>
    </row>
    <row r="95" spans="1:21" s="4" customFormat="1" ht="15.75" x14ac:dyDescent="0.25">
      <c r="A95" s="167" t="s">
        <v>25</v>
      </c>
      <c r="B95" s="19" t="s">
        <v>146</v>
      </c>
      <c r="C95" s="219">
        <f>C93/C94</f>
        <v>-147.93197987279524</v>
      </c>
      <c r="D95" s="69" t="str">
        <f>"per ton of pollutants removed/recovered in "&amp;'Data Inputs'!B36&amp; " dollars"</f>
        <v>per ton of pollutants removed/recovered in 2018 dollars</v>
      </c>
      <c r="E95" s="169"/>
      <c r="F95" s="10"/>
      <c r="G95" s="10"/>
      <c r="H95" s="10"/>
      <c r="I95" s="10"/>
      <c r="J95" s="10"/>
      <c r="K95" s="10"/>
      <c r="L95" s="10"/>
      <c r="M95" s="10"/>
      <c r="N95" s="10"/>
      <c r="O95" s="10"/>
      <c r="P95" s="10"/>
      <c r="Q95" s="10"/>
      <c r="R95" s="10"/>
      <c r="S95" s="10"/>
      <c r="T95" s="10"/>
      <c r="U95" s="11"/>
    </row>
    <row r="96" spans="1:21" s="31" customFormat="1" ht="16.5" thickBot="1" x14ac:dyDescent="0.3">
      <c r="A96" s="247"/>
      <c r="B96" s="247"/>
      <c r="C96" s="247"/>
      <c r="D96" s="247"/>
    </row>
    <row r="97" spans="1:15" s="31" customFormat="1" ht="15.75" hidden="1" x14ac:dyDescent="0.25">
      <c r="A97" s="320" t="s">
        <v>341</v>
      </c>
      <c r="B97" s="320"/>
      <c r="C97" s="321"/>
      <c r="D97" s="320"/>
    </row>
    <row r="98" spans="1:15" s="31" customFormat="1" ht="18.75" hidden="1" x14ac:dyDescent="0.35">
      <c r="A98" s="31" t="s">
        <v>293</v>
      </c>
      <c r="B98" s="301" t="s">
        <v>318</v>
      </c>
      <c r="C98" s="303">
        <f>'Design Parameters'!C61*'Data Inputs'!B42</f>
        <v>5869200</v>
      </c>
      <c r="D98" s="379"/>
      <c r="N98" s="229"/>
      <c r="O98" s="229"/>
    </row>
    <row r="99" spans="1:15" s="4" customFormat="1" ht="19.5" hidden="1" x14ac:dyDescent="0.35">
      <c r="A99" s="31" t="s">
        <v>169</v>
      </c>
      <c r="B99" s="93" t="s">
        <v>170</v>
      </c>
      <c r="C99" s="89">
        <f>'Data Inputs'!B56</f>
        <v>32000</v>
      </c>
      <c r="D99" s="379"/>
      <c r="M99" s="223"/>
      <c r="N99" s="226"/>
      <c r="O99" s="230"/>
    </row>
    <row r="100" spans="1:15" s="4" customFormat="1" ht="19.5" hidden="1" x14ac:dyDescent="0.35">
      <c r="A100" s="38" t="s">
        <v>271</v>
      </c>
      <c r="B100" s="222" t="s">
        <v>175</v>
      </c>
      <c r="C100" s="89">
        <f>C98+C99</f>
        <v>5901200</v>
      </c>
      <c r="D100" s="379"/>
      <c r="E100" s="92"/>
      <c r="F100" s="92"/>
      <c r="G100" s="93"/>
      <c r="H100" s="93"/>
      <c r="I100" s="93"/>
      <c r="J100" s="93"/>
      <c r="K100" s="93"/>
      <c r="L100" s="93"/>
      <c r="M100" s="223"/>
      <c r="N100" s="227"/>
      <c r="O100" s="228"/>
    </row>
    <row r="101" spans="1:15" s="94" customFormat="1" ht="18.75" hidden="1" x14ac:dyDescent="0.3">
      <c r="A101" s="212"/>
      <c r="B101" s="212"/>
      <c r="C101" s="166"/>
      <c r="D101" s="379"/>
      <c r="E101" s="96"/>
      <c r="F101" s="96"/>
      <c r="G101" s="97"/>
      <c r="H101" s="97"/>
      <c r="I101" s="97"/>
      <c r="J101" s="97"/>
      <c r="K101" s="97"/>
      <c r="L101" s="97"/>
      <c r="M101" s="223"/>
      <c r="N101" s="227"/>
      <c r="O101" s="228"/>
    </row>
    <row r="102" spans="1:15" s="4" customFormat="1" ht="18.75" hidden="1" x14ac:dyDescent="0.3">
      <c r="A102" s="31" t="s">
        <v>59</v>
      </c>
      <c r="B102" s="31" t="s">
        <v>77</v>
      </c>
      <c r="C102" s="89">
        <f>0.1*C100</f>
        <v>590120</v>
      </c>
      <c r="D102" s="379"/>
      <c r="E102" s="93"/>
      <c r="F102" s="92"/>
      <c r="G102" s="93"/>
      <c r="H102" s="93"/>
      <c r="I102" s="93"/>
      <c r="J102" s="93"/>
      <c r="K102" s="93"/>
      <c r="L102" s="93"/>
      <c r="M102" s="223"/>
      <c r="N102" s="227"/>
      <c r="O102" s="228"/>
    </row>
    <row r="103" spans="1:15" s="4" customFormat="1" ht="18.75" hidden="1" x14ac:dyDescent="0.3">
      <c r="A103" s="31" t="s">
        <v>1</v>
      </c>
      <c r="B103" s="31" t="s">
        <v>78</v>
      </c>
      <c r="C103" s="89">
        <f>0.03*C100</f>
        <v>177036</v>
      </c>
      <c r="D103" s="379"/>
      <c r="E103" s="93"/>
      <c r="F103" s="93"/>
      <c r="G103" s="93"/>
      <c r="H103" s="93"/>
      <c r="I103" s="93"/>
      <c r="J103" s="93"/>
      <c r="K103" s="93"/>
      <c r="L103" s="93"/>
      <c r="M103" s="225"/>
      <c r="N103" s="227"/>
      <c r="O103" s="228"/>
    </row>
    <row r="104" spans="1:15" s="4" customFormat="1" ht="18.75" hidden="1" x14ac:dyDescent="0.3">
      <c r="A104" s="31" t="s">
        <v>2</v>
      </c>
      <c r="B104" s="31" t="s">
        <v>79</v>
      </c>
      <c r="C104" s="89">
        <f>0.05*C100</f>
        <v>295060</v>
      </c>
      <c r="D104" s="379"/>
      <c r="E104" s="93"/>
      <c r="F104" s="93"/>
      <c r="G104" s="93"/>
      <c r="H104" s="93"/>
      <c r="I104" s="93"/>
      <c r="J104" s="93"/>
      <c r="K104" s="93"/>
      <c r="L104" s="93"/>
      <c r="M104" s="225"/>
      <c r="N104" s="227"/>
      <c r="O104" s="228"/>
    </row>
    <row r="105" spans="1:15" s="4" customFormat="1" ht="15.75" hidden="1" x14ac:dyDescent="0.25">
      <c r="C105" s="98"/>
      <c r="D105" s="93"/>
      <c r="E105" s="93"/>
      <c r="F105" s="93"/>
      <c r="G105" s="93"/>
      <c r="H105" s="93"/>
      <c r="I105" s="93"/>
      <c r="J105" s="93"/>
      <c r="K105" s="93"/>
      <c r="L105" s="93"/>
      <c r="M105" s="93"/>
      <c r="N105" s="93"/>
      <c r="O105" s="93"/>
    </row>
    <row r="106" spans="1:15" s="4" customFormat="1" ht="16.5" hidden="1" customHeight="1" x14ac:dyDescent="0.25">
      <c r="A106" s="378" t="s">
        <v>50</v>
      </c>
      <c r="B106" s="378"/>
      <c r="C106" s="87">
        <f>C100+C102+C103+C104</f>
        <v>6963416</v>
      </c>
    </row>
    <row r="107" spans="1:15" s="4" customFormat="1" ht="14.25" hidden="1" customHeight="1" x14ac:dyDescent="0.25">
      <c r="C107" s="90"/>
    </row>
    <row r="108" spans="1:15" s="4" customFormat="1" ht="15.75" hidden="1" x14ac:dyDescent="0.25">
      <c r="A108" s="73" t="str">
        <f>"Installation Costs (in "&amp;'Data Inputs'!B36&amp;" dollars)"</f>
        <v>Installation Costs (in 2018 dollars)</v>
      </c>
      <c r="B108" s="73"/>
      <c r="C108" s="77"/>
      <c r="D108" s="73"/>
    </row>
    <row r="109" spans="1:15" s="4" customFormat="1" ht="15.75" hidden="1" x14ac:dyDescent="0.25">
      <c r="A109" s="83" t="s">
        <v>27</v>
      </c>
      <c r="B109" s="83" t="s">
        <v>28</v>
      </c>
      <c r="C109" s="84" t="s">
        <v>254</v>
      </c>
      <c r="D109" s="85"/>
      <c r="E109" s="80"/>
      <c r="F109" s="80"/>
    </row>
    <row r="110" spans="1:15" s="4" customFormat="1" ht="15.75" hidden="1" x14ac:dyDescent="0.25">
      <c r="A110" s="31" t="s">
        <v>334</v>
      </c>
      <c r="B110" s="31" t="s">
        <v>315</v>
      </c>
      <c r="C110" s="89">
        <f>0.08*C106</f>
        <v>557073.28</v>
      </c>
    </row>
    <row r="111" spans="1:15" s="4" customFormat="1" ht="15.75" hidden="1" x14ac:dyDescent="0.25">
      <c r="A111" s="191" t="s">
        <v>7</v>
      </c>
      <c r="B111" s="213"/>
      <c r="C111" s="89">
        <f>'Data Inputs'!B133</f>
        <v>0</v>
      </c>
    </row>
    <row r="112" spans="1:15" s="4" customFormat="1" ht="15.75" hidden="1" x14ac:dyDescent="0.25">
      <c r="A112" s="191" t="s">
        <v>8</v>
      </c>
      <c r="B112" s="213"/>
      <c r="C112" s="89">
        <f>'Data Inputs'!B134</f>
        <v>0</v>
      </c>
    </row>
    <row r="113" spans="1:6" s="4" customFormat="1" ht="15.75" hidden="1" x14ac:dyDescent="0.25">
      <c r="A113" s="45"/>
      <c r="B113" s="45"/>
      <c r="C113" s="100"/>
    </row>
    <row r="114" spans="1:6" s="4" customFormat="1" ht="15.75" hidden="1" x14ac:dyDescent="0.25">
      <c r="A114" s="378" t="s">
        <v>337</v>
      </c>
      <c r="B114" s="378"/>
      <c r="C114" s="87">
        <f>(SUM(C110:C112))</f>
        <v>557073.28</v>
      </c>
    </row>
    <row r="115" spans="1:6" s="93" customFormat="1" ht="15.75" hidden="1" x14ac:dyDescent="0.25">
      <c r="A115" s="180" t="s">
        <v>274</v>
      </c>
      <c r="B115" s="180" t="s">
        <v>336</v>
      </c>
      <c r="C115" s="87">
        <f>(C114+C106)*('Data Inputs'!B57/100)</f>
        <v>752048.92800000007</v>
      </c>
    </row>
    <row r="116" spans="1:6" s="31" customFormat="1" ht="15.75" hidden="1" x14ac:dyDescent="0.25">
      <c r="A116" s="256"/>
      <c r="B116" s="256"/>
      <c r="C116" s="165"/>
    </row>
    <row r="117" spans="1:6" s="4" customFormat="1" ht="15.75" hidden="1" x14ac:dyDescent="0.25">
      <c r="A117" s="103" t="s">
        <v>167</v>
      </c>
      <c r="B117" s="104" t="s">
        <v>335</v>
      </c>
      <c r="C117" s="113">
        <f>C106+C114+C115</f>
        <v>8272538.2080000006</v>
      </c>
      <c r="D117" s="105" t="str">
        <f>"in "&amp;'Data Inputs'!$B$36&amp;" dollars"</f>
        <v>in 2018 dollars</v>
      </c>
    </row>
    <row r="118" spans="1:6" s="93" customFormat="1" ht="15.75" hidden="1" x14ac:dyDescent="0.25">
      <c r="A118" s="180"/>
      <c r="B118" s="180"/>
      <c r="C118" s="88"/>
    </row>
    <row r="119" spans="1:6" s="4" customFormat="1" ht="21" hidden="1" x14ac:dyDescent="0.35">
      <c r="A119" s="376" t="s">
        <v>57</v>
      </c>
      <c r="B119" s="376"/>
      <c r="C119" s="376"/>
      <c r="D119" s="376"/>
    </row>
    <row r="120" spans="1:6" s="93" customFormat="1" ht="15.75" hidden="1" x14ac:dyDescent="0.25">
      <c r="A120" s="106"/>
      <c r="B120" s="107"/>
      <c r="C120" s="108"/>
    </row>
    <row r="121" spans="1:6" s="4" customFormat="1" ht="15.75" hidden="1" x14ac:dyDescent="0.25">
      <c r="A121" s="73" t="s">
        <v>36</v>
      </c>
      <c r="B121" s="73"/>
      <c r="C121" s="73"/>
      <c r="D121" s="73"/>
    </row>
    <row r="122" spans="1:6" s="4" customFormat="1" ht="15.75" hidden="1" x14ac:dyDescent="0.25">
      <c r="A122" s="83" t="s">
        <v>27</v>
      </c>
      <c r="B122" s="83" t="s">
        <v>28</v>
      </c>
      <c r="C122" s="84" t="s">
        <v>254</v>
      </c>
      <c r="D122" s="85"/>
      <c r="E122" s="80"/>
      <c r="F122" s="80"/>
    </row>
    <row r="123" spans="1:6" s="4" customFormat="1" ht="23.25" hidden="1" customHeight="1" x14ac:dyDescent="0.25">
      <c r="A123" s="4" t="s">
        <v>156</v>
      </c>
      <c r="B123" s="110" t="s">
        <v>85</v>
      </c>
      <c r="C123" s="89">
        <f>0.5*'Data Inputs'!B46*'Data Inputs'!B11/8</f>
        <v>14839.2</v>
      </c>
      <c r="D123" s="380"/>
    </row>
    <row r="124" spans="1:6" s="4" customFormat="1" ht="15.75" hidden="1" x14ac:dyDescent="0.25">
      <c r="B124" s="110" t="s">
        <v>34</v>
      </c>
      <c r="C124" s="89">
        <f>(0.15*C123)</f>
        <v>2225.88</v>
      </c>
      <c r="D124" s="380"/>
    </row>
    <row r="125" spans="1:6" s="4" customFormat="1" ht="15.75" hidden="1" x14ac:dyDescent="0.25">
      <c r="A125" s="4" t="s">
        <v>157</v>
      </c>
      <c r="B125" s="110" t="s">
        <v>86</v>
      </c>
      <c r="C125" s="89">
        <f>(0.5*'Data Inputs'!B47*'Data Inputs'!B11/8)</f>
        <v>16324.2</v>
      </c>
      <c r="D125" s="380"/>
    </row>
    <row r="126" spans="1:6" s="4" customFormat="1" ht="15.75" hidden="1" x14ac:dyDescent="0.25">
      <c r="B126" s="110" t="s">
        <v>35</v>
      </c>
      <c r="C126" s="89">
        <f>C125</f>
        <v>16324.2</v>
      </c>
      <c r="D126" s="380"/>
    </row>
    <row r="127" spans="1:6" s="4" customFormat="1" ht="18.75" hidden="1" x14ac:dyDescent="0.35">
      <c r="A127" s="31" t="s">
        <v>155</v>
      </c>
      <c r="B127" s="216" t="s">
        <v>325</v>
      </c>
      <c r="C127" s="303">
        <f>'Design Parameters'!C66*'Data Inputs'!B46*'Design Parameters'!C62/'Data Inputs'!B23</f>
        <v>22005.8161284173</v>
      </c>
      <c r="D127" s="111"/>
    </row>
    <row r="128" spans="1:6" s="4" customFormat="1" ht="18.75" hidden="1" x14ac:dyDescent="0.35">
      <c r="A128" s="31"/>
      <c r="B128" s="216" t="s">
        <v>324</v>
      </c>
      <c r="C128" s="303">
        <f>'Design Parameters'!C66*'Data Inputs'!B48*'Design Parameters'!C62*1.08</f>
        <v>1376680.013183109</v>
      </c>
      <c r="D128" s="111"/>
    </row>
    <row r="129" spans="1:6" s="4" customFormat="1" ht="15.75" hidden="1" x14ac:dyDescent="0.25">
      <c r="C129" s="31"/>
      <c r="D129" s="111"/>
    </row>
    <row r="130" spans="1:6" s="4" customFormat="1" ht="15.75" hidden="1" x14ac:dyDescent="0.25">
      <c r="B130" s="110"/>
      <c r="C130" s="112"/>
      <c r="D130" s="111"/>
    </row>
    <row r="131" spans="1:6" s="4" customFormat="1" ht="15.75" hidden="1" x14ac:dyDescent="0.25">
      <c r="A131" s="103" t="s">
        <v>102</v>
      </c>
      <c r="B131" s="104"/>
      <c r="C131" s="113">
        <f>SUM(C123:C128)</f>
        <v>1448399.3093115264</v>
      </c>
      <c r="D131" s="105" t="str">
        <f>"in "&amp;'Data Inputs'!$B$36&amp;" dollars"</f>
        <v>in 2018 dollars</v>
      </c>
    </row>
    <row r="132" spans="1:6" s="4" customFormat="1" ht="15.75" hidden="1" x14ac:dyDescent="0.25">
      <c r="B132" s="110"/>
      <c r="C132" s="112"/>
      <c r="D132" s="111"/>
    </row>
    <row r="133" spans="1:6" s="4" customFormat="1" ht="15.75" hidden="1" x14ac:dyDescent="0.25">
      <c r="A133" s="73" t="s">
        <v>37</v>
      </c>
      <c r="B133" s="73"/>
      <c r="C133" s="73"/>
      <c r="D133" s="73"/>
    </row>
    <row r="134" spans="1:6" s="4" customFormat="1" ht="15.75" hidden="1" x14ac:dyDescent="0.25">
      <c r="A134" s="83" t="s">
        <v>27</v>
      </c>
      <c r="B134" s="83" t="s">
        <v>28</v>
      </c>
      <c r="C134" s="84" t="s">
        <v>254</v>
      </c>
      <c r="D134" s="85"/>
      <c r="E134" s="80"/>
      <c r="F134" s="80"/>
    </row>
    <row r="135" spans="1:6" s="114" customFormat="1" ht="31.5" hidden="1" x14ac:dyDescent="0.25">
      <c r="A135" s="86" t="s">
        <v>38</v>
      </c>
      <c r="B135" s="215" t="s">
        <v>47</v>
      </c>
      <c r="C135" s="87">
        <f>(0.6*(C123+C124+C125+C126))</f>
        <v>29828.087999999996</v>
      </c>
      <c r="D135" s="314"/>
    </row>
    <row r="136" spans="1:6" s="114" customFormat="1" ht="15.75" hidden="1" x14ac:dyDescent="0.25">
      <c r="A136" s="86" t="s">
        <v>39</v>
      </c>
      <c r="B136" s="215" t="s">
        <v>40</v>
      </c>
      <c r="C136" s="87">
        <f>(0.02*C117)</f>
        <v>165450.76416000002</v>
      </c>
      <c r="D136" s="116"/>
    </row>
    <row r="137" spans="1:6" s="114" customFormat="1" ht="15.75" hidden="1" x14ac:dyDescent="0.25">
      <c r="A137" s="86" t="s">
        <v>41</v>
      </c>
      <c r="B137" s="215" t="s">
        <v>42</v>
      </c>
      <c r="C137" s="87">
        <f>0.01*C117</f>
        <v>82725.38208000001</v>
      </c>
      <c r="D137" s="116"/>
    </row>
    <row r="138" spans="1:6" s="114" customFormat="1" ht="15.75" hidden="1" x14ac:dyDescent="0.25">
      <c r="A138" s="86" t="s">
        <v>43</v>
      </c>
      <c r="B138" s="215" t="s">
        <v>42</v>
      </c>
      <c r="C138" s="87">
        <f>0.01*C117</f>
        <v>82725.38208000001</v>
      </c>
      <c r="D138" s="116"/>
    </row>
    <row r="139" spans="1:6" s="4" customFormat="1" ht="18.75" hidden="1" x14ac:dyDescent="0.35">
      <c r="A139" s="86" t="s">
        <v>44</v>
      </c>
      <c r="B139" s="215" t="s">
        <v>326</v>
      </c>
      <c r="C139" s="89">
        <f>'Design Parameters'!$C$64*(C117-((1.08*'Data Inputs'!B48*'Design Parameters'!C62)+('Data Inputs'!B47*'Design Parameters'!C62/'Data Inputs'!B23)))</f>
        <v>212668.49365773509</v>
      </c>
      <c r="D139" s="111"/>
    </row>
    <row r="140" spans="1:6" s="4" customFormat="1" ht="15.75" hidden="1" x14ac:dyDescent="0.25">
      <c r="A140" s="114"/>
      <c r="B140" s="115"/>
      <c r="C140" s="168"/>
      <c r="D140" s="111"/>
    </row>
    <row r="141" spans="1:6" s="4" customFormat="1" ht="15.75" hidden="1" x14ac:dyDescent="0.25">
      <c r="A141" s="103" t="s">
        <v>103</v>
      </c>
      <c r="B141" s="104"/>
      <c r="C141" s="113">
        <f>SUM(C135:C139)</f>
        <v>573398.10997773509</v>
      </c>
      <c r="D141" s="105" t="str">
        <f>"in "&amp;'Data Inputs'!$B$36&amp;" dollars"</f>
        <v>in 2018 dollars</v>
      </c>
    </row>
    <row r="142" spans="1:6" s="4" customFormat="1" ht="15.75" hidden="1" x14ac:dyDescent="0.25">
      <c r="A142" s="114"/>
      <c r="B142" s="115"/>
      <c r="C142" s="119"/>
      <c r="D142" s="111"/>
    </row>
    <row r="143" spans="1:6" s="4" customFormat="1" ht="15.75" hidden="1" x14ac:dyDescent="0.25">
      <c r="A143" s="103" t="s">
        <v>55</v>
      </c>
      <c r="B143" s="104" t="s">
        <v>342</v>
      </c>
      <c r="C143" s="113">
        <f>C141+C131</f>
        <v>2021797.4192892616</v>
      </c>
      <c r="D143" s="105" t="str">
        <f>"in "&amp;'Data Inputs'!$B$36&amp;" dollars"</f>
        <v>in 2018 dollars</v>
      </c>
    </row>
    <row r="144" spans="1:6" s="4" customFormat="1" ht="15.75" hidden="1" x14ac:dyDescent="0.25">
      <c r="C144" s="45"/>
    </row>
    <row r="145" spans="1:21" s="4" customFormat="1" ht="21" hidden="1" x14ac:dyDescent="0.35">
      <c r="A145" s="376" t="s">
        <v>23</v>
      </c>
      <c r="B145" s="376"/>
      <c r="C145" s="376"/>
      <c r="D145" s="376"/>
      <c r="E145" s="10"/>
      <c r="F145" s="10"/>
      <c r="G145" s="10"/>
      <c r="H145" s="10"/>
      <c r="I145" s="10"/>
      <c r="J145" s="10"/>
      <c r="K145" s="10"/>
      <c r="L145" s="10"/>
      <c r="M145" s="10"/>
      <c r="N145" s="10"/>
      <c r="O145" s="10"/>
      <c r="P145" s="10"/>
      <c r="Q145" s="10"/>
      <c r="R145" s="10"/>
      <c r="S145" s="10"/>
      <c r="T145" s="10"/>
      <c r="U145" s="11"/>
    </row>
    <row r="146" spans="1:21" s="31" customFormat="1" ht="15.75" hidden="1" x14ac:dyDescent="0.25">
      <c r="C146" s="213"/>
      <c r="D146" s="10"/>
      <c r="E146" s="10"/>
      <c r="F146" s="10"/>
      <c r="G146" s="10"/>
      <c r="H146" s="10"/>
      <c r="I146" s="10"/>
      <c r="J146" s="10"/>
      <c r="K146" s="10"/>
      <c r="L146" s="10"/>
      <c r="M146" s="10"/>
      <c r="N146" s="10"/>
      <c r="O146" s="10"/>
      <c r="P146" s="10"/>
      <c r="Q146" s="10"/>
      <c r="R146" s="10"/>
      <c r="S146" s="10"/>
      <c r="T146" s="10"/>
      <c r="U146" s="10"/>
    </row>
    <row r="147" spans="1:21" s="4" customFormat="1" ht="15.75" hidden="1" x14ac:dyDescent="0.25">
      <c r="A147" s="74" t="s">
        <v>54</v>
      </c>
      <c r="B147" s="74"/>
      <c r="C147" s="74"/>
      <c r="D147" s="74"/>
      <c r="E147" s="10"/>
      <c r="F147" s="10"/>
      <c r="G147" s="10"/>
      <c r="H147" s="10"/>
      <c r="I147" s="10"/>
      <c r="J147" s="10"/>
      <c r="K147" s="10"/>
      <c r="L147" s="10"/>
      <c r="M147" s="10"/>
      <c r="N147" s="10"/>
      <c r="O147" s="10"/>
      <c r="P147" s="10"/>
      <c r="Q147" s="10"/>
      <c r="R147" s="10"/>
      <c r="S147" s="10"/>
      <c r="T147" s="10"/>
      <c r="U147" s="11"/>
    </row>
    <row r="148" spans="1:21" s="4" customFormat="1" ht="15.75" hidden="1" x14ac:dyDescent="0.25">
      <c r="A148" s="83" t="s">
        <v>27</v>
      </c>
      <c r="B148" s="83" t="s">
        <v>28</v>
      </c>
      <c r="C148" s="84" t="s">
        <v>254</v>
      </c>
      <c r="D148" s="123"/>
      <c r="E148" s="80"/>
      <c r="F148" s="80"/>
    </row>
    <row r="149" spans="1:21" s="4" customFormat="1" ht="15.75" hidden="1" x14ac:dyDescent="0.25">
      <c r="A149" s="14" t="s">
        <v>45</v>
      </c>
      <c r="B149" s="19" t="s">
        <v>56</v>
      </c>
      <c r="C149" s="121">
        <f>C143</f>
        <v>2021797.4192892616</v>
      </c>
      <c r="D149" s="122" t="str">
        <f>"per year in "&amp;'Data Inputs'!B36&amp; " dollars"</f>
        <v>per year in 2018 dollars</v>
      </c>
      <c r="E149" s="10"/>
      <c r="F149" s="10"/>
      <c r="G149" s="10"/>
      <c r="H149" s="10"/>
      <c r="I149" s="10"/>
      <c r="J149" s="10"/>
      <c r="K149" s="10"/>
      <c r="L149" s="10"/>
      <c r="M149" s="10"/>
      <c r="N149" s="10"/>
      <c r="O149" s="10"/>
      <c r="P149" s="10"/>
      <c r="Q149" s="10"/>
      <c r="R149" s="10"/>
      <c r="S149" s="10"/>
      <c r="T149" s="10"/>
      <c r="U149" s="11"/>
    </row>
    <row r="150" spans="1:21" s="4" customFormat="1" ht="18.75" hidden="1" x14ac:dyDescent="0.35">
      <c r="A150" s="14" t="s">
        <v>292</v>
      </c>
      <c r="B150" s="210" t="s">
        <v>154</v>
      </c>
      <c r="C150" s="310">
        <f>'Design Parameters'!C9</f>
        <v>423.36</v>
      </c>
      <c r="D150" s="69" t="s">
        <v>24</v>
      </c>
      <c r="E150" s="10"/>
      <c r="F150" s="10"/>
      <c r="G150" s="10"/>
      <c r="H150" s="10"/>
      <c r="I150" s="10"/>
      <c r="J150" s="10"/>
      <c r="K150" s="10"/>
      <c r="L150" s="10"/>
      <c r="M150" s="10"/>
      <c r="N150" s="10"/>
      <c r="O150" s="10"/>
      <c r="P150" s="10"/>
      <c r="Q150" s="10"/>
      <c r="R150" s="10"/>
      <c r="S150" s="10"/>
      <c r="T150" s="10"/>
      <c r="U150" s="11"/>
    </row>
    <row r="151" spans="1:21" s="4" customFormat="1" ht="15.75" hidden="1" x14ac:dyDescent="0.25">
      <c r="A151" s="167" t="s">
        <v>25</v>
      </c>
      <c r="B151" s="19" t="s">
        <v>146</v>
      </c>
      <c r="C151" s="121">
        <f>C149/C150</f>
        <v>4775.5985905358593</v>
      </c>
      <c r="D151" s="69" t="str">
        <f>"per ton of pollutants removed in "&amp;'Data Inputs'!B36&amp; " dollars"</f>
        <v>per ton of pollutants removed in 2018 dollars</v>
      </c>
      <c r="E151" s="169"/>
      <c r="F151" s="10"/>
      <c r="G151" s="10"/>
      <c r="H151" s="10"/>
      <c r="I151" s="10"/>
      <c r="J151" s="10"/>
      <c r="K151" s="10"/>
      <c r="L151" s="10"/>
      <c r="M151" s="10"/>
      <c r="N151" s="10"/>
      <c r="O151" s="10"/>
      <c r="P151" s="10"/>
      <c r="Q151" s="10"/>
      <c r="R151" s="10"/>
      <c r="S151" s="10"/>
      <c r="T151" s="10"/>
      <c r="U151" s="11"/>
    </row>
    <row r="152" spans="1:21" s="31" customFormat="1" ht="17.25" hidden="1" customHeight="1" thickBot="1" x14ac:dyDescent="0.3">
      <c r="A152" s="247"/>
      <c r="B152" s="247"/>
      <c r="C152" s="247"/>
      <c r="D152" s="247"/>
    </row>
    <row r="153" spans="1:21" ht="15.75" hidden="1" x14ac:dyDescent="0.25">
      <c r="A153" s="317" t="s">
        <v>340</v>
      </c>
      <c r="B153" s="318"/>
      <c r="C153" s="319"/>
      <c r="D153" s="318"/>
    </row>
    <row r="154" spans="1:21" s="31" customFormat="1" ht="18.75" hidden="1" x14ac:dyDescent="0.35">
      <c r="A154" s="31" t="s">
        <v>293</v>
      </c>
      <c r="B154" s="301" t="s">
        <v>318</v>
      </c>
      <c r="C154" s="303">
        <f>'Design Parameters'!C61*'Data Inputs'!B42</f>
        <v>5869200</v>
      </c>
      <c r="D154" s="381"/>
      <c r="N154" s="229"/>
      <c r="O154" s="229"/>
    </row>
    <row r="155" spans="1:21" s="4" customFormat="1" ht="19.5" hidden="1" x14ac:dyDescent="0.35">
      <c r="A155" s="31" t="s">
        <v>169</v>
      </c>
      <c r="B155" s="93" t="s">
        <v>170</v>
      </c>
      <c r="C155" s="89">
        <f>'Data Inputs'!B56</f>
        <v>32000</v>
      </c>
      <c r="D155" s="381"/>
      <c r="M155" s="223"/>
      <c r="N155" s="226"/>
      <c r="O155" s="230"/>
    </row>
    <row r="156" spans="1:21" s="4" customFormat="1" ht="19.5" hidden="1" x14ac:dyDescent="0.35">
      <c r="A156" s="38" t="s">
        <v>271</v>
      </c>
      <c r="B156" s="222" t="s">
        <v>175</v>
      </c>
      <c r="C156" s="89">
        <f>C154+C155</f>
        <v>5901200</v>
      </c>
      <c r="D156" s="381"/>
      <c r="E156" s="92"/>
      <c r="F156" s="92"/>
      <c r="G156" s="93"/>
      <c r="H156" s="93"/>
      <c r="I156" s="93"/>
      <c r="J156" s="93"/>
      <c r="K156" s="93"/>
      <c r="L156" s="93"/>
      <c r="M156" s="223"/>
      <c r="N156" s="227"/>
      <c r="O156" s="228"/>
    </row>
    <row r="157" spans="1:21" s="94" customFormat="1" ht="18.75" hidden="1" x14ac:dyDescent="0.3">
      <c r="A157" s="212"/>
      <c r="B157" s="212"/>
      <c r="C157" s="166"/>
      <c r="D157" s="381"/>
      <c r="E157" s="96"/>
      <c r="F157" s="96"/>
      <c r="G157" s="97"/>
      <c r="H157" s="97"/>
      <c r="I157" s="97"/>
      <c r="J157" s="97"/>
      <c r="K157" s="97"/>
      <c r="L157" s="97"/>
      <c r="M157" s="223"/>
      <c r="N157" s="227"/>
      <c r="O157" s="228"/>
    </row>
    <row r="158" spans="1:21" s="4" customFormat="1" ht="18.75" hidden="1" x14ac:dyDescent="0.3">
      <c r="A158" s="31" t="s">
        <v>59</v>
      </c>
      <c r="B158" s="31" t="s">
        <v>77</v>
      </c>
      <c r="C158" s="89">
        <f>0.1*C156</f>
        <v>590120</v>
      </c>
      <c r="D158" s="381"/>
      <c r="E158" s="93"/>
      <c r="F158" s="92"/>
      <c r="G158" s="93"/>
      <c r="H158" s="93"/>
      <c r="I158" s="93"/>
      <c r="J158" s="93"/>
      <c r="K158" s="93"/>
      <c r="L158" s="93"/>
      <c r="M158" s="223"/>
      <c r="N158" s="227"/>
      <c r="O158" s="228"/>
    </row>
    <row r="159" spans="1:21" s="4" customFormat="1" ht="18.75" hidden="1" x14ac:dyDescent="0.3">
      <c r="A159" s="31" t="s">
        <v>1</v>
      </c>
      <c r="B159" s="31" t="s">
        <v>78</v>
      </c>
      <c r="C159" s="89">
        <f>0.03*C156</f>
        <v>177036</v>
      </c>
      <c r="D159" s="381"/>
      <c r="E159" s="93"/>
      <c r="F159" s="93"/>
      <c r="G159" s="93"/>
      <c r="H159" s="93"/>
      <c r="I159" s="93"/>
      <c r="J159" s="93"/>
      <c r="K159" s="93"/>
      <c r="L159" s="93"/>
      <c r="M159" s="225"/>
      <c r="N159" s="227"/>
      <c r="O159" s="228"/>
    </row>
    <row r="160" spans="1:21" s="4" customFormat="1" ht="18.75" hidden="1" x14ac:dyDescent="0.3">
      <c r="A160" s="31" t="s">
        <v>2</v>
      </c>
      <c r="B160" s="31" t="s">
        <v>79</v>
      </c>
      <c r="C160" s="89">
        <f>0.05*C156</f>
        <v>295060</v>
      </c>
      <c r="D160" s="93"/>
      <c r="E160" s="93"/>
      <c r="F160" s="93"/>
      <c r="G160" s="93"/>
      <c r="H160" s="93"/>
      <c r="I160" s="93"/>
      <c r="J160" s="93"/>
      <c r="K160" s="93"/>
      <c r="L160" s="93"/>
      <c r="M160" s="225"/>
      <c r="N160" s="227"/>
      <c r="O160" s="228"/>
    </row>
    <row r="161" spans="1:15" s="4" customFormat="1" ht="15.75" hidden="1" x14ac:dyDescent="0.25">
      <c r="C161" s="98"/>
      <c r="D161" s="93"/>
      <c r="E161" s="93"/>
      <c r="F161" s="93"/>
      <c r="G161" s="93"/>
      <c r="H161" s="93"/>
      <c r="I161" s="93"/>
      <c r="J161" s="93"/>
      <c r="K161" s="93"/>
      <c r="L161" s="93"/>
      <c r="M161" s="93"/>
      <c r="N161" s="93"/>
      <c r="O161" s="93"/>
    </row>
    <row r="162" spans="1:15" s="4" customFormat="1" ht="15.75" hidden="1" x14ac:dyDescent="0.25">
      <c r="A162" s="378" t="s">
        <v>50</v>
      </c>
      <c r="B162" s="378"/>
      <c r="C162" s="87">
        <f>C156+C159+C160</f>
        <v>6373296</v>
      </c>
    </row>
    <row r="163" spans="1:15" s="4" customFormat="1" ht="15.75" hidden="1" x14ac:dyDescent="0.25">
      <c r="C163" s="90"/>
    </row>
    <row r="164" spans="1:15" s="4" customFormat="1" ht="15.75" hidden="1" x14ac:dyDescent="0.25">
      <c r="A164" s="73" t="str">
        <f>"Installation Costs (in "&amp;'Data Inputs'!B36&amp;" dollars)"</f>
        <v>Installation Costs (in 2018 dollars)</v>
      </c>
      <c r="B164" s="73"/>
      <c r="C164" s="77"/>
      <c r="D164" s="73"/>
    </row>
    <row r="165" spans="1:15" s="4" customFormat="1" ht="15.75" hidden="1" x14ac:dyDescent="0.25">
      <c r="A165" s="83" t="s">
        <v>27</v>
      </c>
      <c r="B165" s="83" t="s">
        <v>28</v>
      </c>
      <c r="C165" s="84" t="s">
        <v>254</v>
      </c>
      <c r="D165" s="85"/>
      <c r="E165" s="80"/>
      <c r="F165" s="80"/>
    </row>
    <row r="166" spans="1:15" s="4" customFormat="1" ht="15.75" hidden="1" x14ac:dyDescent="0.25">
      <c r="A166" s="31" t="s">
        <v>314</v>
      </c>
      <c r="B166" s="31" t="s">
        <v>315</v>
      </c>
      <c r="C166" s="89">
        <f>0.2*C162</f>
        <v>1274659.2000000002</v>
      </c>
      <c r="D166" s="382"/>
    </row>
    <row r="167" spans="1:15" s="4" customFormat="1" ht="15.75" hidden="1" x14ac:dyDescent="0.25">
      <c r="A167" s="191" t="s">
        <v>7</v>
      </c>
      <c r="B167" s="213"/>
      <c r="C167" s="89">
        <f>'Data Inputs'!B54</f>
        <v>0</v>
      </c>
      <c r="D167" s="382"/>
    </row>
    <row r="168" spans="1:15" s="4" customFormat="1" ht="15.75" hidden="1" x14ac:dyDescent="0.25">
      <c r="A168" s="191" t="s">
        <v>8</v>
      </c>
      <c r="B168" s="213"/>
      <c r="C168" s="89">
        <f>'Data Inputs'!B55</f>
        <v>0</v>
      </c>
      <c r="D168" s="382"/>
    </row>
    <row r="169" spans="1:15" s="4" customFormat="1" ht="15.75" hidden="1" x14ac:dyDescent="0.25">
      <c r="A169" s="45"/>
      <c r="B169" s="45"/>
      <c r="C169" s="100"/>
      <c r="D169" s="382"/>
    </row>
    <row r="170" spans="1:15" s="4" customFormat="1" ht="15.75" hidden="1" x14ac:dyDescent="0.25">
      <c r="A170" s="378" t="s">
        <v>337</v>
      </c>
      <c r="B170" s="378"/>
      <c r="C170" s="87">
        <f>SUM(C166:C168)</f>
        <v>1274659.2000000002</v>
      </c>
    </row>
    <row r="171" spans="1:15" s="93" customFormat="1" ht="15.75" hidden="1" x14ac:dyDescent="0.25">
      <c r="A171" s="180" t="s">
        <v>274</v>
      </c>
      <c r="B171" s="180" t="s">
        <v>336</v>
      </c>
      <c r="C171" s="87">
        <f>(C162+C170)*('Data Inputs'!B57/100)</f>
        <v>764795.52</v>
      </c>
    </row>
    <row r="172" spans="1:15" s="31" customFormat="1" ht="15.75" hidden="1" x14ac:dyDescent="0.25">
      <c r="A172" s="256"/>
      <c r="B172" s="256"/>
      <c r="C172" s="165"/>
    </row>
    <row r="173" spans="1:15" s="4" customFormat="1" ht="15.75" hidden="1" x14ac:dyDescent="0.25">
      <c r="A173" s="103" t="s">
        <v>167</v>
      </c>
      <c r="B173" s="104" t="s">
        <v>335</v>
      </c>
      <c r="C173" s="113">
        <f>C162+C170+C171</f>
        <v>8412750.7200000007</v>
      </c>
      <c r="D173" s="105" t="str">
        <f>"in "&amp;'Data Inputs'!$B$36&amp;" dollars"</f>
        <v>in 2018 dollars</v>
      </c>
    </row>
    <row r="174" spans="1:15" s="93" customFormat="1" ht="15.75" hidden="1" x14ac:dyDescent="0.25">
      <c r="A174" s="180"/>
      <c r="B174" s="180"/>
      <c r="C174" s="88"/>
    </row>
    <row r="175" spans="1:15" s="4" customFormat="1" ht="21" hidden="1" x14ac:dyDescent="0.35">
      <c r="A175" s="376" t="s">
        <v>57</v>
      </c>
      <c r="B175" s="376"/>
      <c r="C175" s="376"/>
      <c r="D175" s="376"/>
    </row>
    <row r="176" spans="1:15" s="93" customFormat="1" ht="15.75" hidden="1" x14ac:dyDescent="0.25">
      <c r="A176" s="106"/>
      <c r="B176" s="107"/>
      <c r="C176" s="108"/>
    </row>
    <row r="177" spans="1:6" s="4" customFormat="1" ht="15.75" hidden="1" x14ac:dyDescent="0.25">
      <c r="A177" s="73" t="s">
        <v>36</v>
      </c>
      <c r="B177" s="73"/>
      <c r="C177" s="73"/>
      <c r="D177" s="73"/>
    </row>
    <row r="178" spans="1:6" s="4" customFormat="1" ht="15.75" hidden="1" x14ac:dyDescent="0.25">
      <c r="A178" s="83" t="s">
        <v>27</v>
      </c>
      <c r="B178" s="83" t="s">
        <v>28</v>
      </c>
      <c r="C178" s="84" t="s">
        <v>254</v>
      </c>
      <c r="D178" s="85"/>
      <c r="E178" s="80"/>
      <c r="F178" s="80"/>
    </row>
    <row r="179" spans="1:6" s="4" customFormat="1" ht="15.75" hidden="1" x14ac:dyDescent="0.25">
      <c r="A179" s="4" t="s">
        <v>157</v>
      </c>
      <c r="B179" s="110" t="s">
        <v>338</v>
      </c>
      <c r="C179" s="89">
        <f>C173*0.06</f>
        <v>504765.04320000001</v>
      </c>
      <c r="D179" s="380"/>
    </row>
    <row r="180" spans="1:6" s="4" customFormat="1" ht="39" hidden="1" customHeight="1" x14ac:dyDescent="0.25">
      <c r="A180" s="31" t="s">
        <v>320</v>
      </c>
      <c r="B180" s="216" t="str">
        <f>IF('Design Parameters'!C54&lt;1,"Installation Cost = 0.2 x Number of Canisters x Cost per Canister x CRF  =", "Installation Cost = 0.2 x Number of Canisters x Cost per canister x Number of times replaced/year =")</f>
        <v>Installation Cost = 0.2 x Number of Canisters x Cost per canister x Number of times replaced/year =</v>
      </c>
      <c r="C180" s="303">
        <f>IF('Design Parameters'!C54&lt;1,0.2*'Design Parameters'!C61*'Data Inputs'!B42*'Design Parameters'!C68,0.2*'Design Parameters'!C61*'Data Inputs'!B42*'Design Parameters'!C54)</f>
        <v>2315520</v>
      </c>
      <c r="D180" s="380"/>
    </row>
    <row r="181" spans="1:6" s="4" customFormat="1" ht="36.75" hidden="1" customHeight="1" x14ac:dyDescent="0.25">
      <c r="A181" s="31"/>
      <c r="B181" s="216" t="str">
        <f>IF('Design Parameters'!C54&lt;1,"Canisters = number of canisters x Cost per Canister x 1.08 x CRF = ", "Canisters = number of canisters x Cost per canister x 1.08 x Number of times replacemed/year = ")</f>
        <v xml:space="preserve">Canisters = number of canisters x Cost per canister x 1.08 x Number of times replacemed/year = </v>
      </c>
      <c r="C181" s="303">
        <f>IF('Design Parameters'!C54&lt;1,'Design Parameters'!C61*'Data Inputs'!B42*1.08*'Design Parameters'!C68,'Design Parameters'!C61*'Data Inputs'!B42*1.08*'Design Parameters'!C54)</f>
        <v>12503808</v>
      </c>
      <c r="D181" s="380"/>
    </row>
    <row r="182" spans="1:6" s="4" customFormat="1" ht="15.75" hidden="1" x14ac:dyDescent="0.25">
      <c r="C182" s="31"/>
      <c r="D182" s="111"/>
    </row>
    <row r="183" spans="1:6" s="4" customFormat="1" ht="15.75" hidden="1" x14ac:dyDescent="0.25">
      <c r="B183" s="110"/>
      <c r="C183" s="112"/>
      <c r="D183" s="111"/>
    </row>
    <row r="184" spans="1:6" s="4" customFormat="1" ht="15.75" hidden="1" x14ac:dyDescent="0.25">
      <c r="A184" s="103" t="s">
        <v>102</v>
      </c>
      <c r="B184" s="104"/>
      <c r="C184" s="113">
        <f>SUM(C179:C181)</f>
        <v>15324093.043200001</v>
      </c>
      <c r="D184" s="105" t="str">
        <f>"in "&amp;'Data Inputs'!$B$36&amp;" dollars"</f>
        <v>in 2018 dollars</v>
      </c>
    </row>
    <row r="185" spans="1:6" s="4" customFormat="1" ht="15.75" hidden="1" x14ac:dyDescent="0.25">
      <c r="B185" s="110"/>
      <c r="C185" s="112"/>
      <c r="D185" s="111"/>
    </row>
    <row r="186" spans="1:6" s="4" customFormat="1" ht="15.75" hidden="1" x14ac:dyDescent="0.25">
      <c r="A186" s="73" t="s">
        <v>37</v>
      </c>
      <c r="B186" s="73"/>
      <c r="C186" s="73"/>
      <c r="D186" s="73"/>
    </row>
    <row r="187" spans="1:6" s="4" customFormat="1" ht="15.75" hidden="1" x14ac:dyDescent="0.25">
      <c r="A187" s="83" t="s">
        <v>27</v>
      </c>
      <c r="B187" s="83" t="s">
        <v>28</v>
      </c>
      <c r="C187" s="84" t="s">
        <v>254</v>
      </c>
      <c r="D187" s="85"/>
      <c r="E187" s="80"/>
      <c r="F187" s="80"/>
    </row>
    <row r="188" spans="1:6" s="114" customFormat="1" ht="15.75" hidden="1" x14ac:dyDescent="0.25">
      <c r="A188" s="86" t="s">
        <v>39</v>
      </c>
      <c r="B188" s="215" t="s">
        <v>40</v>
      </c>
      <c r="C188" s="87">
        <f>(0.02*C173)</f>
        <v>168255.01440000001</v>
      </c>
      <c r="D188" s="383"/>
    </row>
    <row r="189" spans="1:6" s="114" customFormat="1" ht="15.75" hidden="1" x14ac:dyDescent="0.25">
      <c r="A189" s="86" t="s">
        <v>41</v>
      </c>
      <c r="B189" s="215" t="s">
        <v>42</v>
      </c>
      <c r="C189" s="87">
        <f>0.01*C173</f>
        <v>84127.507200000007</v>
      </c>
      <c r="D189" s="383"/>
    </row>
    <row r="190" spans="1:6" s="114" customFormat="1" ht="15.75" hidden="1" x14ac:dyDescent="0.25">
      <c r="A190" s="86" t="s">
        <v>43</v>
      </c>
      <c r="B190" s="215" t="s">
        <v>42</v>
      </c>
      <c r="C190" s="87">
        <f>0.01*C173</f>
        <v>84127.507200000007</v>
      </c>
      <c r="D190" s="383"/>
    </row>
    <row r="191" spans="1:6" s="4" customFormat="1" ht="15.75" hidden="1" x14ac:dyDescent="0.25">
      <c r="A191" s="86" t="s">
        <v>44</v>
      </c>
      <c r="B191" s="215" t="str">
        <f>IF('Design Parameters'!C54&gt;=1,"= CRFAuxiliary Equipment × (TCI - 1.08(Canister Costs)) =", "= CRFAuxiliary Equipment × (TCI - 1.08(Canister Costs)) =")</f>
        <v>= CRFAuxiliary Equipment × (TCI - 1.08(Canister Costs)) =</v>
      </c>
      <c r="C191" s="89">
        <f>'Design Parameters'!$C$64*(C173-(1.08*C154))</f>
        <v>199815.32266004645</v>
      </c>
      <c r="D191" s="383"/>
    </row>
    <row r="192" spans="1:6" s="4" customFormat="1" ht="15.75" hidden="1" x14ac:dyDescent="0.25">
      <c r="A192" s="114"/>
      <c r="B192" s="115"/>
      <c r="C192" s="168"/>
      <c r="D192" s="111"/>
    </row>
    <row r="193" spans="1:21" s="4" customFormat="1" ht="15.75" hidden="1" x14ac:dyDescent="0.25">
      <c r="A193" s="103" t="s">
        <v>103</v>
      </c>
      <c r="B193" s="104"/>
      <c r="C193" s="113">
        <f>SUM(C188:C191)</f>
        <v>536325.35146004648</v>
      </c>
      <c r="D193" s="105" t="str">
        <f>"in "&amp;'Data Inputs'!$B$36&amp;" dollars"</f>
        <v>in 2018 dollars</v>
      </c>
    </row>
    <row r="194" spans="1:21" s="4" customFormat="1" ht="15.75" hidden="1" x14ac:dyDescent="0.25">
      <c r="A194" s="114"/>
      <c r="B194" s="115"/>
      <c r="C194" s="119"/>
      <c r="D194" s="111"/>
    </row>
    <row r="195" spans="1:21" s="4" customFormat="1" ht="15.75" hidden="1" x14ac:dyDescent="0.25">
      <c r="A195" s="103" t="s">
        <v>55</v>
      </c>
      <c r="B195" s="104" t="s">
        <v>342</v>
      </c>
      <c r="C195" s="113">
        <f>C193+C184</f>
        <v>15860418.394660048</v>
      </c>
      <c r="D195" s="105" t="str">
        <f>"in "&amp;'Data Inputs'!$B$36&amp;" dollars"</f>
        <v>in 2018 dollars</v>
      </c>
    </row>
    <row r="196" spans="1:21" s="4" customFormat="1" ht="15.75" hidden="1" x14ac:dyDescent="0.25">
      <c r="C196" s="45"/>
    </row>
    <row r="197" spans="1:21" s="4" customFormat="1" ht="21" hidden="1" x14ac:dyDescent="0.35">
      <c r="A197" s="376" t="s">
        <v>23</v>
      </c>
      <c r="B197" s="376"/>
      <c r="C197" s="376"/>
      <c r="D197" s="376"/>
      <c r="E197" s="10"/>
      <c r="F197" s="10"/>
      <c r="G197" s="10"/>
      <c r="H197" s="10"/>
      <c r="I197" s="10"/>
      <c r="J197" s="10"/>
      <c r="K197" s="10"/>
      <c r="L197" s="10"/>
      <c r="M197" s="10"/>
      <c r="N197" s="10"/>
      <c r="O197" s="10"/>
      <c r="P197" s="10"/>
      <c r="Q197" s="10"/>
      <c r="R197" s="10"/>
      <c r="S197" s="10"/>
      <c r="T197" s="10"/>
      <c r="U197" s="11"/>
    </row>
    <row r="198" spans="1:21" s="31" customFormat="1" ht="15.75" hidden="1" x14ac:dyDescent="0.25">
      <c r="C198" s="213"/>
      <c r="D198" s="10"/>
      <c r="E198" s="10"/>
      <c r="F198" s="10"/>
      <c r="G198" s="10"/>
      <c r="H198" s="10"/>
      <c r="I198" s="10"/>
      <c r="J198" s="10"/>
      <c r="K198" s="10"/>
      <c r="L198" s="10"/>
      <c r="M198" s="10"/>
      <c r="N198" s="10"/>
      <c r="O198" s="10"/>
      <c r="P198" s="10"/>
      <c r="Q198" s="10"/>
      <c r="R198" s="10"/>
      <c r="S198" s="10"/>
      <c r="T198" s="10"/>
      <c r="U198" s="10"/>
    </row>
    <row r="199" spans="1:21" s="4" customFormat="1" ht="15.75" hidden="1" x14ac:dyDescent="0.25">
      <c r="A199" s="74" t="s">
        <v>54</v>
      </c>
      <c r="B199" s="74"/>
      <c r="C199" s="74"/>
      <c r="D199" s="74"/>
      <c r="E199" s="10"/>
      <c r="F199" s="10"/>
      <c r="G199" s="10"/>
      <c r="H199" s="10"/>
      <c r="I199" s="10"/>
      <c r="J199" s="10"/>
      <c r="K199" s="10"/>
      <c r="L199" s="10"/>
      <c r="M199" s="10"/>
      <c r="N199" s="10"/>
      <c r="O199" s="10"/>
      <c r="P199" s="10"/>
      <c r="Q199" s="10"/>
      <c r="R199" s="10"/>
      <c r="S199" s="10"/>
      <c r="T199" s="10"/>
      <c r="U199" s="11"/>
    </row>
    <row r="200" spans="1:21" s="4" customFormat="1" ht="15.75" hidden="1" x14ac:dyDescent="0.25">
      <c r="A200" s="83" t="s">
        <v>27</v>
      </c>
      <c r="B200" s="83" t="s">
        <v>28</v>
      </c>
      <c r="C200" s="84" t="s">
        <v>254</v>
      </c>
      <c r="D200" s="123"/>
      <c r="E200" s="80"/>
      <c r="F200" s="80"/>
    </row>
    <row r="201" spans="1:21" s="4" customFormat="1" ht="15.75" hidden="1" x14ac:dyDescent="0.25">
      <c r="A201" s="14" t="s">
        <v>45</v>
      </c>
      <c r="B201" s="19" t="s">
        <v>56</v>
      </c>
      <c r="C201" s="121">
        <f>C195</f>
        <v>15860418.394660048</v>
      </c>
      <c r="D201" s="122" t="str">
        <f>"per year in "&amp;'Data Inputs'!B36&amp; " dollars"</f>
        <v>per year in 2018 dollars</v>
      </c>
      <c r="E201" s="10"/>
      <c r="F201" s="10"/>
      <c r="G201" s="10"/>
      <c r="H201" s="10"/>
      <c r="I201" s="10"/>
      <c r="J201" s="10"/>
      <c r="K201" s="10"/>
      <c r="L201" s="10"/>
      <c r="M201" s="10"/>
      <c r="N201" s="10"/>
      <c r="O201" s="10"/>
      <c r="P201" s="10"/>
      <c r="Q201" s="10"/>
      <c r="R201" s="10"/>
      <c r="S201" s="10"/>
      <c r="T201" s="10"/>
      <c r="U201" s="11"/>
    </row>
    <row r="202" spans="1:21" s="4" customFormat="1" ht="18.75" hidden="1" x14ac:dyDescent="0.35">
      <c r="A202" s="14" t="s">
        <v>292</v>
      </c>
      <c r="B202" s="210" t="s">
        <v>154</v>
      </c>
      <c r="C202" s="310">
        <f>'Design Parameters'!C9</f>
        <v>423.36</v>
      </c>
      <c r="D202" s="69" t="s">
        <v>339</v>
      </c>
      <c r="E202" s="10"/>
      <c r="F202" s="10"/>
      <c r="G202" s="10"/>
      <c r="H202" s="10"/>
      <c r="I202" s="10"/>
      <c r="J202" s="10"/>
      <c r="K202" s="10"/>
      <c r="L202" s="10"/>
      <c r="M202" s="10"/>
      <c r="N202" s="10"/>
      <c r="O202" s="10"/>
      <c r="P202" s="10"/>
      <c r="Q202" s="10"/>
      <c r="R202" s="10"/>
      <c r="S202" s="10"/>
      <c r="T202" s="10"/>
      <c r="U202" s="11"/>
    </row>
    <row r="203" spans="1:21" s="4" customFormat="1" ht="15.75" hidden="1" x14ac:dyDescent="0.25">
      <c r="A203" s="167" t="s">
        <v>25</v>
      </c>
      <c r="B203" s="19" t="s">
        <v>146</v>
      </c>
      <c r="C203" s="121">
        <f>C201/C202</f>
        <v>37463.195376653552</v>
      </c>
      <c r="D203" s="69" t="str">
        <f>"per ton of pollutants removed in "&amp;'Data Inputs'!B102&amp; " dollars"</f>
        <v>per ton of pollutants removed in  dollars</v>
      </c>
      <c r="E203" s="169"/>
      <c r="F203" s="10"/>
      <c r="G203" s="10"/>
      <c r="H203" s="10"/>
      <c r="I203" s="10"/>
      <c r="J203" s="10"/>
      <c r="K203" s="10"/>
      <c r="L203" s="10"/>
      <c r="M203" s="10"/>
      <c r="N203" s="10"/>
      <c r="O203" s="10"/>
      <c r="P203" s="10"/>
      <c r="Q203" s="10"/>
      <c r="R203" s="10"/>
      <c r="S203" s="10"/>
      <c r="T203" s="10"/>
      <c r="U203" s="11"/>
    </row>
    <row r="204" spans="1:21" s="31" customFormat="1" ht="17.25" hidden="1" customHeight="1" thickBot="1" x14ac:dyDescent="0.3">
      <c r="A204" s="247"/>
      <c r="B204" s="247"/>
      <c r="C204" s="247"/>
      <c r="D204" s="247"/>
    </row>
    <row r="205" spans="1:21" hidden="1" x14ac:dyDescent="0.25"/>
    <row r="206" spans="1:21" hidden="1" x14ac:dyDescent="0.25"/>
    <row r="207" spans="1:21" hidden="1" x14ac:dyDescent="0.25"/>
    <row r="208" spans="1:21"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sheetData>
  <mergeCells count="21">
    <mergeCell ref="D98:D104"/>
    <mergeCell ref="D123:D126"/>
    <mergeCell ref="A170:B170"/>
    <mergeCell ref="A175:D175"/>
    <mergeCell ref="A197:D197"/>
    <mergeCell ref="A106:B106"/>
    <mergeCell ref="A114:B114"/>
    <mergeCell ref="A119:D119"/>
    <mergeCell ref="A145:D145"/>
    <mergeCell ref="A162:B162"/>
    <mergeCell ref="D154:D159"/>
    <mergeCell ref="D166:D169"/>
    <mergeCell ref="D179:D181"/>
    <mergeCell ref="D188:D191"/>
    <mergeCell ref="A1:D1"/>
    <mergeCell ref="A49:D49"/>
    <mergeCell ref="A89:D89"/>
    <mergeCell ref="C4:C8"/>
    <mergeCell ref="A44:B44"/>
    <mergeCell ref="A21:B21"/>
    <mergeCell ref="A3:D3"/>
  </mergeCells>
  <conditionalFormatting sqref="E4">
    <cfRule type="expression" dxfId="0" priority="7">
      <formula>#REF!=1</formula>
    </cfRule>
  </conditionalFormatting>
  <pageMargins left="0.7" right="0.7" top="0.75" bottom="0.75" header="0.3" footer="0.3"/>
  <pageSetup orientation="portrait" r:id="rId1"/>
  <ignoredErrors>
    <ignoredError sqref="C39" formula="1"/>
    <ignoredError sqref="C136:C138 C141 C149 C151"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E21"/>
  <sheetViews>
    <sheetView workbookViewId="0">
      <selection activeCell="G18" sqref="G18"/>
    </sheetView>
  </sheetViews>
  <sheetFormatPr defaultColWidth="19" defaultRowHeight="15.75" x14ac:dyDescent="0.25"/>
  <cols>
    <col min="1" max="2" width="19" style="31"/>
    <col min="3" max="3" width="29" style="31" customWidth="1"/>
    <col min="4" max="4" width="24.140625" style="31" customWidth="1"/>
    <col min="5" max="16384" width="19" style="31"/>
  </cols>
  <sheetData>
    <row r="1" spans="1:5" ht="26.25" x14ac:dyDescent="0.35">
      <c r="A1" s="243" t="s">
        <v>218</v>
      </c>
      <c r="B1" s="243"/>
      <c r="C1" s="243"/>
      <c r="D1" s="243"/>
      <c r="E1" s="243"/>
    </row>
    <row r="4" spans="1:5" ht="36.75" customHeight="1" x14ac:dyDescent="0.25">
      <c r="A4" s="387" t="s">
        <v>90</v>
      </c>
      <c r="B4" s="389" t="s">
        <v>214</v>
      </c>
      <c r="C4" s="385" t="s">
        <v>219</v>
      </c>
      <c r="D4" s="386"/>
      <c r="E4" s="284" t="s">
        <v>307</v>
      </c>
    </row>
    <row r="5" spans="1:5" x14ac:dyDescent="0.25">
      <c r="A5" s="388"/>
      <c r="B5" s="390"/>
      <c r="C5" s="285" t="s">
        <v>215</v>
      </c>
      <c r="D5" s="285" t="s">
        <v>216</v>
      </c>
      <c r="E5" s="286" t="s">
        <v>217</v>
      </c>
    </row>
    <row r="6" spans="1:5" x14ac:dyDescent="0.25">
      <c r="A6" s="287" t="s">
        <v>74</v>
      </c>
      <c r="B6" s="288">
        <v>100</v>
      </c>
      <c r="C6" s="288">
        <v>0.41199999999999998</v>
      </c>
      <c r="D6" s="289">
        <v>0.38900000000000001</v>
      </c>
      <c r="E6" s="290" t="s">
        <v>220</v>
      </c>
    </row>
    <row r="7" spans="1:5" x14ac:dyDescent="0.25">
      <c r="A7" s="291" t="s">
        <v>91</v>
      </c>
      <c r="B7" s="292">
        <v>100</v>
      </c>
      <c r="C7" s="292">
        <v>0.93500000000000005</v>
      </c>
      <c r="D7" s="293">
        <v>0.42399999999999999</v>
      </c>
      <c r="E7" s="294" t="s">
        <v>221</v>
      </c>
    </row>
    <row r="8" spans="1:5" x14ac:dyDescent="0.25">
      <c r="A8" s="287" t="s">
        <v>92</v>
      </c>
      <c r="B8" s="288">
        <v>77</v>
      </c>
      <c r="C8" s="288">
        <v>0.59699999999999998</v>
      </c>
      <c r="D8" s="289">
        <v>0.17599999999999999</v>
      </c>
      <c r="E8" s="290" t="s">
        <v>220</v>
      </c>
    </row>
    <row r="9" spans="1:5" x14ac:dyDescent="0.25">
      <c r="A9" s="287" t="s">
        <v>224</v>
      </c>
      <c r="B9" s="288">
        <v>77</v>
      </c>
      <c r="C9" s="288">
        <v>1.05</v>
      </c>
      <c r="D9" s="289">
        <v>0.188</v>
      </c>
      <c r="E9" s="290" t="s">
        <v>225</v>
      </c>
    </row>
    <row r="10" spans="1:5" x14ac:dyDescent="0.25">
      <c r="A10" s="291" t="s">
        <v>93</v>
      </c>
      <c r="B10" s="292">
        <v>100</v>
      </c>
      <c r="C10" s="292">
        <v>0.505</v>
      </c>
      <c r="D10" s="293">
        <v>0.21</v>
      </c>
      <c r="E10" s="290" t="s">
        <v>220</v>
      </c>
    </row>
    <row r="11" spans="1:5" x14ac:dyDescent="0.25">
      <c r="A11" s="295" t="s">
        <v>226</v>
      </c>
      <c r="B11" s="296">
        <v>77</v>
      </c>
      <c r="C11" s="296">
        <v>0.97599999999999998</v>
      </c>
      <c r="D11" s="297">
        <v>0.28100000000000003</v>
      </c>
      <c r="E11" s="290" t="s">
        <v>227</v>
      </c>
    </row>
    <row r="12" spans="1:5" x14ac:dyDescent="0.25">
      <c r="A12" s="298" t="s">
        <v>308</v>
      </c>
      <c r="B12" s="296">
        <v>77</v>
      </c>
      <c r="C12" s="296">
        <v>0.70799999999999996</v>
      </c>
      <c r="D12" s="297">
        <v>0.113</v>
      </c>
      <c r="E12" s="290" t="s">
        <v>223</v>
      </c>
    </row>
    <row r="13" spans="1:5" x14ac:dyDescent="0.25">
      <c r="A13" s="287" t="s">
        <v>228</v>
      </c>
      <c r="B13" s="288">
        <v>104</v>
      </c>
      <c r="C13" s="288">
        <v>0.85499999999999998</v>
      </c>
      <c r="D13" s="289">
        <v>0.153</v>
      </c>
      <c r="E13" s="290" t="s">
        <v>229</v>
      </c>
    </row>
    <row r="14" spans="1:5" x14ac:dyDescent="0.25">
      <c r="A14" s="287" t="s">
        <v>94</v>
      </c>
      <c r="B14" s="288">
        <v>77</v>
      </c>
      <c r="C14" s="288">
        <v>0.55100000000000005</v>
      </c>
      <c r="D14" s="289">
        <v>0.11</v>
      </c>
      <c r="E14" s="290" t="s">
        <v>222</v>
      </c>
    </row>
    <row r="15" spans="1:5" x14ac:dyDescent="0.25">
      <c r="A15" s="295" t="s">
        <v>231</v>
      </c>
      <c r="B15" s="296">
        <v>77</v>
      </c>
      <c r="C15" s="296">
        <v>1.06</v>
      </c>
      <c r="D15" s="297">
        <v>0.161</v>
      </c>
      <c r="E15" s="299" t="s">
        <v>227</v>
      </c>
    </row>
    <row r="16" spans="1:5" x14ac:dyDescent="0.25">
      <c r="A16" s="287" t="s">
        <v>230</v>
      </c>
      <c r="B16" s="288">
        <v>100</v>
      </c>
      <c r="C16" s="288">
        <v>0.2</v>
      </c>
      <c r="D16" s="289">
        <v>0.47699999999999998</v>
      </c>
      <c r="E16" s="290" t="s">
        <v>220</v>
      </c>
    </row>
    <row r="18" spans="1:5" ht="48" customHeight="1" x14ac:dyDescent="0.25">
      <c r="A18" s="384" t="s">
        <v>309</v>
      </c>
      <c r="B18" s="384"/>
      <c r="C18" s="384"/>
      <c r="D18" s="384"/>
      <c r="E18" s="384"/>
    </row>
    <row r="19" spans="1:5" ht="18" x14ac:dyDescent="0.25">
      <c r="A19" s="300" t="s">
        <v>310</v>
      </c>
    </row>
    <row r="20" spans="1:5" ht="18" x14ac:dyDescent="0.25">
      <c r="A20" s="300"/>
    </row>
    <row r="21" spans="1:5" ht="18.75" x14ac:dyDescent="0.25">
      <c r="A21" s="242"/>
    </row>
  </sheetData>
  <sortState xmlns:xlrd2="http://schemas.microsoft.com/office/spreadsheetml/2017/richdata2" ref="A7:E16">
    <sortCondition ref="A6"/>
  </sortState>
  <mergeCells count="4">
    <mergeCell ref="A18:E18"/>
    <mergeCell ref="C4:D4"/>
    <mergeCell ref="A4:A5"/>
    <mergeCell ref="B4:B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0"/>
  <sheetViews>
    <sheetView topLeftCell="A16" workbookViewId="0">
      <selection activeCell="E20" sqref="E20"/>
    </sheetView>
  </sheetViews>
  <sheetFormatPr defaultColWidth="9.140625" defaultRowHeight="15" x14ac:dyDescent="0.25"/>
  <cols>
    <col min="1" max="1" width="28.140625" style="21" customWidth="1"/>
    <col min="2" max="2" width="20.85546875" style="21" customWidth="1"/>
    <col min="3" max="3" width="23.28515625" style="21" customWidth="1"/>
    <col min="4" max="4" width="21" style="21" customWidth="1"/>
    <col min="5" max="5" width="21.42578125" style="21" customWidth="1"/>
    <col min="6" max="6" width="23.42578125" style="21" customWidth="1"/>
    <col min="7" max="7" width="35.28515625" style="21" customWidth="1"/>
    <col min="8" max="9" width="9.140625" style="21"/>
    <col min="10" max="10" width="41.42578125" style="21" customWidth="1"/>
    <col min="11" max="11" width="17" style="21" customWidth="1"/>
    <col min="12" max="12" width="19.5703125" style="21" customWidth="1"/>
    <col min="13" max="16384" width="9.140625" style="21"/>
  </cols>
  <sheetData>
    <row r="1" spans="1:12" ht="26.25" x14ac:dyDescent="0.35">
      <c r="A1" s="243" t="s">
        <v>296</v>
      </c>
      <c r="B1" s="243"/>
      <c r="C1" s="243"/>
      <c r="D1" s="243"/>
      <c r="E1" s="243"/>
    </row>
    <row r="2" spans="1:12" ht="15.75" x14ac:dyDescent="0.25">
      <c r="A2" s="31"/>
      <c r="B2" s="31"/>
      <c r="C2" s="31"/>
      <c r="D2" s="31"/>
      <c r="E2" s="31"/>
    </row>
    <row r="3" spans="1:12" ht="65.25" customHeight="1" x14ac:dyDescent="0.25">
      <c r="A3" s="281" t="s">
        <v>298</v>
      </c>
      <c r="B3" s="281" t="s">
        <v>299</v>
      </c>
      <c r="C3" s="281" t="s">
        <v>297</v>
      </c>
      <c r="D3" s="281" t="str">
        <f>"Cost with Virgin Carbon (in "&amp;'Data Inputs'!B36&amp;" dollars)"</f>
        <v>Cost with Virgin Carbon (in 2018 dollars)</v>
      </c>
      <c r="E3" s="281" t="str">
        <f>"Cost with Reactivated Carbon (in "&amp;'Data Inputs'!B36&amp;" dollars)"</f>
        <v>Cost with Reactivated Carbon (in 2018 dollars)</v>
      </c>
      <c r="K3" s="280" t="s">
        <v>305</v>
      </c>
      <c r="L3" s="280" t="s">
        <v>306</v>
      </c>
    </row>
    <row r="4" spans="1:12" ht="15.75" x14ac:dyDescent="0.25">
      <c r="A4" s="282">
        <v>140</v>
      </c>
      <c r="B4" s="282">
        <v>500</v>
      </c>
      <c r="C4" s="282" t="s">
        <v>303</v>
      </c>
      <c r="D4" s="306">
        <f>K4*('Data Inputs'!B$37/'Data Inputs'!E$37)</f>
        <v>1046.0829493087556</v>
      </c>
      <c r="E4" s="283" t="s">
        <v>302</v>
      </c>
      <c r="K4" s="278">
        <v>720</v>
      </c>
      <c r="L4" s="278" t="s">
        <v>302</v>
      </c>
    </row>
    <row r="5" spans="1:12" ht="15.75" x14ac:dyDescent="0.25">
      <c r="A5" s="282">
        <v>140</v>
      </c>
      <c r="B5" s="282">
        <v>500</v>
      </c>
      <c r="C5" s="282" t="s">
        <v>304</v>
      </c>
      <c r="D5" s="306">
        <f>K5*('Data Inputs'!B$37/'Data Inputs'!E$37)</f>
        <v>1605.4467485919097</v>
      </c>
      <c r="E5" s="283" t="s">
        <v>302</v>
      </c>
      <c r="K5" s="279">
        <v>1105</v>
      </c>
      <c r="L5" s="278" t="s">
        <v>302</v>
      </c>
    </row>
    <row r="6" spans="1:12" ht="15.75" x14ac:dyDescent="0.25">
      <c r="A6" s="282">
        <v>170</v>
      </c>
      <c r="B6" s="282">
        <v>300</v>
      </c>
      <c r="C6" s="282" t="s">
        <v>304</v>
      </c>
      <c r="D6" s="306">
        <f>K6*('Data Inputs'!B$37/'Data Inputs'!E$37)</f>
        <v>1583.6533538146439</v>
      </c>
      <c r="E6" s="283" t="s">
        <v>302</v>
      </c>
      <c r="K6" s="279">
        <v>1090</v>
      </c>
      <c r="L6" s="278" t="s">
        <v>302</v>
      </c>
    </row>
    <row r="7" spans="1:12" ht="15.75" x14ac:dyDescent="0.25">
      <c r="A7" s="282">
        <v>180</v>
      </c>
      <c r="B7" s="282">
        <v>100</v>
      </c>
      <c r="C7" s="282" t="s">
        <v>304</v>
      </c>
      <c r="D7" s="306">
        <f>K7*('Data Inputs'!B$37/'Data Inputs'!E$37)</f>
        <v>2324.6287762416791</v>
      </c>
      <c r="E7" s="306">
        <f>L7*('Data Inputs'!B$37/'Data Inputs'!E$37)</f>
        <v>1423.8351254480285</v>
      </c>
      <c r="K7" s="279">
        <v>1600</v>
      </c>
      <c r="L7" s="278">
        <v>980</v>
      </c>
    </row>
    <row r="8" spans="1:12" ht="15.75" x14ac:dyDescent="0.25">
      <c r="A8" s="282">
        <v>200</v>
      </c>
      <c r="B8" s="282">
        <v>100</v>
      </c>
      <c r="C8" s="282" t="s">
        <v>304</v>
      </c>
      <c r="D8" s="306">
        <f>K8*('Data Inputs'!B$37/'Data Inputs'!E$37)</f>
        <v>1140.5209933435738</v>
      </c>
      <c r="E8" s="307" t="s">
        <v>302</v>
      </c>
      <c r="K8" s="278">
        <v>785</v>
      </c>
      <c r="L8" s="278" t="s">
        <v>302</v>
      </c>
    </row>
    <row r="9" spans="1:12" ht="15.75" x14ac:dyDescent="0.25">
      <c r="A9" s="283">
        <v>1000</v>
      </c>
      <c r="B9" s="282">
        <v>600</v>
      </c>
      <c r="C9" s="282" t="s">
        <v>304</v>
      </c>
      <c r="D9" s="306">
        <f>K9*('Data Inputs'!B$37/'Data Inputs'!E$37)</f>
        <v>9589.093701996926</v>
      </c>
      <c r="E9" s="307" t="s">
        <v>302</v>
      </c>
      <c r="K9" s="279">
        <v>6600</v>
      </c>
      <c r="L9" s="278" t="s">
        <v>302</v>
      </c>
    </row>
    <row r="10" spans="1:12" ht="15.75" x14ac:dyDescent="0.25">
      <c r="A10" s="283">
        <v>1000</v>
      </c>
      <c r="B10" s="283">
        <v>1000</v>
      </c>
      <c r="C10" s="282" t="s">
        <v>304</v>
      </c>
      <c r="D10" s="306">
        <f>K10*('Data Inputs'!B$37/'Data Inputs'!E$37)</f>
        <v>16708.269329237068</v>
      </c>
      <c r="E10" s="306">
        <f>L10*('Data Inputs'!B$37/'Data Inputs'!E$37)</f>
        <v>10170.250896057347</v>
      </c>
      <c r="K10" s="279">
        <v>11500</v>
      </c>
      <c r="L10" s="279">
        <v>7000</v>
      </c>
    </row>
    <row r="11" spans="1:12" ht="15.75" x14ac:dyDescent="0.25">
      <c r="A11" s="283">
        <v>2000</v>
      </c>
      <c r="B11" s="283">
        <v>2000</v>
      </c>
      <c r="C11" s="282" t="s">
        <v>304</v>
      </c>
      <c r="D11" s="306">
        <f>K11*('Data Inputs'!B$37/'Data Inputs'!E$37)</f>
        <v>27604.966717869938</v>
      </c>
      <c r="E11" s="306">
        <f>L11*('Data Inputs'!B$37/'Data Inputs'!E$37)</f>
        <v>14528.929851510495</v>
      </c>
      <c r="K11" s="279">
        <v>19000</v>
      </c>
      <c r="L11" s="279">
        <v>10000</v>
      </c>
    </row>
    <row r="12" spans="1:12" ht="15.75" x14ac:dyDescent="0.25">
      <c r="A12" s="283">
        <v>2000</v>
      </c>
      <c r="B12" s="282">
        <v>750</v>
      </c>
      <c r="C12" s="282" t="s">
        <v>300</v>
      </c>
      <c r="D12" s="306">
        <f>K12*('Data Inputs'!B$37/'Data Inputs'!E$37)</f>
        <v>31963.645673323088</v>
      </c>
      <c r="E12" s="306">
        <f>L12*('Data Inputs'!B$37/'Data Inputs'!E$37)</f>
        <v>19178.187403993852</v>
      </c>
      <c r="K12" s="279">
        <v>22000</v>
      </c>
      <c r="L12" s="279">
        <v>13200</v>
      </c>
    </row>
    <row r="13" spans="1:12" ht="15.75" x14ac:dyDescent="0.25">
      <c r="A13" s="283">
        <v>3000</v>
      </c>
      <c r="B13" s="283">
        <v>2000</v>
      </c>
      <c r="C13" s="282" t="s">
        <v>304</v>
      </c>
      <c r="D13" s="306">
        <f>K13*('Data Inputs'!B$37/'Data Inputs'!E$37)</f>
        <v>20195.212493599589</v>
      </c>
      <c r="E13" s="307" t="s">
        <v>302</v>
      </c>
      <c r="K13" s="279">
        <v>13900</v>
      </c>
      <c r="L13" s="278" t="s">
        <v>302</v>
      </c>
    </row>
    <row r="14" spans="1:12" ht="15.75" x14ac:dyDescent="0.25">
      <c r="A14" s="283">
        <v>4100</v>
      </c>
      <c r="B14" s="283">
        <v>8000</v>
      </c>
      <c r="C14" s="282" t="s">
        <v>301</v>
      </c>
      <c r="D14" s="306">
        <f>K14*('Data Inputs'!B$37/'Data Inputs'!E$37)</f>
        <v>65380.184331797223</v>
      </c>
      <c r="E14" s="307" t="s">
        <v>302</v>
      </c>
      <c r="K14" s="279">
        <v>45000</v>
      </c>
      <c r="L14" s="278" t="s">
        <v>302</v>
      </c>
    </row>
    <row r="15" spans="1:12" ht="15.75" x14ac:dyDescent="0.25">
      <c r="A15" s="283">
        <v>5000</v>
      </c>
      <c r="B15" s="283">
        <v>2500</v>
      </c>
      <c r="C15" s="282" t="s">
        <v>300</v>
      </c>
      <c r="D15" s="306">
        <f>K15*('Data Inputs'!B$37/'Data Inputs'!E$37)</f>
        <v>61893.241167434709</v>
      </c>
      <c r="E15" s="306">
        <f>L15*('Data Inputs'!B$37/'Data Inputs'!E$37)</f>
        <v>29203.149001536094</v>
      </c>
      <c r="K15" s="279">
        <v>42600</v>
      </c>
      <c r="L15" s="279">
        <v>20100</v>
      </c>
    </row>
    <row r="16" spans="1:12" ht="15.75" x14ac:dyDescent="0.25">
      <c r="A16" s="283">
        <v>8000</v>
      </c>
      <c r="B16" s="283">
        <v>4500</v>
      </c>
      <c r="C16" s="282" t="s">
        <v>300</v>
      </c>
      <c r="D16" s="306">
        <f>K16*('Data Inputs'!B$37/'Data Inputs'!E$37)</f>
        <v>95890.937019969264</v>
      </c>
      <c r="E16" s="306">
        <f>L16*('Data Inputs'!B$37/'Data Inputs'!E$37)</f>
        <v>43586.789554531482</v>
      </c>
      <c r="K16" s="279">
        <v>66000</v>
      </c>
      <c r="L16" s="279">
        <v>30000</v>
      </c>
    </row>
    <row r="17" spans="1:12" ht="15.75" x14ac:dyDescent="0.25">
      <c r="A17" s="283">
        <v>10000</v>
      </c>
      <c r="B17" s="283">
        <v>18000</v>
      </c>
      <c r="C17" s="282" t="s">
        <v>301</v>
      </c>
      <c r="D17" s="306">
        <f>K17*('Data Inputs'!B$37/'Data Inputs'!E$37)</f>
        <v>137298.38709677418</v>
      </c>
      <c r="E17" s="307" t="s">
        <v>302</v>
      </c>
      <c r="K17" s="279">
        <v>94500</v>
      </c>
      <c r="L17" s="278" t="s">
        <v>302</v>
      </c>
    </row>
    <row r="18" spans="1:12" ht="18" x14ac:dyDescent="0.25">
      <c r="A18" s="384" t="s">
        <v>343</v>
      </c>
      <c r="B18" s="384"/>
      <c r="C18" s="384"/>
      <c r="D18" s="384"/>
      <c r="E18" s="384"/>
    </row>
    <row r="19" spans="1:12" ht="18.75" x14ac:dyDescent="0.25">
      <c r="A19" s="242"/>
      <c r="B19" s="31"/>
      <c r="C19" s="31"/>
      <c r="D19" s="31"/>
      <c r="E19" s="31"/>
    </row>
    <row r="20" spans="1:12" ht="18.75" x14ac:dyDescent="0.25">
      <c r="A20" s="242"/>
      <c r="B20" s="31"/>
      <c r="C20" s="31"/>
      <c r="D20" s="31"/>
      <c r="E20" s="31"/>
    </row>
  </sheetData>
  <mergeCells count="1">
    <mergeCell ref="A18:E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Data Inputs</vt:lpstr>
      <vt:lpstr>Design Parameters</vt:lpstr>
      <vt:lpstr>Cost Estimate</vt:lpstr>
      <vt:lpstr>Table A</vt:lpstr>
      <vt:lpstr>Table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2018-10-25T13:11:56Z</dcterms:created>
  <dcterms:modified xsi:type="dcterms:W3CDTF">2020-11-04T21:15:19Z</dcterms:modified>
</cp:coreProperties>
</file>