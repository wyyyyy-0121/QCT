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xt-iis01.exnet.iastate.edu\websites\extension.iastate.edu\agdm\crops\xls\"/>
    </mc:Choice>
  </mc:AlternateContent>
  <xr:revisionPtr revIDLastSave="0" documentId="8_{AEE63CD0-740C-4EFD-8FE9-B1A3361A36C7}" xr6:coauthVersionLast="47" xr6:coauthVersionMax="47" xr10:uidLastSave="{00000000-0000-0000-0000-000000000000}"/>
  <bookViews>
    <workbookView xWindow="-120" yWindow="-120" windowWidth="29040" windowHeight="15720" xr2:uid="{AC9A96D0-D643-4F61-8C38-36907B7FF82F}"/>
  </bookViews>
  <sheets>
    <sheet name="Hay Budget" sheetId="3" r:id="rId1"/>
    <sheet name="Hay Budget-Blank" sheetId="6" r:id="rId2"/>
  </sheets>
  <definedNames>
    <definedName name="_xlnm.Print_Area" localSheetId="0">'Hay Budget'!$A$1:$K$123</definedName>
    <definedName name="_xlnm.Print_Area" localSheetId="1">'Hay Budget-Blank'!$A$1:$K$123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3" i="6" l="1"/>
  <c r="I113" i="6"/>
  <c r="J113" i="3"/>
  <c r="I113" i="3"/>
  <c r="A121" i="6"/>
  <c r="F110" i="6"/>
  <c r="J106" i="6"/>
  <c r="A105" i="6"/>
  <c r="J102" i="6"/>
  <c r="I99" i="6"/>
  <c r="J99" i="6" s="1"/>
  <c r="G96" i="6"/>
  <c r="I96" i="6" s="1"/>
  <c r="J96" i="6" s="1"/>
  <c r="G95" i="6"/>
  <c r="I91" i="6"/>
  <c r="J91" i="6" s="1"/>
  <c r="H90" i="6"/>
  <c r="H93" i="6" s="1"/>
  <c r="H92" i="6" s="1"/>
  <c r="G90" i="6"/>
  <c r="I89" i="6"/>
  <c r="J89" i="6" s="1"/>
  <c r="I88" i="6"/>
  <c r="J88" i="6" s="1"/>
  <c r="I87" i="6"/>
  <c r="J87" i="6" s="1"/>
  <c r="G85" i="6"/>
  <c r="I84" i="6"/>
  <c r="J84" i="6" s="1"/>
  <c r="I83" i="6"/>
  <c r="J83" i="6" s="1"/>
  <c r="H82" i="6"/>
  <c r="I82" i="6" s="1"/>
  <c r="J82" i="6" s="1"/>
  <c r="H81" i="6"/>
  <c r="I79" i="6"/>
  <c r="J79" i="6" s="1"/>
  <c r="J78" i="6"/>
  <c r="I67" i="6"/>
  <c r="E67" i="6"/>
  <c r="J63" i="6"/>
  <c r="I58" i="6"/>
  <c r="J58" i="6" s="1"/>
  <c r="H57" i="6"/>
  <c r="H59" i="6" s="1"/>
  <c r="H60" i="6" s="1"/>
  <c r="H61" i="6" s="1"/>
  <c r="G57" i="6"/>
  <c r="I56" i="6"/>
  <c r="J56" i="6" s="1"/>
  <c r="I55" i="6"/>
  <c r="J55" i="6" s="1"/>
  <c r="I54" i="6"/>
  <c r="I51" i="6"/>
  <c r="J51" i="6" s="1"/>
  <c r="G48" i="6"/>
  <c r="I48" i="6" s="1"/>
  <c r="J48" i="6" s="1"/>
  <c r="G47" i="6"/>
  <c r="I44" i="6"/>
  <c r="J44" i="6" s="1"/>
  <c r="I43" i="6"/>
  <c r="J43" i="6" s="1"/>
  <c r="H42" i="6"/>
  <c r="I42" i="6" s="1"/>
  <c r="J42" i="6" s="1"/>
  <c r="H41" i="6"/>
  <c r="I41" i="6" s="1"/>
  <c r="J41" i="6" s="1"/>
  <c r="H40" i="6"/>
  <c r="J39" i="6"/>
  <c r="G33" i="6"/>
  <c r="I33" i="6" s="1"/>
  <c r="J33" i="6" s="1"/>
  <c r="G32" i="6"/>
  <c r="I29" i="6"/>
  <c r="J29" i="6" s="1"/>
  <c r="I28" i="6"/>
  <c r="J28" i="6" s="1"/>
  <c r="I27" i="6"/>
  <c r="J27" i="6" s="1"/>
  <c r="H26" i="6"/>
  <c r="I26" i="6" s="1"/>
  <c r="J26" i="6" s="1"/>
  <c r="H25" i="6"/>
  <c r="I25" i="6" s="1"/>
  <c r="J25" i="6" s="1"/>
  <c r="H24" i="6"/>
  <c r="J23" i="6"/>
  <c r="H20" i="6"/>
  <c r="G20" i="6"/>
  <c r="I19" i="6"/>
  <c r="J19" i="6" s="1"/>
  <c r="I18" i="6"/>
  <c r="J18" i="6" s="1"/>
  <c r="I17" i="6"/>
  <c r="J17" i="6" s="1"/>
  <c r="I16" i="6"/>
  <c r="J16" i="6" s="1"/>
  <c r="I15" i="6"/>
  <c r="J15" i="6" s="1"/>
  <c r="I14" i="6"/>
  <c r="J14" i="6" s="1"/>
  <c r="I13" i="6"/>
  <c r="J12" i="6"/>
  <c r="G85" i="3"/>
  <c r="I67" i="3"/>
  <c r="I68" i="3" s="1"/>
  <c r="I68" i="6" l="1"/>
  <c r="J67" i="6"/>
  <c r="J68" i="6" s="1"/>
  <c r="G97" i="6"/>
  <c r="I95" i="6"/>
  <c r="G93" i="6"/>
  <c r="I90" i="6"/>
  <c r="J90" i="6" s="1"/>
  <c r="I81" i="6"/>
  <c r="H85" i="6"/>
  <c r="I110" i="6"/>
  <c r="J110" i="6" s="1"/>
  <c r="G59" i="6"/>
  <c r="G60" i="6" s="1"/>
  <c r="I57" i="6"/>
  <c r="J57" i="6" s="1"/>
  <c r="I59" i="6"/>
  <c r="J54" i="6"/>
  <c r="J61" i="6" s="1"/>
  <c r="G49" i="6"/>
  <c r="I47" i="6"/>
  <c r="H45" i="6"/>
  <c r="I40" i="6"/>
  <c r="I32" i="6"/>
  <c r="G34" i="6"/>
  <c r="G36" i="6" s="1"/>
  <c r="G75" i="6" s="1"/>
  <c r="I24" i="6"/>
  <c r="H30" i="6"/>
  <c r="H36" i="6" s="1"/>
  <c r="H75" i="6" s="1"/>
  <c r="H21" i="6"/>
  <c r="G21" i="6"/>
  <c r="I20" i="6"/>
  <c r="J13" i="6"/>
  <c r="G64" i="6" l="1"/>
  <c r="H64" i="6"/>
  <c r="H69" i="6" s="1"/>
  <c r="J95" i="6"/>
  <c r="J97" i="6" s="1"/>
  <c r="I97" i="6"/>
  <c r="G92" i="6"/>
  <c r="I93" i="6"/>
  <c r="J93" i="6" s="1"/>
  <c r="I85" i="6"/>
  <c r="J81" i="6"/>
  <c r="J85" i="6" s="1"/>
  <c r="I60" i="6"/>
  <c r="G61" i="6"/>
  <c r="J47" i="6"/>
  <c r="J49" i="6" s="1"/>
  <c r="I49" i="6"/>
  <c r="J40" i="6"/>
  <c r="J45" i="6" s="1"/>
  <c r="I45" i="6"/>
  <c r="J32" i="6"/>
  <c r="J34" i="6" s="1"/>
  <c r="I34" i="6"/>
  <c r="J24" i="6"/>
  <c r="J30" i="6" s="1"/>
  <c r="I30" i="6"/>
  <c r="J20" i="6"/>
  <c r="I21" i="6"/>
  <c r="I36" i="6"/>
  <c r="I75" i="6" s="1"/>
  <c r="G103" i="6"/>
  <c r="H103" i="6"/>
  <c r="I64" i="6" l="1"/>
  <c r="I69" i="6" s="1"/>
  <c r="G107" i="6"/>
  <c r="J64" i="6"/>
  <c r="J69" i="6" s="1"/>
  <c r="G108" i="6"/>
  <c r="G104" i="6"/>
  <c r="I103" i="6"/>
  <c r="H107" i="6"/>
  <c r="H108" i="6"/>
  <c r="H104" i="6"/>
  <c r="I107" i="6" l="1"/>
  <c r="J103" i="6"/>
  <c r="I104" i="6"/>
  <c r="I108" i="6"/>
  <c r="J107" i="6"/>
  <c r="A105" i="3" l="1"/>
  <c r="J106" i="3"/>
  <c r="J39" i="3"/>
  <c r="J78" i="3"/>
  <c r="H81" i="3"/>
  <c r="H82" i="3"/>
  <c r="I82" i="3" s="1"/>
  <c r="J82" i="3" s="1"/>
  <c r="G95" i="3"/>
  <c r="G96" i="3"/>
  <c r="I96" i="3" s="1"/>
  <c r="J96" i="3" s="1"/>
  <c r="I79" i="3"/>
  <c r="J79" i="3" s="1"/>
  <c r="J102" i="3"/>
  <c r="F110" i="3"/>
  <c r="I91" i="3"/>
  <c r="J91" i="3" s="1"/>
  <c r="H90" i="3"/>
  <c r="H93" i="3" s="1"/>
  <c r="H92" i="3" s="1"/>
  <c r="G90" i="3"/>
  <c r="G93" i="3" s="1"/>
  <c r="G92" i="3" s="1"/>
  <c r="I89" i="3"/>
  <c r="J89" i="3" s="1"/>
  <c r="I88" i="3"/>
  <c r="J88" i="3" s="1"/>
  <c r="I87" i="3"/>
  <c r="I99" i="3"/>
  <c r="J99" i="3" s="1"/>
  <c r="I84" i="3"/>
  <c r="J84" i="3" s="1"/>
  <c r="I83" i="3"/>
  <c r="J83" i="3" s="1"/>
  <c r="J67" i="3"/>
  <c r="J68" i="3" s="1"/>
  <c r="E67" i="3"/>
  <c r="G48" i="3"/>
  <c r="G47" i="3"/>
  <c r="I47" i="3" s="1"/>
  <c r="I44" i="3"/>
  <c r="J44" i="3" s="1"/>
  <c r="I43" i="3"/>
  <c r="J43" i="3" s="1"/>
  <c r="H42" i="3"/>
  <c r="I42" i="3" s="1"/>
  <c r="J42" i="3" s="1"/>
  <c r="H41" i="3"/>
  <c r="I41" i="3" s="1"/>
  <c r="J41" i="3" s="1"/>
  <c r="H40" i="3"/>
  <c r="H57" i="3"/>
  <c r="H59" i="3" s="1"/>
  <c r="H60" i="3" s="1"/>
  <c r="G57" i="3"/>
  <c r="G59" i="3" s="1"/>
  <c r="G60" i="3" s="1"/>
  <c r="I56" i="3"/>
  <c r="J56" i="3" s="1"/>
  <c r="I55" i="3"/>
  <c r="J55" i="3" s="1"/>
  <c r="I58" i="3"/>
  <c r="J58" i="3" s="1"/>
  <c r="I54" i="3"/>
  <c r="J54" i="3" s="1"/>
  <c r="H24" i="3"/>
  <c r="H25" i="3"/>
  <c r="I25" i="3" s="1"/>
  <c r="J25" i="3" s="1"/>
  <c r="I40" i="3" l="1"/>
  <c r="J40" i="3" s="1"/>
  <c r="H45" i="3"/>
  <c r="I24" i="3"/>
  <c r="J24" i="3" s="1"/>
  <c r="H85" i="3"/>
  <c r="I93" i="3"/>
  <c r="J93" i="3" s="1"/>
  <c r="I95" i="3"/>
  <c r="J95" i="3" s="1"/>
  <c r="J97" i="3" s="1"/>
  <c r="G97" i="3"/>
  <c r="I90" i="3"/>
  <c r="J90" i="3" s="1"/>
  <c r="J87" i="3"/>
  <c r="I81" i="3"/>
  <c r="J81" i="3" s="1"/>
  <c r="I110" i="3"/>
  <c r="J110" i="3" s="1"/>
  <c r="G49" i="3"/>
  <c r="I48" i="3"/>
  <c r="J48" i="3" s="1"/>
  <c r="J47" i="3"/>
  <c r="I57" i="3"/>
  <c r="I97" i="3" l="1"/>
  <c r="J85" i="3"/>
  <c r="I85" i="3"/>
  <c r="J49" i="3"/>
  <c r="I49" i="3"/>
  <c r="I45" i="3"/>
  <c r="J45" i="3"/>
  <c r="J57" i="3"/>
  <c r="I59" i="3"/>
  <c r="G33" i="3"/>
  <c r="I33" i="3" s="1"/>
  <c r="J33" i="3" s="1"/>
  <c r="H26" i="3"/>
  <c r="A121" i="3"/>
  <c r="J63" i="3"/>
  <c r="I51" i="3"/>
  <c r="J51" i="3" s="1"/>
  <c r="G32" i="3"/>
  <c r="I29" i="3"/>
  <c r="J29" i="3" s="1"/>
  <c r="I28" i="3"/>
  <c r="J28" i="3" s="1"/>
  <c r="I27" i="3"/>
  <c r="J27" i="3" s="1"/>
  <c r="J23" i="3"/>
  <c r="H20" i="3"/>
  <c r="G20" i="3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2" i="3"/>
  <c r="I26" i="3" l="1"/>
  <c r="J26" i="3" s="1"/>
  <c r="H30" i="3"/>
  <c r="H36" i="3" s="1"/>
  <c r="G21" i="3"/>
  <c r="G61" i="3"/>
  <c r="G34" i="3"/>
  <c r="I20" i="3"/>
  <c r="H21" i="3"/>
  <c r="I32" i="3"/>
  <c r="J13" i="3"/>
  <c r="H61" i="3"/>
  <c r="H75" i="3" l="1"/>
  <c r="J30" i="3"/>
  <c r="I21" i="3"/>
  <c r="G36" i="3"/>
  <c r="G75" i="3" s="1"/>
  <c r="J61" i="3"/>
  <c r="I60" i="3"/>
  <c r="I30" i="3"/>
  <c r="J20" i="3"/>
  <c r="I34" i="3"/>
  <c r="J32" i="3"/>
  <c r="J34" i="3" s="1"/>
  <c r="H103" i="3" l="1"/>
  <c r="H64" i="3"/>
  <c r="H69" i="3" s="1"/>
  <c r="I36" i="3"/>
  <c r="I75" i="3" s="1"/>
  <c r="H108" i="3" l="1"/>
  <c r="H107" i="3"/>
  <c r="G64" i="3"/>
  <c r="G103" i="3"/>
  <c r="H104" i="3"/>
  <c r="G108" i="3" l="1"/>
  <c r="I64" i="3"/>
  <c r="G107" i="3"/>
  <c r="I107" i="3" s="1"/>
  <c r="G104" i="3"/>
  <c r="I103" i="3"/>
  <c r="J64" i="3" l="1"/>
  <c r="J69" i="3" s="1"/>
  <c r="I108" i="3"/>
  <c r="J107" i="3"/>
  <c r="I69" i="3"/>
  <c r="I104" i="3"/>
  <c r="J103" i="3"/>
</calcChain>
</file>

<file path=xl/sharedStrings.xml><?xml version="1.0" encoding="utf-8"?>
<sst xmlns="http://schemas.openxmlformats.org/spreadsheetml/2006/main" count="454" uniqueCount="115">
  <si>
    <t>Ag Decision Maker -- Iowa State University Extension and Outreach</t>
  </si>
  <si>
    <t>Enter your input values in shaded cells.</t>
  </si>
  <si>
    <t xml:space="preserve">Acres </t>
  </si>
  <si>
    <t>Cost per Acre</t>
  </si>
  <si>
    <t>Total</t>
  </si>
  <si>
    <t>Total Cost</t>
  </si>
  <si>
    <t xml:space="preserve">Preharvest machinery </t>
  </si>
  <si>
    <t>Fixed</t>
  </si>
  <si>
    <t>Variable</t>
  </si>
  <si>
    <t>per Acre</t>
  </si>
  <si>
    <t>Custom hire</t>
  </si>
  <si>
    <t>Other</t>
  </si>
  <si>
    <t>Price per unit</t>
  </si>
  <si>
    <t>Units</t>
  </si>
  <si>
    <t>price per pound</t>
  </si>
  <si>
    <t>pounds per acre</t>
  </si>
  <si>
    <t>Herbicide</t>
  </si>
  <si>
    <t>Land</t>
  </si>
  <si>
    <t xml:space="preserve"> </t>
  </si>
  <si>
    <t>Haul</t>
  </si>
  <si>
    <t>Rate per hour</t>
  </si>
  <si>
    <t>Hours</t>
  </si>
  <si>
    <t>Return per</t>
  </si>
  <si>
    <t>Acre Over</t>
  </si>
  <si>
    <t>Return</t>
  </si>
  <si>
    <t>Variable Costs</t>
  </si>
  <si>
    <t>All Costs</t>
  </si>
  <si>
    <t>All Acres</t>
  </si>
  <si>
    <t>Net returns</t>
  </si>
  <si>
    <t>Notes</t>
  </si>
  <si>
    <t>Contact: Ann Johanns</t>
  </si>
  <si>
    <t>Date Printed:</t>
  </si>
  <si>
    <t>This institution is an equal opportunity provider. For the full non-discrimination statement or accommodation inquiries, go to www.extension.iastate.edu/legal.</t>
  </si>
  <si>
    <t>Machinery: Fixed machinery costs include depreciation, return on investment in machinery (interest), insurance, and housing. Variable machinery costs include fuel, oil, and repairs.</t>
  </si>
  <si>
    <t>Tandem disk (2 times)</t>
  </si>
  <si>
    <t>Spread fertilizer</t>
  </si>
  <si>
    <t>Harrow</t>
  </si>
  <si>
    <t>Seed (drill)</t>
  </si>
  <si>
    <t>Seed, fertilizer, etc.</t>
  </si>
  <si>
    <t>price per unit</t>
  </si>
  <si>
    <t>units per acre</t>
  </si>
  <si>
    <t>Nitrogen</t>
  </si>
  <si>
    <t>Phosphate</t>
  </si>
  <si>
    <t>Potash</t>
  </si>
  <si>
    <t>Crop insurance</t>
  </si>
  <si>
    <t>Miscellaneous</t>
  </si>
  <si>
    <t>Rake</t>
  </si>
  <si>
    <t>fixed cost per ton</t>
  </si>
  <si>
    <t>variable cost per ton</t>
  </si>
  <si>
    <t>Field Name</t>
  </si>
  <si>
    <t>Example</t>
  </si>
  <si>
    <t>Cuttings - year 1</t>
  </si>
  <si>
    <t>* For year 1 only.</t>
  </si>
  <si>
    <t>Establishment year hay production*</t>
  </si>
  <si>
    <t>Establishment Year Costs</t>
  </si>
  <si>
    <t>Alfalfa</t>
  </si>
  <si>
    <t>Lime (total cost for hay lifetime)</t>
  </si>
  <si>
    <t>Preharvest hours per acre</t>
  </si>
  <si>
    <t>Harvest, hours per cutting</t>
  </si>
  <si>
    <t>hours per acre</t>
  </si>
  <si>
    <t>hours per cutting</t>
  </si>
  <si>
    <t>Hay Harvesting Costs - year 1, price per cutting</t>
  </si>
  <si>
    <t>Mower-conditioner</t>
  </si>
  <si>
    <t>Round baler</t>
  </si>
  <si>
    <t>Hay harvesting costs</t>
  </si>
  <si>
    <t>Total harvest costs, per acre</t>
  </si>
  <si>
    <t>Total harvest cost, all acres</t>
  </si>
  <si>
    <t>Establishment Year Costs and Returns</t>
  </si>
  <si>
    <t>Total establishment costs</t>
  </si>
  <si>
    <t>Fertilizer, etc.</t>
  </si>
  <si>
    <t>Establishment Labor</t>
  </si>
  <si>
    <t>Harvest Labor</t>
  </si>
  <si>
    <t>Total establishment costs per acre</t>
  </si>
  <si>
    <t>Establishment First Year Returns</t>
  </si>
  <si>
    <t>Expected Hay price per ton</t>
  </si>
  <si>
    <t>Hay yield</t>
  </si>
  <si>
    <t>tons/acre/year</t>
  </si>
  <si>
    <t>Hay Production Level</t>
  </si>
  <si>
    <t>cuttings</t>
  </si>
  <si>
    <t>Cuttings</t>
  </si>
  <si>
    <t xml:space="preserve">  after establishment year</t>
  </si>
  <si>
    <t>years</t>
  </si>
  <si>
    <t xml:space="preserve">  Years hay will be in production</t>
  </si>
  <si>
    <t>Fertilizer Spreader</t>
  </si>
  <si>
    <t>Annual Fertilizer, removal rate per ton</t>
  </si>
  <si>
    <t>Fertilizer</t>
  </si>
  <si>
    <t>Other labor</t>
  </si>
  <si>
    <t>Hay Harvesting Costs - price per cutting</t>
  </si>
  <si>
    <t>Harvesting costs per cutting</t>
  </si>
  <si>
    <t>Total production year costs per acre</t>
  </si>
  <si>
    <t>pounds per ton</t>
  </si>
  <si>
    <t>Cost per ton</t>
  </si>
  <si>
    <t>Production Year Costs</t>
  </si>
  <si>
    <t>Average costs per acre</t>
  </si>
  <si>
    <t>Average cost per ton</t>
  </si>
  <si>
    <t>Including Establishment Year</t>
  </si>
  <si>
    <t>Average gross returns per year</t>
  </si>
  <si>
    <t>Average Net Returns per Year</t>
  </si>
  <si>
    <t>Establishment costs divided by years of production, plus establishment year</t>
  </si>
  <si>
    <t>Annual Costs</t>
  </si>
  <si>
    <t>Establishment Costs</t>
  </si>
  <si>
    <t>Annual Production Costs for Established Crop</t>
  </si>
  <si>
    <t>Higher priced seed varieties or different seed mixtures could vary these costs by 1.2 to 2.0 times.</t>
  </si>
  <si>
    <t>Spray herbicide</t>
  </si>
  <si>
    <t>Production Costs for Alfalfa or Alfalfa-grass Hay</t>
  </si>
  <si>
    <t>This worksheet calculates hay production costs without a companion crop.</t>
  </si>
  <si>
    <t>Version 2.0_12026</t>
  </si>
  <si>
    <t>Total per acre</t>
  </si>
  <si>
    <t>Total all acres</t>
  </si>
  <si>
    <t>Total establishment labor</t>
  </si>
  <si>
    <t>Total returns</t>
  </si>
  <si>
    <t>Expected Hay Price, per ton</t>
  </si>
  <si>
    <t>Cash rent equivalent</t>
  </si>
  <si>
    <t xml:space="preserve">The Estimated Costs of Crop Production publication has more information onthe annual cost per acre for alfalfa or alfalfa-grass hay. </t>
  </si>
  <si>
    <t>Ag Decision Maker A1-20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</si>
</sst>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.00"/>
    <numFmt numFmtId="165" formatCode="&quot;$&quot;#,##0"/>
  </numFmts>
  <fonts count="20"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b/>
      <sz val="16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10"/>
      <name val="Arial Narrow"/>
      <family val="2"/>
    </font>
    <font>
      <u/>
      <sz val="10"/>
      <color theme="10"/>
      <name val="Arial"/>
      <family val="2"/>
    </font>
    <font>
      <b/>
      <sz val="12"/>
      <color indexed="63"/>
      <name val="Arial"/>
      <family val="2"/>
    </font>
    <font>
      <sz val="9"/>
      <name val="Arial Narrow"/>
      <family val="2"/>
    </font>
    <font>
      <b/>
      <sz val="11"/>
      <name val="Arial"/>
      <family val="2"/>
    </font>
    <font>
      <sz val="10"/>
      <name val="Arial MT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b/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7" fontId="15" fillId="0" borderId="0"/>
    <xf numFmtId="0" fontId="2" fillId="0" borderId="0"/>
    <xf numFmtId="7" fontId="15" fillId="0" borderId="0"/>
  </cellStyleXfs>
  <cellXfs count="154">
    <xf numFmtId="0" fontId="0" fillId="0" borderId="0" xfId="0"/>
    <xf numFmtId="0" fontId="3" fillId="2" borderId="1" xfId="2" applyFont="1" applyFill="1" applyBorder="1" applyAlignment="1">
      <alignment horizontal="left" indent="1"/>
    </xf>
    <xf numFmtId="0" fontId="4" fillId="2" borderId="1" xfId="2" applyFont="1" applyFill="1" applyBorder="1"/>
    <xf numFmtId="0" fontId="4" fillId="2" borderId="1" xfId="2" applyFont="1" applyFill="1" applyBorder="1" applyAlignment="1">
      <alignment horizontal="left" indent="1"/>
    </xf>
    <xf numFmtId="0" fontId="5" fillId="0" borderId="0" xfId="2" applyFont="1"/>
    <xf numFmtId="0" fontId="6" fillId="0" borderId="0" xfId="2" applyFont="1"/>
    <xf numFmtId="0" fontId="6" fillId="0" borderId="0" xfId="2" applyFont="1" applyAlignment="1">
      <alignment horizontal="left" indent="1"/>
    </xf>
    <xf numFmtId="0" fontId="7" fillId="0" borderId="0" xfId="3" applyAlignment="1" applyProtection="1">
      <alignment horizontal="left" indent="1"/>
    </xf>
    <xf numFmtId="0" fontId="7" fillId="0" borderId="0" xfId="3" applyAlignment="1" applyProtection="1">
      <alignment wrapText="1"/>
    </xf>
    <xf numFmtId="0" fontId="7" fillId="0" borderId="0" xfId="3" applyAlignment="1" applyProtection="1">
      <alignment horizontal="left" wrapText="1" indent="1"/>
    </xf>
    <xf numFmtId="0" fontId="6" fillId="0" borderId="0" xfId="3" applyFont="1" applyAlignment="1" applyProtection="1">
      <alignment horizontal="left" indent="1"/>
    </xf>
    <xf numFmtId="0" fontId="7" fillId="0" borderId="0" xfId="3" applyAlignment="1" applyProtection="1">
      <alignment horizontal="left" wrapText="1"/>
    </xf>
    <xf numFmtId="0" fontId="5" fillId="3" borderId="5" xfId="2" applyFont="1" applyFill="1" applyBorder="1" applyAlignment="1">
      <alignment horizontal="left" indent="1"/>
    </xf>
    <xf numFmtId="0" fontId="6" fillId="3" borderId="5" xfId="2" applyFont="1" applyFill="1" applyBorder="1"/>
    <xf numFmtId="0" fontId="5" fillId="3" borderId="5" xfId="2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5" fillId="3" borderId="0" xfId="2" applyFont="1" applyFill="1"/>
    <xf numFmtId="0" fontId="6" fillId="3" borderId="0" xfId="2" applyFont="1" applyFill="1"/>
    <xf numFmtId="0" fontId="5" fillId="3" borderId="0" xfId="2" applyFont="1" applyFill="1" applyAlignment="1">
      <alignment horizontal="left" indent="5"/>
    </xf>
    <xf numFmtId="0" fontId="5" fillId="3" borderId="0" xfId="2" applyFont="1" applyFill="1" applyAlignment="1">
      <alignment horizontal="left" indent="4"/>
    </xf>
    <xf numFmtId="0" fontId="5" fillId="3" borderId="0" xfId="2" applyFont="1" applyFill="1" applyAlignment="1">
      <alignment horizontal="right"/>
    </xf>
    <xf numFmtId="0" fontId="6" fillId="3" borderId="5" xfId="2" applyFont="1" applyFill="1" applyBorder="1" applyAlignment="1">
      <alignment horizontal="center"/>
    </xf>
    <xf numFmtId="0" fontId="5" fillId="3" borderId="5" xfId="2" applyFont="1" applyFill="1" applyBorder="1" applyAlignment="1">
      <alignment horizontal="right"/>
    </xf>
    <xf numFmtId="164" fontId="6" fillId="0" borderId="0" xfId="2" applyNumberFormat="1" applyFont="1"/>
    <xf numFmtId="165" fontId="6" fillId="0" borderId="0" xfId="2" applyNumberFormat="1" applyFont="1"/>
    <xf numFmtId="0" fontId="5" fillId="0" borderId="0" xfId="2" applyFont="1" applyAlignment="1">
      <alignment horizontal="left" indent="1"/>
    </xf>
    <xf numFmtId="164" fontId="5" fillId="0" borderId="0" xfId="2" applyNumberFormat="1" applyFont="1"/>
    <xf numFmtId="165" fontId="5" fillId="0" borderId="0" xfId="2" applyNumberFormat="1" applyFont="1"/>
    <xf numFmtId="164" fontId="6" fillId="0" borderId="0" xfId="2" quotePrefix="1" applyNumberFormat="1" applyFont="1" applyAlignment="1">
      <alignment horizontal="right"/>
    </xf>
    <xf numFmtId="0" fontId="6" fillId="3" borderId="0" xfId="2" applyFont="1" applyFill="1" applyAlignment="1">
      <alignment horizontal="left" indent="1"/>
    </xf>
    <xf numFmtId="0" fontId="5" fillId="3" borderId="5" xfId="2" applyFont="1" applyFill="1" applyBorder="1"/>
    <xf numFmtId="0" fontId="10" fillId="0" borderId="0" xfId="2" applyFont="1" applyAlignment="1">
      <alignment horizontal="left"/>
    </xf>
    <xf numFmtId="0" fontId="10" fillId="0" borderId="0" xfId="2" applyFont="1"/>
    <xf numFmtId="0" fontId="6" fillId="0" borderId="0" xfId="2" applyFont="1" applyAlignment="1" applyProtection="1">
      <alignment horizontal="left" indent="2"/>
      <protection locked="0"/>
    </xf>
    <xf numFmtId="165" fontId="6" fillId="3" borderId="0" xfId="2" applyNumberFormat="1" applyFont="1" applyFill="1"/>
    <xf numFmtId="165" fontId="5" fillId="3" borderId="0" xfId="2" applyNumberFormat="1" applyFont="1" applyFill="1" applyAlignment="1">
      <alignment horizontal="right"/>
    </xf>
    <xf numFmtId="165" fontId="5" fillId="3" borderId="0" xfId="2" applyNumberFormat="1" applyFont="1" applyFill="1"/>
    <xf numFmtId="164" fontId="5" fillId="3" borderId="0" xfId="2" applyNumberFormat="1" applyFont="1" applyFill="1" applyAlignment="1">
      <alignment horizontal="right"/>
    </xf>
    <xf numFmtId="165" fontId="6" fillId="3" borderId="5" xfId="2" applyNumberFormat="1" applyFont="1" applyFill="1" applyBorder="1"/>
    <xf numFmtId="165" fontId="5" fillId="3" borderId="5" xfId="2" applyNumberFormat="1" applyFont="1" applyFill="1" applyBorder="1" applyAlignment="1">
      <alignment horizontal="right"/>
    </xf>
    <xf numFmtId="164" fontId="5" fillId="3" borderId="5" xfId="2" applyNumberFormat="1" applyFont="1" applyFill="1" applyBorder="1" applyAlignment="1">
      <alignment horizontal="right"/>
    </xf>
    <xf numFmtId="14" fontId="6" fillId="0" borderId="0" xfId="2" applyNumberFormat="1" applyFont="1" applyAlignment="1">
      <alignment horizontal="left" indent="1"/>
    </xf>
    <xf numFmtId="0" fontId="2" fillId="0" borderId="0" xfId="2"/>
    <xf numFmtId="0" fontId="8" fillId="5" borderId="2" xfId="2" applyFont="1" applyFill="1" applyBorder="1" applyAlignment="1">
      <alignment horizontal="left" indent="1"/>
    </xf>
    <xf numFmtId="0" fontId="8" fillId="5" borderId="3" xfId="2" applyFont="1" applyFill="1" applyBorder="1"/>
    <xf numFmtId="0" fontId="8" fillId="5" borderId="4" xfId="2" applyFont="1" applyFill="1" applyBorder="1"/>
    <xf numFmtId="0" fontId="5" fillId="5" borderId="6" xfId="2" applyFont="1" applyFill="1" applyBorder="1" applyAlignment="1" applyProtection="1">
      <alignment horizontal="left" indent="1"/>
      <protection locked="0"/>
    </xf>
    <xf numFmtId="0" fontId="5" fillId="5" borderId="5" xfId="2" applyFont="1" applyFill="1" applyBorder="1" applyProtection="1">
      <protection locked="0"/>
    </xf>
    <xf numFmtId="0" fontId="5" fillId="5" borderId="7" xfId="2" applyFont="1" applyFill="1" applyBorder="1" applyProtection="1">
      <protection locked="0"/>
    </xf>
    <xf numFmtId="0" fontId="6" fillId="5" borderId="8" xfId="2" applyFont="1" applyFill="1" applyBorder="1" applyAlignment="1" applyProtection="1">
      <alignment horizontal="right"/>
      <protection locked="0"/>
    </xf>
    <xf numFmtId="1" fontId="6" fillId="5" borderId="8" xfId="2" applyNumberFormat="1" applyFont="1" applyFill="1" applyBorder="1" applyProtection="1">
      <protection locked="0"/>
    </xf>
    <xf numFmtId="164" fontId="6" fillId="5" borderId="8" xfId="2" applyNumberFormat="1" applyFont="1" applyFill="1" applyBorder="1" applyProtection="1">
      <protection locked="0"/>
    </xf>
    <xf numFmtId="164" fontId="6" fillId="5" borderId="9" xfId="2" applyNumberFormat="1" applyFont="1" applyFill="1" applyBorder="1" applyProtection="1">
      <protection locked="0"/>
    </xf>
    <xf numFmtId="0" fontId="11" fillId="0" borderId="0" xfId="1" applyFont="1" applyAlignment="1">
      <alignment horizontal="left" indent="1"/>
    </xf>
    <xf numFmtId="0" fontId="2" fillId="5" borderId="9" xfId="0" applyFont="1" applyFill="1" applyBorder="1" applyAlignment="1" applyProtection="1">
      <alignment horizontal="left" indent="2"/>
      <protection locked="0"/>
    </xf>
    <xf numFmtId="0" fontId="6" fillId="0" borderId="5" xfId="2" applyFont="1" applyBorder="1"/>
    <xf numFmtId="164" fontId="2" fillId="0" borderId="5" xfId="2" applyNumberFormat="1" applyBorder="1"/>
    <xf numFmtId="165" fontId="2" fillId="0" borderId="5" xfId="2" applyNumberFormat="1" applyBorder="1"/>
    <xf numFmtId="0" fontId="2" fillId="0" borderId="5" xfId="2" applyBorder="1"/>
    <xf numFmtId="0" fontId="2" fillId="5" borderId="9" xfId="2" applyFill="1" applyBorder="1" applyAlignment="1" applyProtection="1">
      <alignment horizontal="left" indent="2"/>
      <protection locked="0"/>
    </xf>
    <xf numFmtId="164" fontId="2" fillId="5" borderId="9" xfId="2" applyNumberFormat="1" applyFill="1" applyBorder="1" applyProtection="1">
      <protection locked="0"/>
    </xf>
    <xf numFmtId="0" fontId="9" fillId="0" borderId="5" xfId="2" applyFont="1" applyBorder="1"/>
    <xf numFmtId="0" fontId="8" fillId="0" borderId="0" xfId="2" applyFont="1" applyAlignment="1">
      <alignment horizontal="left" indent="1"/>
    </xf>
    <xf numFmtId="0" fontId="11" fillId="0" borderId="0" xfId="1" applyFont="1" applyAlignment="1" applyProtection="1">
      <alignment horizontal="left" indent="1"/>
    </xf>
    <xf numFmtId="0" fontId="5" fillId="0" borderId="10" xfId="2" applyFont="1" applyBorder="1" applyAlignment="1">
      <alignment horizontal="left"/>
    </xf>
    <xf numFmtId="0" fontId="6" fillId="0" borderId="10" xfId="2" applyFont="1" applyBorder="1"/>
    <xf numFmtId="165" fontId="6" fillId="0" borderId="10" xfId="2" applyNumberFormat="1" applyFont="1" applyBorder="1"/>
    <xf numFmtId="164" fontId="6" fillId="0" borderId="10" xfId="2" quotePrefix="1" applyNumberFormat="1" applyFont="1" applyBorder="1" applyAlignment="1">
      <alignment horizontal="right"/>
    </xf>
    <xf numFmtId="164" fontId="5" fillId="0" borderId="10" xfId="2" applyNumberFormat="1" applyFont="1" applyBorder="1"/>
    <xf numFmtId="165" fontId="5" fillId="0" borderId="10" xfId="2" applyNumberFormat="1" applyFont="1" applyBorder="1"/>
    <xf numFmtId="0" fontId="5" fillId="6" borderId="0" xfId="2" applyFont="1" applyFill="1" applyAlignment="1">
      <alignment horizontal="left" vertical="center" indent="1"/>
    </xf>
    <xf numFmtId="165" fontId="5" fillId="6" borderId="0" xfId="2" applyNumberFormat="1" applyFont="1" applyFill="1" applyAlignment="1">
      <alignment vertical="center"/>
    </xf>
    <xf numFmtId="0" fontId="5" fillId="6" borderId="0" xfId="2" applyFont="1" applyFill="1" applyAlignment="1">
      <alignment horizontal="left" vertical="center"/>
    </xf>
    <xf numFmtId="0" fontId="6" fillId="6" borderId="0" xfId="2" applyFont="1" applyFill="1" applyAlignment="1">
      <alignment vertical="center"/>
    </xf>
    <xf numFmtId="165" fontId="6" fillId="6" borderId="0" xfId="2" applyNumberFormat="1" applyFont="1" applyFill="1" applyAlignment="1">
      <alignment vertical="center"/>
    </xf>
    <xf numFmtId="164" fontId="6" fillId="6" borderId="0" xfId="2" applyNumberFormat="1" applyFont="1" applyFill="1" applyAlignment="1">
      <alignment vertical="center"/>
    </xf>
    <xf numFmtId="164" fontId="5" fillId="6" borderId="0" xfId="2" applyNumberFormat="1" applyFont="1" applyFill="1" applyAlignment="1">
      <alignment vertical="center"/>
    </xf>
    <xf numFmtId="0" fontId="12" fillId="0" borderId="0" xfId="2" applyFont="1" applyAlignment="1">
      <alignment horizontal="left" indent="1"/>
    </xf>
    <xf numFmtId="0" fontId="2" fillId="0" borderId="0" xfId="2" applyAlignment="1">
      <alignment horizontal="left" indent="1"/>
    </xf>
    <xf numFmtId="0" fontId="2" fillId="0" borderId="0" xfId="2" applyAlignment="1">
      <alignment horizontal="left" indent="2"/>
    </xf>
    <xf numFmtId="0" fontId="2" fillId="0" borderId="5" xfId="2" applyBorder="1" applyAlignment="1">
      <alignment horizontal="left" indent="2"/>
    </xf>
    <xf numFmtId="0" fontId="2" fillId="5" borderId="9" xfId="2" applyFill="1" applyBorder="1" applyAlignment="1">
      <alignment horizontal="left" indent="2"/>
    </xf>
    <xf numFmtId="164" fontId="2" fillId="0" borderId="11" xfId="2" applyNumberFormat="1" applyBorder="1"/>
    <xf numFmtId="164" fontId="6" fillId="0" borderId="5" xfId="2" quotePrefix="1" applyNumberFormat="1" applyFont="1" applyBorder="1" applyAlignment="1">
      <alignment horizontal="right"/>
    </xf>
    <xf numFmtId="164" fontId="6" fillId="0" borderId="5" xfId="2" applyNumberFormat="1" applyFont="1" applyBorder="1"/>
    <xf numFmtId="165" fontId="6" fillId="0" borderId="5" xfId="2" applyNumberFormat="1" applyFont="1" applyBorder="1"/>
    <xf numFmtId="0" fontId="5" fillId="0" borderId="0" xfId="2" applyFont="1" applyProtection="1">
      <protection locked="0"/>
    </xf>
    <xf numFmtId="0" fontId="6" fillId="0" borderId="0" xfId="2" applyFont="1" applyAlignment="1" applyProtection="1">
      <alignment horizontal="right"/>
      <protection locked="0"/>
    </xf>
    <xf numFmtId="0" fontId="6" fillId="5" borderId="9" xfId="2" applyFont="1" applyFill="1" applyBorder="1" applyAlignment="1" applyProtection="1">
      <alignment horizontal="right"/>
      <protection locked="0"/>
    </xf>
    <xf numFmtId="0" fontId="5" fillId="0" borderId="0" xfId="2" applyFont="1" applyAlignment="1" applyProtection="1">
      <alignment horizontal="left" indent="2"/>
      <protection locked="0"/>
    </xf>
    <xf numFmtId="0" fontId="2" fillId="0" borderId="0" xfId="2" applyAlignment="1" applyProtection="1">
      <alignment horizontal="left"/>
      <protection locked="0"/>
    </xf>
    <xf numFmtId="0" fontId="13" fillId="0" borderId="0" xfId="2" applyFont="1" applyAlignment="1">
      <alignment horizontal="right"/>
    </xf>
    <xf numFmtId="0" fontId="14" fillId="3" borderId="0" xfId="2" applyFont="1" applyFill="1" applyAlignment="1">
      <alignment horizontal="left" indent="1"/>
    </xf>
    <xf numFmtId="0" fontId="10" fillId="0" borderId="6" xfId="2" applyFont="1" applyBorder="1"/>
    <xf numFmtId="0" fontId="5" fillId="3" borderId="0" xfId="2" applyFont="1" applyFill="1" applyAlignment="1">
      <alignment horizontal="center"/>
    </xf>
    <xf numFmtId="0" fontId="2" fillId="5" borderId="8" xfId="2" applyFill="1" applyBorder="1" applyAlignment="1" applyProtection="1">
      <alignment horizontal="left" indent="2"/>
      <protection locked="0"/>
    </xf>
    <xf numFmtId="0" fontId="5" fillId="6" borderId="3" xfId="2" applyFont="1" applyFill="1" applyBorder="1"/>
    <xf numFmtId="0" fontId="5" fillId="6" borderId="3" xfId="2" applyFont="1" applyFill="1" applyBorder="1" applyAlignment="1">
      <alignment horizontal="center"/>
    </xf>
    <xf numFmtId="0" fontId="6" fillId="6" borderId="3" xfId="2" applyFont="1" applyFill="1" applyBorder="1"/>
    <xf numFmtId="0" fontId="5" fillId="6" borderId="3" xfId="2" applyFont="1" applyFill="1" applyBorder="1" applyAlignment="1">
      <alignment horizontal="right"/>
    </xf>
    <xf numFmtId="164" fontId="6" fillId="6" borderId="3" xfId="2" applyNumberFormat="1" applyFont="1" applyFill="1" applyBorder="1"/>
    <xf numFmtId="164" fontId="5" fillId="6" borderId="3" xfId="2" applyNumberFormat="1" applyFont="1" applyFill="1" applyBorder="1"/>
    <xf numFmtId="0" fontId="2" fillId="6" borderId="3" xfId="2" applyFill="1" applyBorder="1" applyAlignment="1">
      <alignment horizontal="left" indent="1"/>
    </xf>
    <xf numFmtId="0" fontId="10" fillId="0" borderId="12" xfId="2" applyFont="1" applyBorder="1"/>
    <xf numFmtId="0" fontId="10" fillId="0" borderId="5" xfId="2" applyFont="1" applyBorder="1" applyAlignment="1">
      <alignment horizontal="left"/>
    </xf>
    <xf numFmtId="0" fontId="10" fillId="0" borderId="5" xfId="2" applyFont="1" applyBorder="1"/>
    <xf numFmtId="0" fontId="14" fillId="3" borderId="5" xfId="2" applyFont="1" applyFill="1" applyBorder="1" applyAlignment="1">
      <alignment horizontal="left" indent="1"/>
    </xf>
    <xf numFmtId="0" fontId="2" fillId="0" borderId="5" xfId="2" applyBorder="1" applyAlignment="1">
      <alignment horizontal="left"/>
    </xf>
    <xf numFmtId="0" fontId="10" fillId="0" borderId="5" xfId="3" applyFont="1" applyBorder="1" applyAlignment="1" applyProtection="1">
      <alignment horizontal="left" indent="4"/>
    </xf>
    <xf numFmtId="0" fontId="10" fillId="0" borderId="5" xfId="0" applyFont="1" applyBorder="1"/>
    <xf numFmtId="164" fontId="2" fillId="0" borderId="5" xfId="2" quotePrefix="1" applyNumberFormat="1" applyBorder="1" applyAlignment="1">
      <alignment horizontal="right"/>
    </xf>
    <xf numFmtId="165" fontId="2" fillId="0" borderId="5" xfId="2" quotePrefix="1" applyNumberFormat="1" applyBorder="1" applyAlignment="1">
      <alignment horizontal="right"/>
    </xf>
    <xf numFmtId="0" fontId="2" fillId="0" borderId="0" xfId="2" applyAlignment="1">
      <alignment horizontal="right"/>
    </xf>
    <xf numFmtId="0" fontId="2" fillId="0" borderId="0" xfId="6"/>
    <xf numFmtId="164" fontId="2" fillId="0" borderId="0" xfId="2" applyNumberFormat="1"/>
    <xf numFmtId="165" fontId="2" fillId="0" borderId="0" xfId="2" applyNumberFormat="1"/>
    <xf numFmtId="164" fontId="2" fillId="0" borderId="0" xfId="5" applyNumberFormat="1" applyFont="1"/>
    <xf numFmtId="164" fontId="2" fillId="0" borderId="0" xfId="7" applyNumberFormat="1" applyFont="1"/>
    <xf numFmtId="0" fontId="5" fillId="3" borderId="5" xfId="2" applyFont="1" applyFill="1" applyBorder="1" applyAlignment="1">
      <alignment horizontal="left" indent="2"/>
    </xf>
    <xf numFmtId="0" fontId="10" fillId="0" borderId="5" xfId="3" applyFont="1" applyBorder="1" applyAlignment="1" applyProtection="1">
      <alignment horizontal="right"/>
    </xf>
    <xf numFmtId="0" fontId="6" fillId="0" borderId="7" xfId="2" applyFont="1" applyBorder="1"/>
    <xf numFmtId="0" fontId="14" fillId="0" borderId="10" xfId="2" applyFont="1" applyBorder="1" applyAlignment="1">
      <alignment horizontal="left" indent="1"/>
    </xf>
    <xf numFmtId="164" fontId="14" fillId="0" borderId="10" xfId="2" applyNumberFormat="1" applyFont="1" applyBorder="1"/>
    <xf numFmtId="164" fontId="2" fillId="5" borderId="8" xfId="2" applyNumberFormat="1" applyFill="1" applyBorder="1" applyProtection="1">
      <protection locked="0"/>
    </xf>
    <xf numFmtId="37" fontId="2" fillId="5" borderId="8" xfId="5" applyNumberFormat="1" applyFont="1" applyFill="1" applyBorder="1" applyProtection="1">
      <protection locked="0"/>
    </xf>
    <xf numFmtId="0" fontId="17" fillId="2" borderId="1" xfId="2" applyFont="1" applyFill="1" applyBorder="1"/>
    <xf numFmtId="0" fontId="16" fillId="2" borderId="1" xfId="2" applyFont="1" applyFill="1" applyBorder="1" applyAlignment="1">
      <alignment horizontal="center"/>
    </xf>
    <xf numFmtId="1" fontId="2" fillId="5" borderId="9" xfId="2" applyNumberFormat="1" applyFill="1" applyBorder="1" applyProtection="1">
      <protection locked="0"/>
    </xf>
    <xf numFmtId="2" fontId="2" fillId="5" borderId="9" xfId="2" applyNumberFormat="1" applyFill="1" applyBorder="1" applyProtection="1">
      <protection locked="0"/>
    </xf>
    <xf numFmtId="3" fontId="2" fillId="5" borderId="9" xfId="2" applyNumberFormat="1" applyFill="1" applyBorder="1" applyProtection="1">
      <protection locked="0"/>
    </xf>
    <xf numFmtId="0" fontId="2" fillId="5" borderId="9" xfId="2" applyFill="1" applyBorder="1" applyProtection="1">
      <protection locked="0"/>
    </xf>
    <xf numFmtId="0" fontId="5" fillId="6" borderId="3" xfId="2" applyFont="1" applyFill="1" applyBorder="1" applyAlignment="1">
      <alignment horizontal="left" indent="1"/>
    </xf>
    <xf numFmtId="0" fontId="5" fillId="3" borderId="5" xfId="2" applyFont="1" applyFill="1" applyBorder="1" applyAlignment="1">
      <alignment horizontal="left" indent="4"/>
    </xf>
    <xf numFmtId="0" fontId="18" fillId="2" borderId="1" xfId="2" applyFont="1" applyFill="1" applyBorder="1" applyAlignment="1">
      <alignment horizontal="left" indent="1"/>
    </xf>
    <xf numFmtId="0" fontId="2" fillId="0" borderId="0" xfId="6" applyAlignment="1">
      <alignment horizontal="left" indent="1"/>
    </xf>
    <xf numFmtId="164" fontId="2" fillId="0" borderId="10" xfId="2" quotePrefix="1" applyNumberFormat="1" applyBorder="1" applyAlignment="1">
      <alignment horizontal="right"/>
    </xf>
    <xf numFmtId="0" fontId="2" fillId="0" borderId="0" xfId="3" applyFont="1" applyAlignment="1" applyProtection="1">
      <alignment horizontal="left" indent="1"/>
    </xf>
    <xf numFmtId="0" fontId="6" fillId="0" borderId="0" xfId="2" applyFont="1" applyAlignment="1">
      <alignment vertical="top"/>
    </xf>
    <xf numFmtId="164" fontId="6" fillId="0" borderId="0" xfId="2" applyNumberFormat="1" applyFont="1" applyAlignment="1">
      <alignment vertical="top"/>
    </xf>
    <xf numFmtId="164" fontId="5" fillId="0" borderId="0" xfId="2" applyNumberFormat="1" applyFont="1" applyAlignment="1">
      <alignment vertical="top"/>
    </xf>
    <xf numFmtId="164" fontId="6" fillId="0" borderId="0" xfId="2" quotePrefix="1" applyNumberFormat="1" applyFont="1" applyAlignment="1">
      <alignment horizontal="right" vertical="top"/>
    </xf>
    <xf numFmtId="0" fontId="2" fillId="0" borderId="0" xfId="2" applyAlignment="1">
      <alignment horizontal="left" vertical="top" indent="1"/>
    </xf>
    <xf numFmtId="0" fontId="2" fillId="0" borderId="0" xfId="2" applyAlignment="1">
      <alignment horizontal="left" vertical="top" indent="2"/>
    </xf>
    <xf numFmtId="0" fontId="6" fillId="0" borderId="0" xfId="2" applyFont="1" applyAlignment="1">
      <alignment horizontal="left" vertical="top"/>
    </xf>
    <xf numFmtId="0" fontId="5" fillId="0" borderId="0" xfId="2" applyFont="1" applyAlignment="1">
      <alignment vertical="top"/>
    </xf>
    <xf numFmtId="165" fontId="6" fillId="0" borderId="0" xfId="2" applyNumberFormat="1" applyFont="1" applyAlignment="1">
      <alignment vertical="top"/>
    </xf>
    <xf numFmtId="165" fontId="5" fillId="0" borderId="0" xfId="2" applyNumberFormat="1" applyFont="1" applyAlignment="1">
      <alignment vertical="top"/>
    </xf>
    <xf numFmtId="0" fontId="5" fillId="0" borderId="0" xfId="2" applyFont="1" applyAlignment="1">
      <alignment horizontal="left" vertical="top" indent="1"/>
    </xf>
    <xf numFmtId="0" fontId="2" fillId="0" borderId="0" xfId="2" applyAlignment="1">
      <alignment vertical="top"/>
    </xf>
    <xf numFmtId="0" fontId="9" fillId="0" borderId="0" xfId="2" applyFont="1" applyAlignment="1">
      <alignment vertical="top"/>
    </xf>
    <xf numFmtId="164" fontId="9" fillId="4" borderId="0" xfId="2" applyNumberFormat="1" applyFont="1" applyFill="1" applyAlignment="1" applyProtection="1">
      <alignment vertical="top"/>
      <protection locked="0"/>
    </xf>
    <xf numFmtId="164" fontId="2" fillId="4" borderId="0" xfId="2" applyNumberFormat="1" applyFill="1" applyAlignment="1" applyProtection="1">
      <alignment vertical="top"/>
      <protection locked="0"/>
    </xf>
    <xf numFmtId="0" fontId="5" fillId="0" borderId="10" xfId="2" applyFont="1" applyBorder="1" applyAlignment="1">
      <alignment horizontal="left" indent="2"/>
    </xf>
    <xf numFmtId="0" fontId="19" fillId="2" borderId="1" xfId="2" applyFont="1" applyFill="1" applyBorder="1" applyAlignment="1">
      <alignment horizontal="right"/>
    </xf>
  </cellXfs>
  <cellStyles count="8">
    <cellStyle name="Hyperlink" xfId="1" builtinId="8"/>
    <cellStyle name="Hyperlink 2" xfId="3" xr:uid="{C1C5D61E-A3B8-41A7-B42D-00C0847D816D}"/>
    <cellStyle name="Normal" xfId="0" builtinId="0"/>
    <cellStyle name="Normal 2" xfId="2" xr:uid="{1C6B4A17-44C6-43E7-BE84-8B013AA32927}"/>
    <cellStyle name="Normal_Annual Hay Production" xfId="7" xr:uid="{4C79926F-9681-4D55-888A-94D89DD10949}"/>
    <cellStyle name="Normal_Hay Production" xfId="5" xr:uid="{F470FC8B-6A54-4449-91DC-BE90223C04F6}"/>
    <cellStyle name="Normal_Hay Production (2)_Hay Production (3)" xfId="6" xr:uid="{FDB0AB96-6896-4506-9C4D-1DF2E3A2661B}"/>
    <cellStyle name="Percent 2" xfId="4" xr:uid="{2F2D2007-4D40-43B7-97D0-8C0A678F11F8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116</xdr:row>
      <xdr:rowOff>152400</xdr:rowOff>
    </xdr:from>
    <xdr:to>
      <xdr:col>9</xdr:col>
      <xdr:colOff>784514</xdr:colOff>
      <xdr:row>120</xdr:row>
      <xdr:rowOff>81049</xdr:rowOff>
    </xdr:to>
    <xdr:pic>
      <xdr:nvPicPr>
        <xdr:cNvPr id="2" name="Picture 1" title="Iowa State University logo">
          <a:extLst>
            <a:ext uri="{FF2B5EF4-FFF2-40B4-BE49-F238E27FC236}">
              <a16:creationId xmlns:a16="http://schemas.microsoft.com/office/drawing/2014/main" id="{EC63DD6F-B38E-4E17-956E-B9BC61365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24450675"/>
          <a:ext cx="2556164" cy="6525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116</xdr:row>
      <xdr:rowOff>152400</xdr:rowOff>
    </xdr:from>
    <xdr:to>
      <xdr:col>9</xdr:col>
      <xdr:colOff>784514</xdr:colOff>
      <xdr:row>120</xdr:row>
      <xdr:rowOff>81049</xdr:rowOff>
    </xdr:to>
    <xdr:pic>
      <xdr:nvPicPr>
        <xdr:cNvPr id="2" name="Picture 1" title="Iowa State University logo">
          <a:extLst>
            <a:ext uri="{FF2B5EF4-FFF2-40B4-BE49-F238E27FC236}">
              <a16:creationId xmlns:a16="http://schemas.microsoft.com/office/drawing/2014/main" id="{E88DDBB9-A332-4BDB-AD4B-334CA4133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22202775"/>
          <a:ext cx="2556164" cy="652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xtension.iastate.edu/legal" TargetMode="External"/><Relationship Id="rId2" Type="http://schemas.openxmlformats.org/officeDocument/2006/relationships/hyperlink" Target="mailto:aholste@iastate.edu?subject=AgDM-Spreadsheet-A1-20-C-C" TargetMode="External"/><Relationship Id="rId1" Type="http://schemas.openxmlformats.org/officeDocument/2006/relationships/hyperlink" Target="https://www.extension.iastate.edu/agdm/crops/html/a1-20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xtension.iastate.edu/legal" TargetMode="External"/><Relationship Id="rId2" Type="http://schemas.openxmlformats.org/officeDocument/2006/relationships/hyperlink" Target="mailto:aholste@iastate.edu?subject=AgDM-Spreadsheet-A1-20-C-C" TargetMode="External"/><Relationship Id="rId1" Type="http://schemas.openxmlformats.org/officeDocument/2006/relationships/hyperlink" Target="https://www.extension.iastate.edu/agdm/crops/html/a1-20.html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7464-2AC4-4A4A-B952-3BF4A2D74298}">
  <sheetPr>
    <pageSetUpPr autoPageBreaks="0" fitToPage="1"/>
  </sheetPr>
  <dimension ref="A1:M122"/>
  <sheetViews>
    <sheetView showGridLines="0" tabSelected="1" zoomScaleNormal="100" workbookViewId="0"/>
  </sheetViews>
  <sheetFormatPr defaultColWidth="8" defaultRowHeight="12.75"/>
  <cols>
    <col min="1" max="1" width="21.875" style="6" customWidth="1"/>
    <col min="2" max="2" width="8" style="5" customWidth="1"/>
    <col min="3" max="3" width="6.625" style="5" customWidth="1"/>
    <col min="4" max="4" width="17.5" style="5" bestFit="1" customWidth="1"/>
    <col min="5" max="5" width="7.5" style="5" customWidth="1"/>
    <col min="6" max="6" width="16.125" style="5" customWidth="1"/>
    <col min="7" max="8" width="11.125" style="5" customWidth="1"/>
    <col min="9" max="9" width="11.875" style="5" customWidth="1"/>
    <col min="10" max="10" width="11.125" style="5" customWidth="1"/>
    <col min="11" max="11" width="10" style="6" bestFit="1" customWidth="1"/>
    <col min="12" max="12" width="18" style="5" bestFit="1" customWidth="1"/>
    <col min="13" max="13" width="8" style="5"/>
    <col min="14" max="14" width="17.75" style="5" customWidth="1"/>
    <col min="15" max="16384" width="8" style="5"/>
  </cols>
  <sheetData>
    <row r="1" spans="1:12" s="2" customFormat="1" ht="27" customHeight="1" thickBot="1">
      <c r="A1" s="1" t="s">
        <v>104</v>
      </c>
      <c r="J1" s="153" t="s">
        <v>114</v>
      </c>
      <c r="K1" s="3"/>
    </row>
    <row r="2" spans="1:12" ht="16.5" thickTop="1">
      <c r="A2" s="77" t="s">
        <v>0</v>
      </c>
      <c r="B2" s="4"/>
    </row>
    <row r="3" spans="1:12" ht="12.75" customHeight="1">
      <c r="A3" s="7" t="s">
        <v>113</v>
      </c>
      <c r="B3" s="8"/>
      <c r="C3" s="8"/>
      <c r="D3" s="8"/>
      <c r="E3" s="8"/>
      <c r="F3" s="8"/>
      <c r="G3" s="8"/>
      <c r="H3" s="8"/>
      <c r="I3" s="8"/>
      <c r="J3" s="8"/>
      <c r="K3" s="9"/>
      <c r="L3" s="8"/>
    </row>
    <row r="4" spans="1:12">
      <c r="A4" s="136" t="s">
        <v>105</v>
      </c>
      <c r="B4" s="8"/>
      <c r="C4" s="8"/>
      <c r="D4" s="8"/>
      <c r="E4" s="8"/>
      <c r="F4" s="8"/>
      <c r="G4" s="8"/>
      <c r="H4" s="8"/>
      <c r="I4" s="8"/>
      <c r="J4" s="8"/>
      <c r="K4" s="9"/>
      <c r="L4" s="8"/>
    </row>
    <row r="5" spans="1:12">
      <c r="A5" s="43" t="s">
        <v>1</v>
      </c>
      <c r="B5" s="44"/>
      <c r="C5" s="45"/>
      <c r="D5" s="11"/>
      <c r="E5" s="11"/>
      <c r="F5" s="11"/>
    </row>
    <row r="6" spans="1:12">
      <c r="D6" s="11"/>
      <c r="E6" s="11"/>
      <c r="F6" s="11"/>
    </row>
    <row r="7" spans="1:12" ht="20.25" customHeight="1">
      <c r="A7" s="12" t="s">
        <v>49</v>
      </c>
      <c r="B7" s="13"/>
      <c r="C7" s="13"/>
      <c r="D7" s="14" t="s">
        <v>2</v>
      </c>
      <c r="E7" s="13"/>
      <c r="F7" s="13"/>
      <c r="G7" s="13"/>
      <c r="H7" s="13"/>
      <c r="I7" s="13"/>
      <c r="J7" s="13"/>
    </row>
    <row r="8" spans="1:12">
      <c r="A8" s="46" t="s">
        <v>50</v>
      </c>
      <c r="B8" s="47"/>
      <c r="C8" s="48"/>
      <c r="D8" s="50">
        <v>10</v>
      </c>
    </row>
    <row r="9" spans="1:12" ht="13.5">
      <c r="A9" s="89" t="s">
        <v>53</v>
      </c>
      <c r="B9" s="86"/>
      <c r="C9" s="86"/>
      <c r="D9" s="49">
        <v>2.5</v>
      </c>
      <c r="E9" s="42" t="s">
        <v>76</v>
      </c>
      <c r="F9" s="87"/>
      <c r="G9" s="88">
        <v>2</v>
      </c>
      <c r="H9" s="90" t="s">
        <v>51</v>
      </c>
      <c r="I9" s="15"/>
      <c r="J9" s="91" t="s">
        <v>52</v>
      </c>
    </row>
    <row r="10" spans="1:12" ht="12.2" customHeight="1">
      <c r="A10" s="9"/>
      <c r="B10" s="11"/>
      <c r="C10" s="11"/>
      <c r="D10" s="11"/>
      <c r="E10" s="11"/>
      <c r="F10" s="11"/>
      <c r="G10" s="11"/>
      <c r="H10" s="11"/>
      <c r="I10" s="11"/>
      <c r="J10" s="11"/>
    </row>
    <row r="11" spans="1:12" ht="15">
      <c r="A11" s="92" t="s">
        <v>54</v>
      </c>
      <c r="B11" s="16"/>
      <c r="C11" s="17"/>
      <c r="D11" s="17"/>
      <c r="E11" s="17"/>
      <c r="F11" s="17"/>
      <c r="G11" s="18" t="s">
        <v>3</v>
      </c>
      <c r="H11" s="19"/>
      <c r="I11" s="19" t="s">
        <v>4</v>
      </c>
      <c r="J11" s="20" t="s">
        <v>5</v>
      </c>
    </row>
    <row r="12" spans="1:12">
      <c r="A12" s="12" t="s">
        <v>6</v>
      </c>
      <c r="B12" s="13"/>
      <c r="C12" s="13"/>
      <c r="D12" s="13"/>
      <c r="E12" s="13"/>
      <c r="F12" s="13"/>
      <c r="G12" s="21" t="s">
        <v>7</v>
      </c>
      <c r="H12" s="21" t="s">
        <v>8</v>
      </c>
      <c r="I12" s="22" t="s">
        <v>9</v>
      </c>
      <c r="J12" s="22" t="str">
        <f>D8&amp;" Acres"&amp;""</f>
        <v>10 Acres</v>
      </c>
    </row>
    <row r="13" spans="1:12">
      <c r="A13" s="54" t="s">
        <v>103</v>
      </c>
      <c r="G13" s="51">
        <v>4</v>
      </c>
      <c r="H13" s="51">
        <v>2.8</v>
      </c>
      <c r="I13" s="23">
        <f t="shared" ref="I13:I19" si="0">G13+H13</f>
        <v>6.8</v>
      </c>
      <c r="J13" s="24">
        <f t="shared" ref="J13:J20" si="1">$D$8*I13</f>
        <v>68</v>
      </c>
    </row>
    <row r="14" spans="1:12">
      <c r="A14" s="54" t="s">
        <v>34</v>
      </c>
      <c r="G14" s="51">
        <v>16.2</v>
      </c>
      <c r="H14" s="51">
        <v>9.8000000000000007</v>
      </c>
      <c r="I14" s="23">
        <f t="shared" si="0"/>
        <v>26</v>
      </c>
      <c r="J14" s="24">
        <f t="shared" si="1"/>
        <v>260</v>
      </c>
    </row>
    <row r="15" spans="1:12">
      <c r="A15" s="54" t="s">
        <v>35</v>
      </c>
      <c r="G15" s="52">
        <v>3.5</v>
      </c>
      <c r="H15" s="52">
        <v>2.2000000000000002</v>
      </c>
      <c r="I15" s="23">
        <f t="shared" si="0"/>
        <v>5.7</v>
      </c>
      <c r="J15" s="24">
        <f t="shared" si="1"/>
        <v>57</v>
      </c>
    </row>
    <row r="16" spans="1:12">
      <c r="A16" s="54" t="s">
        <v>36</v>
      </c>
      <c r="G16" s="52">
        <v>3.6</v>
      </c>
      <c r="H16" s="52">
        <v>2.1</v>
      </c>
      <c r="I16" s="23">
        <f t="shared" si="0"/>
        <v>5.7</v>
      </c>
      <c r="J16" s="24">
        <f t="shared" si="1"/>
        <v>57</v>
      </c>
    </row>
    <row r="17" spans="1:11">
      <c r="A17" s="54" t="s">
        <v>37</v>
      </c>
      <c r="G17" s="52">
        <v>8</v>
      </c>
      <c r="H17" s="52">
        <v>5.7</v>
      </c>
      <c r="I17" s="23">
        <f t="shared" si="0"/>
        <v>13.7</v>
      </c>
      <c r="J17" s="24">
        <f t="shared" si="1"/>
        <v>137</v>
      </c>
    </row>
    <row r="18" spans="1:11">
      <c r="A18" s="54" t="s">
        <v>11</v>
      </c>
      <c r="G18" s="52">
        <v>0</v>
      </c>
      <c r="H18" s="52">
        <v>0</v>
      </c>
      <c r="I18" s="23">
        <f t="shared" si="0"/>
        <v>0</v>
      </c>
      <c r="J18" s="24">
        <f t="shared" si="1"/>
        <v>0</v>
      </c>
    </row>
    <row r="19" spans="1:11">
      <c r="A19" s="54" t="s">
        <v>11</v>
      </c>
      <c r="B19" s="55"/>
      <c r="C19" s="55"/>
      <c r="D19" s="55"/>
      <c r="E19" s="55"/>
      <c r="F19" s="55"/>
      <c r="G19" s="52">
        <v>0</v>
      </c>
      <c r="H19" s="52">
        <v>0</v>
      </c>
      <c r="I19" s="56">
        <f t="shared" si="0"/>
        <v>0</v>
      </c>
      <c r="J19" s="57">
        <f t="shared" si="1"/>
        <v>0</v>
      </c>
    </row>
    <row r="20" spans="1:11">
      <c r="A20" s="25" t="s">
        <v>107</v>
      </c>
      <c r="B20" s="4"/>
      <c r="G20" s="23">
        <f>SUM(G13:G19)</f>
        <v>35.299999999999997</v>
      </c>
      <c r="H20" s="23">
        <f>SUM(H13:H19)</f>
        <v>22.6</v>
      </c>
      <c r="I20" s="26">
        <f>SUM(I13:I19)</f>
        <v>57.900000000000006</v>
      </c>
      <c r="J20" s="27">
        <f t="shared" si="1"/>
        <v>579</v>
      </c>
    </row>
    <row r="21" spans="1:11" ht="24" customHeight="1">
      <c r="A21" s="147" t="s">
        <v>108</v>
      </c>
      <c r="B21" s="144"/>
      <c r="C21" s="137"/>
      <c r="D21" s="137"/>
      <c r="E21" s="137"/>
      <c r="F21" s="137"/>
      <c r="G21" s="145">
        <f>$D$8*G20</f>
        <v>353</v>
      </c>
      <c r="H21" s="145">
        <f>$D$8*H20</f>
        <v>226</v>
      </c>
      <c r="I21" s="146">
        <f>$D$8*I20</f>
        <v>579</v>
      </c>
      <c r="J21" s="140"/>
    </row>
    <row r="22" spans="1:11">
      <c r="A22" s="29"/>
      <c r="B22" s="17"/>
      <c r="C22" s="17"/>
      <c r="D22" s="17"/>
      <c r="E22" s="17"/>
      <c r="F22" s="17"/>
      <c r="G22" s="18" t="s">
        <v>3</v>
      </c>
      <c r="H22" s="19"/>
      <c r="I22" s="19" t="s">
        <v>4</v>
      </c>
      <c r="J22" s="20" t="s">
        <v>5</v>
      </c>
    </row>
    <row r="23" spans="1:11">
      <c r="A23" s="12" t="s">
        <v>38</v>
      </c>
      <c r="B23" s="30"/>
      <c r="C23" s="14" t="s">
        <v>12</v>
      </c>
      <c r="D23" s="14"/>
      <c r="E23" s="14" t="s">
        <v>13</v>
      </c>
      <c r="F23" s="13"/>
      <c r="G23" s="21" t="s">
        <v>7</v>
      </c>
      <c r="H23" s="21" t="s">
        <v>8</v>
      </c>
      <c r="I23" s="22" t="s">
        <v>9</v>
      </c>
      <c r="J23" s="22" t="str">
        <f>D8&amp;" Acres"&amp;""</f>
        <v>10 Acres</v>
      </c>
    </row>
    <row r="24" spans="1:11">
      <c r="A24" s="81" t="s">
        <v>55</v>
      </c>
      <c r="C24" s="60">
        <v>4.4400000000000004</v>
      </c>
      <c r="D24" s="31" t="s">
        <v>39</v>
      </c>
      <c r="E24" s="129">
        <v>15</v>
      </c>
      <c r="F24" s="32" t="s">
        <v>40</v>
      </c>
      <c r="G24" s="28"/>
      <c r="H24" s="23">
        <f>C24*E24</f>
        <v>66.600000000000009</v>
      </c>
      <c r="I24" s="23">
        <f t="shared" ref="I24" si="2">H24</f>
        <v>66.600000000000009</v>
      </c>
      <c r="J24" s="24">
        <f t="shared" ref="J24:J29" si="3">$D$8*I24</f>
        <v>666.00000000000011</v>
      </c>
    </row>
    <row r="25" spans="1:11">
      <c r="A25" s="81"/>
      <c r="C25" s="60"/>
      <c r="D25" s="31" t="s">
        <v>39</v>
      </c>
      <c r="E25" s="129"/>
      <c r="F25" s="32" t="s">
        <v>40</v>
      </c>
      <c r="G25" s="28"/>
      <c r="H25" s="23">
        <f>C25*E25</f>
        <v>0</v>
      </c>
      <c r="I25" s="23">
        <f t="shared" ref="I25:I29" si="4">H25</f>
        <v>0</v>
      </c>
      <c r="J25" s="24">
        <f t="shared" si="3"/>
        <v>0</v>
      </c>
    </row>
    <row r="26" spans="1:11">
      <c r="A26" s="81"/>
      <c r="C26" s="60"/>
      <c r="D26" s="31" t="s">
        <v>39</v>
      </c>
      <c r="E26" s="129"/>
      <c r="F26" s="32" t="s">
        <v>40</v>
      </c>
      <c r="G26" s="28"/>
      <c r="H26" s="23">
        <f>C26*E26</f>
        <v>0</v>
      </c>
      <c r="I26" s="23">
        <f t="shared" ref="I26" si="5">H26</f>
        <v>0</v>
      </c>
      <c r="J26" s="24">
        <f t="shared" si="3"/>
        <v>0</v>
      </c>
    </row>
    <row r="27" spans="1:11">
      <c r="A27" s="79" t="s">
        <v>56</v>
      </c>
      <c r="C27" s="42"/>
      <c r="D27" s="31"/>
      <c r="E27" s="42"/>
      <c r="F27" s="32"/>
      <c r="G27" s="28"/>
      <c r="H27" s="52">
        <v>40</v>
      </c>
      <c r="I27" s="23">
        <f t="shared" si="4"/>
        <v>40</v>
      </c>
      <c r="J27" s="24">
        <f t="shared" si="3"/>
        <v>400</v>
      </c>
    </row>
    <row r="28" spans="1:11">
      <c r="A28" s="79" t="s">
        <v>16</v>
      </c>
      <c r="C28" s="42"/>
      <c r="D28" s="31"/>
      <c r="E28" s="42"/>
      <c r="F28" s="32"/>
      <c r="G28" s="28"/>
      <c r="H28" s="52">
        <v>31.1</v>
      </c>
      <c r="I28" s="23">
        <f t="shared" si="4"/>
        <v>31.1</v>
      </c>
      <c r="J28" s="24">
        <f t="shared" si="3"/>
        <v>311</v>
      </c>
    </row>
    <row r="29" spans="1:11">
      <c r="A29" s="79" t="s">
        <v>45</v>
      </c>
      <c r="C29" s="42"/>
      <c r="D29" s="31"/>
      <c r="E29" s="42"/>
      <c r="F29" s="32"/>
      <c r="G29" s="28"/>
      <c r="H29" s="52">
        <v>0</v>
      </c>
      <c r="I29" s="23">
        <f t="shared" si="4"/>
        <v>0</v>
      </c>
      <c r="J29" s="24">
        <f t="shared" si="3"/>
        <v>0</v>
      </c>
    </row>
    <row r="30" spans="1:11" ht="26.25" customHeight="1">
      <c r="A30" s="147" t="s">
        <v>4</v>
      </c>
      <c r="B30" s="144"/>
      <c r="C30" s="148"/>
      <c r="D30" s="137"/>
      <c r="E30" s="148"/>
      <c r="F30" s="137"/>
      <c r="G30" s="140"/>
      <c r="H30" s="138">
        <f>SUM(H24:H29)</f>
        <v>137.70000000000002</v>
      </c>
      <c r="I30" s="139">
        <f>SUM(I24:I29)</f>
        <v>137.70000000000002</v>
      </c>
      <c r="J30" s="146">
        <f>SUM(J24:J29)</f>
        <v>1377</v>
      </c>
      <c r="K30" s="143"/>
    </row>
    <row r="31" spans="1:11" ht="18.75" customHeight="1">
      <c r="A31" s="12" t="s">
        <v>70</v>
      </c>
      <c r="B31" s="30"/>
      <c r="C31" s="14" t="s">
        <v>20</v>
      </c>
      <c r="D31" s="14"/>
      <c r="E31" s="14" t="s">
        <v>21</v>
      </c>
      <c r="F31" s="13"/>
      <c r="G31" s="21"/>
      <c r="H31" s="21"/>
      <c r="I31" s="22"/>
      <c r="J31" s="22"/>
    </row>
    <row r="32" spans="1:11">
      <c r="A32" s="79" t="s">
        <v>57</v>
      </c>
      <c r="B32" s="4"/>
      <c r="C32" s="60">
        <v>20.399999999999999</v>
      </c>
      <c r="E32" s="130">
        <v>1</v>
      </c>
      <c r="F32" s="32" t="s">
        <v>59</v>
      </c>
      <c r="G32" s="82">
        <f>E32*C32</f>
        <v>20.399999999999999</v>
      </c>
      <c r="H32" s="28"/>
      <c r="I32" s="23">
        <f>G32</f>
        <v>20.399999999999999</v>
      </c>
      <c r="J32" s="24">
        <f>$D$8*I32</f>
        <v>204</v>
      </c>
    </row>
    <row r="33" spans="1:10">
      <c r="A33" s="80" t="s">
        <v>10</v>
      </c>
      <c r="B33" s="61"/>
      <c r="C33" s="60"/>
      <c r="D33" s="58"/>
      <c r="E33" s="130">
        <v>0</v>
      </c>
      <c r="F33" s="93" t="s">
        <v>59</v>
      </c>
      <c r="G33" s="56">
        <f>E33*C33</f>
        <v>0</v>
      </c>
      <c r="H33" s="83"/>
      <c r="I33" s="84">
        <f>G33</f>
        <v>0</v>
      </c>
      <c r="J33" s="85">
        <f>$D$8*I33</f>
        <v>0</v>
      </c>
    </row>
    <row r="34" spans="1:10" ht="25.5" customHeight="1">
      <c r="A34" s="147" t="s">
        <v>109</v>
      </c>
      <c r="B34" s="149"/>
      <c r="C34" s="150"/>
      <c r="D34" s="150"/>
      <c r="E34" s="150"/>
      <c r="F34" s="150"/>
      <c r="G34" s="138">
        <f>SUM(G32:G33)</f>
        <v>20.399999999999999</v>
      </c>
      <c r="H34" s="138"/>
      <c r="I34" s="139">
        <f>I32+I33</f>
        <v>20.399999999999999</v>
      </c>
      <c r="J34" s="146">
        <f>J32+J33</f>
        <v>204</v>
      </c>
    </row>
    <row r="35" spans="1:10" ht="15" customHeight="1">
      <c r="A35" s="92" t="s">
        <v>100</v>
      </c>
      <c r="B35" s="16"/>
      <c r="C35" s="17"/>
      <c r="D35" s="17"/>
      <c r="E35" s="17"/>
      <c r="F35" s="17"/>
      <c r="G35" s="94" t="s">
        <v>7</v>
      </c>
      <c r="H35" s="94" t="s">
        <v>8</v>
      </c>
      <c r="I35" s="19" t="s">
        <v>4</v>
      </c>
      <c r="J35" s="20" t="s">
        <v>5</v>
      </c>
    </row>
    <row r="36" spans="1:10" ht="15" customHeight="1">
      <c r="A36" s="131" t="s">
        <v>68</v>
      </c>
      <c r="B36" s="96"/>
      <c r="C36" s="97"/>
      <c r="D36" s="97"/>
      <c r="E36" s="97"/>
      <c r="F36" s="98"/>
      <c r="G36" s="101">
        <f>G20+G34</f>
        <v>55.699999999999996</v>
      </c>
      <c r="H36" s="101">
        <f>H20+H30</f>
        <v>160.30000000000001</v>
      </c>
      <c r="I36" s="101">
        <f>I20+I30+I34</f>
        <v>216.00000000000003</v>
      </c>
      <c r="J36" s="99"/>
    </row>
    <row r="37" spans="1:10">
      <c r="J37" s="24" t="s">
        <v>18</v>
      </c>
    </row>
    <row r="38" spans="1:10" ht="15">
      <c r="A38" s="92" t="s">
        <v>99</v>
      </c>
      <c r="B38" s="17"/>
      <c r="C38" s="17"/>
      <c r="D38" s="17"/>
      <c r="E38" s="17"/>
      <c r="F38" s="17"/>
      <c r="G38" s="18" t="s">
        <v>3</v>
      </c>
      <c r="H38" s="19"/>
      <c r="I38" s="19" t="s">
        <v>4</v>
      </c>
      <c r="J38" s="20" t="s">
        <v>5</v>
      </c>
    </row>
    <row r="39" spans="1:10">
      <c r="A39" s="12" t="s">
        <v>69</v>
      </c>
      <c r="B39" s="13"/>
      <c r="C39" s="14" t="s">
        <v>12</v>
      </c>
      <c r="D39" s="14"/>
      <c r="E39" s="14" t="s">
        <v>13</v>
      </c>
      <c r="F39" s="13"/>
      <c r="G39" s="14" t="s">
        <v>7</v>
      </c>
      <c r="H39" s="14" t="s">
        <v>8</v>
      </c>
      <c r="I39" s="22" t="s">
        <v>9</v>
      </c>
      <c r="J39" s="22" t="str">
        <f>D8&amp;" Acres"&amp;""</f>
        <v>10 Acres</v>
      </c>
    </row>
    <row r="40" spans="1:10">
      <c r="A40" s="81" t="s">
        <v>41</v>
      </c>
      <c r="C40" s="60">
        <v>0.53</v>
      </c>
      <c r="D40" s="31" t="s">
        <v>14</v>
      </c>
      <c r="E40" s="129"/>
      <c r="F40" s="32" t="s">
        <v>15</v>
      </c>
      <c r="G40" s="28"/>
      <c r="H40" s="23">
        <f>C40*E40</f>
        <v>0</v>
      </c>
      <c r="I40" s="23">
        <f t="shared" ref="I40:I44" si="6">H40</f>
        <v>0</v>
      </c>
      <c r="J40" s="24">
        <f>$D$8*I40</f>
        <v>0</v>
      </c>
    </row>
    <row r="41" spans="1:10">
      <c r="A41" s="81" t="s">
        <v>42</v>
      </c>
      <c r="C41" s="60">
        <v>0.72</v>
      </c>
      <c r="D41" s="31" t="s">
        <v>14</v>
      </c>
      <c r="E41" s="127">
        <v>35</v>
      </c>
      <c r="F41" s="32" t="s">
        <v>15</v>
      </c>
      <c r="G41" s="28"/>
      <c r="H41" s="23">
        <f>C41*E41</f>
        <v>25.2</v>
      </c>
      <c r="I41" s="23">
        <f t="shared" si="6"/>
        <v>25.2</v>
      </c>
      <c r="J41" s="24">
        <f>$D$8*I41</f>
        <v>252</v>
      </c>
    </row>
    <row r="42" spans="1:10">
      <c r="A42" s="81" t="s">
        <v>43</v>
      </c>
      <c r="C42" s="60">
        <v>0.39</v>
      </c>
      <c r="D42" s="31" t="s">
        <v>14</v>
      </c>
      <c r="E42" s="127">
        <v>125</v>
      </c>
      <c r="F42" s="32" t="s">
        <v>15</v>
      </c>
      <c r="G42" s="28"/>
      <c r="H42" s="23">
        <f>C42*E42</f>
        <v>48.75</v>
      </c>
      <c r="I42" s="23">
        <f t="shared" si="6"/>
        <v>48.75</v>
      </c>
      <c r="J42" s="24">
        <f>$D$8*I42</f>
        <v>487.5</v>
      </c>
    </row>
    <row r="43" spans="1:10">
      <c r="A43" s="79" t="s">
        <v>44</v>
      </c>
      <c r="C43" s="42"/>
      <c r="D43" s="31"/>
      <c r="E43" s="42"/>
      <c r="F43" s="32"/>
      <c r="G43" s="28"/>
      <c r="H43" s="52"/>
      <c r="I43" s="23">
        <f t="shared" si="6"/>
        <v>0</v>
      </c>
      <c r="J43" s="24">
        <f>$D$8*I43</f>
        <v>0</v>
      </c>
    </row>
    <row r="44" spans="1:10">
      <c r="A44" s="80" t="s">
        <v>45</v>
      </c>
      <c r="B44" s="55"/>
      <c r="C44" s="58"/>
      <c r="D44" s="104"/>
      <c r="E44" s="58"/>
      <c r="F44" s="105"/>
      <c r="G44" s="83"/>
      <c r="H44" s="52"/>
      <c r="I44" s="84">
        <f t="shared" si="6"/>
        <v>0</v>
      </c>
      <c r="J44" s="85">
        <f>$D$8*I44</f>
        <v>0</v>
      </c>
    </row>
    <row r="45" spans="1:10" ht="25.5" customHeight="1">
      <c r="A45" s="147" t="s">
        <v>4</v>
      </c>
      <c r="B45" s="144"/>
      <c r="C45" s="148"/>
      <c r="D45" s="137"/>
      <c r="E45" s="148"/>
      <c r="F45" s="137"/>
      <c r="G45" s="140"/>
      <c r="H45" s="138">
        <f>SUM(H40:H44)</f>
        <v>73.95</v>
      </c>
      <c r="I45" s="139">
        <f>SUM(I40:I44)</f>
        <v>73.95</v>
      </c>
      <c r="J45" s="146">
        <f>SUM(J40:J44)</f>
        <v>739.5</v>
      </c>
    </row>
    <row r="46" spans="1:10" ht="18.75" customHeight="1">
      <c r="A46" s="12" t="s">
        <v>71</v>
      </c>
      <c r="B46" s="30"/>
      <c r="C46" s="14" t="s">
        <v>20</v>
      </c>
      <c r="D46" s="14"/>
      <c r="E46" s="14" t="s">
        <v>21</v>
      </c>
      <c r="F46" s="13"/>
      <c r="G46" s="14" t="s">
        <v>7</v>
      </c>
      <c r="H46" s="14" t="s">
        <v>8</v>
      </c>
      <c r="I46" s="132" t="s">
        <v>4</v>
      </c>
      <c r="J46" s="22" t="s">
        <v>5</v>
      </c>
    </row>
    <row r="47" spans="1:10">
      <c r="A47" s="79" t="s">
        <v>58</v>
      </c>
      <c r="B47" s="4"/>
      <c r="C47" s="60">
        <v>20.399999999999999</v>
      </c>
      <c r="E47" s="130">
        <v>3</v>
      </c>
      <c r="F47" s="103" t="s">
        <v>60</v>
      </c>
      <c r="G47" s="114">
        <f>E47*C47</f>
        <v>61.199999999999996</v>
      </c>
      <c r="H47" s="28"/>
      <c r="I47" s="23">
        <f>G47</f>
        <v>61.199999999999996</v>
      </c>
      <c r="J47" s="24">
        <f>$D$8*I47</f>
        <v>612</v>
      </c>
    </row>
    <row r="48" spans="1:10">
      <c r="A48" s="80" t="s">
        <v>10</v>
      </c>
      <c r="B48" s="61"/>
      <c r="C48" s="60">
        <v>20.399999999999999</v>
      </c>
      <c r="D48" s="58"/>
      <c r="E48" s="130">
        <v>0</v>
      </c>
      <c r="F48" s="93" t="s">
        <v>60</v>
      </c>
      <c r="G48" s="56">
        <f>E48*C48</f>
        <v>0</v>
      </c>
      <c r="H48" s="83"/>
      <c r="I48" s="84">
        <f>G48</f>
        <v>0</v>
      </c>
      <c r="J48" s="85">
        <f>$D$8*I48</f>
        <v>0</v>
      </c>
    </row>
    <row r="49" spans="1:10" ht="25.5" customHeight="1">
      <c r="A49" s="147" t="s">
        <v>4</v>
      </c>
      <c r="B49" s="149"/>
      <c r="C49" s="151"/>
      <c r="D49" s="150"/>
      <c r="E49" s="150"/>
      <c r="F49" s="150"/>
      <c r="G49" s="138">
        <f>SUM(G47:G48)</f>
        <v>61.199999999999996</v>
      </c>
      <c r="H49" s="138"/>
      <c r="I49" s="139">
        <f>I47+I48</f>
        <v>61.199999999999996</v>
      </c>
      <c r="J49" s="146">
        <f>J47+J48</f>
        <v>612</v>
      </c>
    </row>
    <row r="50" spans="1:10" ht="18.75" customHeight="1">
      <c r="A50" s="12" t="s">
        <v>17</v>
      </c>
      <c r="B50" s="30"/>
      <c r="C50" s="14"/>
      <c r="D50" s="14"/>
      <c r="E50" s="14"/>
      <c r="F50" s="13"/>
      <c r="G50" s="14" t="s">
        <v>7</v>
      </c>
      <c r="H50" s="14" t="s">
        <v>8</v>
      </c>
      <c r="I50" s="132" t="s">
        <v>4</v>
      </c>
      <c r="J50" s="22" t="s">
        <v>5</v>
      </c>
    </row>
    <row r="51" spans="1:10">
      <c r="A51" s="6" t="s">
        <v>112</v>
      </c>
      <c r="G51" s="51">
        <v>150</v>
      </c>
      <c r="H51" s="28"/>
      <c r="I51" s="26">
        <f>G51</f>
        <v>150</v>
      </c>
      <c r="J51" s="27">
        <f>$D$8*I51</f>
        <v>1500</v>
      </c>
    </row>
    <row r="52" spans="1:10">
      <c r="J52" s="24" t="s">
        <v>18</v>
      </c>
    </row>
    <row r="53" spans="1:10" ht="15.75" customHeight="1">
      <c r="A53" s="12" t="s">
        <v>61</v>
      </c>
      <c r="B53" s="16"/>
      <c r="C53" s="94"/>
      <c r="D53" s="94"/>
      <c r="E53" s="94"/>
      <c r="F53" s="17"/>
      <c r="G53" s="94" t="s">
        <v>7</v>
      </c>
      <c r="H53" s="94" t="s">
        <v>8</v>
      </c>
      <c r="I53" s="19" t="s">
        <v>4</v>
      </c>
      <c r="J53" s="20" t="s">
        <v>5</v>
      </c>
    </row>
    <row r="54" spans="1:10">
      <c r="A54" s="95" t="s">
        <v>62</v>
      </c>
      <c r="C54" s="42"/>
      <c r="E54" s="42"/>
      <c r="G54" s="51">
        <v>9.6</v>
      </c>
      <c r="H54" s="51">
        <v>6</v>
      </c>
      <c r="I54" s="23">
        <f t="shared" ref="I54:I57" si="7">SUM(G54:H54)</f>
        <v>15.6</v>
      </c>
      <c r="J54" s="24">
        <f>$D$8*I54</f>
        <v>156</v>
      </c>
    </row>
    <row r="55" spans="1:10">
      <c r="A55" s="59" t="s">
        <v>46</v>
      </c>
      <c r="C55" s="42"/>
      <c r="E55" s="42"/>
      <c r="G55" s="52">
        <v>5.6</v>
      </c>
      <c r="H55" s="52">
        <v>2.8</v>
      </c>
      <c r="I55" s="23">
        <f>SUM(G55:H55)</f>
        <v>8.3999999999999986</v>
      </c>
      <c r="J55" s="24">
        <f>$D$8*I55</f>
        <v>83.999999999999986</v>
      </c>
    </row>
    <row r="56" spans="1:10">
      <c r="A56" s="59" t="s">
        <v>63</v>
      </c>
      <c r="C56" s="42"/>
      <c r="E56" s="42"/>
      <c r="G56" s="52">
        <v>14.3</v>
      </c>
      <c r="H56" s="52">
        <v>7.3</v>
      </c>
      <c r="I56" s="23">
        <f>SUM(G56:H56)</f>
        <v>21.6</v>
      </c>
      <c r="J56" s="24">
        <f>$D$8*I56</f>
        <v>216</v>
      </c>
    </row>
    <row r="57" spans="1:10">
      <c r="A57" s="33" t="s">
        <v>19</v>
      </c>
      <c r="C57" s="60">
        <v>3.35</v>
      </c>
      <c r="D57" s="32" t="s">
        <v>47</v>
      </c>
      <c r="E57" s="60">
        <v>4.17</v>
      </c>
      <c r="F57" s="32" t="s">
        <v>48</v>
      </c>
      <c r="G57" s="23">
        <f>C57*D9</f>
        <v>8.375</v>
      </c>
      <c r="H57" s="23">
        <f>E57*D9</f>
        <v>10.425000000000001</v>
      </c>
      <c r="I57" s="23">
        <f t="shared" si="7"/>
        <v>18.8</v>
      </c>
      <c r="J57" s="24">
        <f>$D$8*I57</f>
        <v>188</v>
      </c>
    </row>
    <row r="58" spans="1:10">
      <c r="A58" s="59" t="s">
        <v>10</v>
      </c>
      <c r="B58" s="58"/>
      <c r="C58" s="58"/>
      <c r="D58" s="58"/>
      <c r="E58" s="58"/>
      <c r="F58" s="58"/>
      <c r="G58" s="60">
        <v>0</v>
      </c>
      <c r="H58" s="60">
        <v>0</v>
      </c>
      <c r="I58" s="56">
        <f t="shared" ref="I58" si="8">SUM(G58:H58)</f>
        <v>0</v>
      </c>
      <c r="J58" s="57">
        <f>$D$8*I58</f>
        <v>0</v>
      </c>
    </row>
    <row r="59" spans="1:10">
      <c r="A59" s="25" t="s">
        <v>64</v>
      </c>
      <c r="B59" s="4"/>
      <c r="G59" s="23">
        <f>((SUM(G54:G56)+G58)*G9)+G57</f>
        <v>67.375</v>
      </c>
      <c r="H59" s="23">
        <f>((SUM(H54:H56)+H58)*G9)+H57</f>
        <v>42.625</v>
      </c>
      <c r="I59" s="26">
        <f>SUM(I54:I58)</f>
        <v>64.400000000000006</v>
      </c>
    </row>
    <row r="60" spans="1:10" ht="17.25" customHeight="1">
      <c r="A60" s="147" t="s">
        <v>65</v>
      </c>
      <c r="B60" s="144"/>
      <c r="C60" s="137"/>
      <c r="D60" s="137"/>
      <c r="E60" s="137"/>
      <c r="F60" s="137"/>
      <c r="G60" s="138">
        <f>G59</f>
        <v>67.375</v>
      </c>
      <c r="H60" s="138">
        <f>H59</f>
        <v>42.625</v>
      </c>
      <c r="I60" s="146">
        <f>G60+H60</f>
        <v>110</v>
      </c>
      <c r="J60" s="137"/>
    </row>
    <row r="61" spans="1:10" ht="24.75" customHeight="1">
      <c r="A61" s="147" t="s">
        <v>66</v>
      </c>
      <c r="B61" s="144"/>
      <c r="C61" s="137"/>
      <c r="D61" s="137"/>
      <c r="E61" s="137"/>
      <c r="F61" s="137"/>
      <c r="G61" s="138">
        <f>$D$8*G60</f>
        <v>673.75</v>
      </c>
      <c r="H61" s="138">
        <f>$D$8*H60</f>
        <v>426.25</v>
      </c>
      <c r="I61" s="146"/>
      <c r="J61" s="146">
        <f>SUM(J53:J58)</f>
        <v>644</v>
      </c>
    </row>
    <row r="62" spans="1:10">
      <c r="A62" s="29"/>
      <c r="B62" s="17"/>
      <c r="C62" s="17"/>
      <c r="D62" s="17"/>
      <c r="E62" s="17"/>
      <c r="F62" s="17"/>
      <c r="G62" s="18" t="s">
        <v>3</v>
      </c>
      <c r="H62" s="19"/>
      <c r="I62" s="19" t="s">
        <v>4</v>
      </c>
      <c r="J62" s="20" t="s">
        <v>5</v>
      </c>
    </row>
    <row r="63" spans="1:10" ht="15">
      <c r="A63" s="106" t="s">
        <v>67</v>
      </c>
      <c r="B63" s="30"/>
      <c r="C63" s="14"/>
      <c r="D63" s="14"/>
      <c r="E63" s="14"/>
      <c r="F63" s="13"/>
      <c r="G63" s="21" t="s">
        <v>7</v>
      </c>
      <c r="H63" s="21" t="s">
        <v>8</v>
      </c>
      <c r="I63" s="22" t="s">
        <v>9</v>
      </c>
      <c r="J63" s="22" t="str">
        <f>D8&amp;" Acres"&amp;""</f>
        <v>10 Acres</v>
      </c>
    </row>
    <row r="64" spans="1:10" ht="25.5" customHeight="1">
      <c r="A64" s="141" t="s">
        <v>72</v>
      </c>
      <c r="B64" s="137"/>
      <c r="C64" s="137"/>
      <c r="D64" s="137"/>
      <c r="E64" s="137"/>
      <c r="F64" s="137"/>
      <c r="G64" s="138">
        <f>G75+G49+G51+G60</f>
        <v>297.14166666666665</v>
      </c>
      <c r="H64" s="138">
        <f>H75+H45+H60</f>
        <v>170.00833333333333</v>
      </c>
      <c r="I64" s="139">
        <f>G64+H64</f>
        <v>467.15</v>
      </c>
      <c r="J64" s="138">
        <f>I64*D8</f>
        <v>4671.5</v>
      </c>
    </row>
    <row r="65" spans="1:13">
      <c r="A65" s="29"/>
      <c r="B65" s="17"/>
      <c r="C65" s="17"/>
      <c r="D65" s="17"/>
      <c r="E65" s="17"/>
      <c r="F65" s="17"/>
      <c r="G65" s="34"/>
      <c r="H65" s="35" t="s">
        <v>22</v>
      </c>
      <c r="I65" s="36" t="s">
        <v>23</v>
      </c>
      <c r="J65" s="37" t="s">
        <v>24</v>
      </c>
    </row>
    <row r="66" spans="1:13">
      <c r="A66" s="12" t="s">
        <v>73</v>
      </c>
      <c r="B66" s="13"/>
      <c r="C66" s="13"/>
      <c r="D66" s="13"/>
      <c r="E66" s="13"/>
      <c r="F66" s="13"/>
      <c r="G66" s="38"/>
      <c r="H66" s="39" t="s">
        <v>25</v>
      </c>
      <c r="I66" s="39" t="s">
        <v>26</v>
      </c>
      <c r="J66" s="40" t="s">
        <v>27</v>
      </c>
    </row>
    <row r="67" spans="1:13" s="42" customFormat="1">
      <c r="A67" s="80" t="s">
        <v>111</v>
      </c>
      <c r="B67" s="107"/>
      <c r="C67" s="123">
        <v>0</v>
      </c>
      <c r="D67" s="108" t="s">
        <v>75</v>
      </c>
      <c r="E67" s="109" t="str">
        <f>CONCATENATE(D9," ",E9)</f>
        <v>2.5 tons/acre/year</v>
      </c>
      <c r="F67" s="58"/>
      <c r="G67" s="57"/>
      <c r="H67" s="110"/>
      <c r="I67" s="56">
        <f>C67*D9</f>
        <v>0</v>
      </c>
      <c r="J67" s="111">
        <f>I67*D$8</f>
        <v>0</v>
      </c>
      <c r="K67" s="78"/>
    </row>
    <row r="68" spans="1:13" ht="15" customHeight="1" thickBot="1">
      <c r="A68" s="152" t="s">
        <v>110</v>
      </c>
      <c r="B68" s="64"/>
      <c r="C68" s="65"/>
      <c r="D68" s="65"/>
      <c r="E68" s="65"/>
      <c r="F68" s="65"/>
      <c r="G68" s="66"/>
      <c r="H68" s="135"/>
      <c r="I68" s="68">
        <f>I67</f>
        <v>0</v>
      </c>
      <c r="J68" s="69">
        <f>J67</f>
        <v>0</v>
      </c>
    </row>
    <row r="69" spans="1:13" ht="18.75" customHeight="1" thickTop="1">
      <c r="A69" s="70" t="s">
        <v>28</v>
      </c>
      <c r="B69" s="72"/>
      <c r="C69" s="73"/>
      <c r="D69" s="73"/>
      <c r="E69" s="73"/>
      <c r="F69" s="73"/>
      <c r="G69" s="74"/>
      <c r="H69" s="75">
        <f>I68-H64</f>
        <v>-170.00833333333333</v>
      </c>
      <c r="I69" s="76">
        <f>I68-I64</f>
        <v>-467.15</v>
      </c>
      <c r="J69" s="71">
        <f>J64-J68</f>
        <v>4671.5</v>
      </c>
    </row>
    <row r="70" spans="1:13">
      <c r="A70" s="9"/>
      <c r="B70" s="11"/>
      <c r="C70" s="11"/>
      <c r="D70" s="11"/>
      <c r="E70" s="11"/>
      <c r="F70" s="11"/>
      <c r="G70" s="11"/>
      <c r="H70" s="11"/>
      <c r="I70" s="11"/>
      <c r="J70" s="11"/>
    </row>
    <row r="71" spans="1:13" ht="24" customHeight="1" thickBot="1">
      <c r="A71" s="133" t="s">
        <v>101</v>
      </c>
      <c r="B71" s="125"/>
      <c r="C71" s="125"/>
      <c r="D71" s="126"/>
      <c r="E71" s="125"/>
      <c r="F71" s="125"/>
      <c r="G71" s="125"/>
      <c r="H71" s="125"/>
      <c r="I71" s="125"/>
      <c r="J71" s="125"/>
    </row>
    <row r="72" spans="1:13" ht="14.25" thickTop="1">
      <c r="A72" s="89" t="s">
        <v>77</v>
      </c>
      <c r="B72" s="86"/>
      <c r="C72" s="49">
        <v>6</v>
      </c>
      <c r="D72" s="42" t="s">
        <v>76</v>
      </c>
      <c r="F72" s="87"/>
      <c r="G72" s="112" t="s">
        <v>82</v>
      </c>
      <c r="H72" s="124">
        <v>2</v>
      </c>
      <c r="I72" s="113" t="s">
        <v>81</v>
      </c>
      <c r="J72" s="91"/>
    </row>
    <row r="73" spans="1:13">
      <c r="A73" s="89" t="s">
        <v>79</v>
      </c>
      <c r="B73" s="86"/>
      <c r="C73" s="49">
        <v>4</v>
      </c>
      <c r="D73" s="90" t="s">
        <v>78</v>
      </c>
      <c r="F73" s="87"/>
      <c r="G73" s="112" t="s">
        <v>80</v>
      </c>
      <c r="I73" s="15"/>
    </row>
    <row r="74" spans="1:13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</row>
    <row r="75" spans="1:13" ht="15" customHeight="1">
      <c r="A75" s="102" t="s">
        <v>98</v>
      </c>
      <c r="B75" s="96"/>
      <c r="C75" s="97"/>
      <c r="D75" s="97"/>
      <c r="E75" s="97"/>
      <c r="F75" s="98"/>
      <c r="G75" s="100">
        <f>G36*1/(H72+1)</f>
        <v>18.566666666666666</v>
      </c>
      <c r="H75" s="100">
        <f>H36*1/3</f>
        <v>53.433333333333337</v>
      </c>
      <c r="I75" s="100">
        <f>I36*1/3</f>
        <v>72.000000000000014</v>
      </c>
      <c r="J75" s="99"/>
    </row>
    <row r="76" spans="1:13">
      <c r="A76" s="9"/>
      <c r="B76" s="11"/>
      <c r="C76" s="11"/>
      <c r="D76" s="11"/>
      <c r="E76" s="11"/>
      <c r="F76" s="11"/>
      <c r="H76" s="11"/>
      <c r="I76" s="11"/>
      <c r="J76" s="11"/>
    </row>
    <row r="77" spans="1:13">
      <c r="A77" s="29"/>
      <c r="B77" s="17"/>
      <c r="C77" s="17"/>
      <c r="D77" s="17"/>
      <c r="E77" s="17"/>
      <c r="F77" s="17"/>
      <c r="G77" s="18" t="s">
        <v>3</v>
      </c>
      <c r="H77" s="19"/>
      <c r="I77" s="19" t="s">
        <v>4</v>
      </c>
      <c r="J77" s="20" t="s">
        <v>5</v>
      </c>
    </row>
    <row r="78" spans="1:13">
      <c r="A78" s="12" t="s">
        <v>85</v>
      </c>
      <c r="B78" s="13"/>
      <c r="C78" s="14" t="s">
        <v>12</v>
      </c>
      <c r="D78" s="14"/>
      <c r="E78" s="14" t="s">
        <v>13</v>
      </c>
      <c r="F78" s="13"/>
      <c r="G78" s="21" t="s">
        <v>7</v>
      </c>
      <c r="H78" s="21" t="s">
        <v>8</v>
      </c>
      <c r="I78" s="22" t="s">
        <v>9</v>
      </c>
      <c r="J78" s="22" t="str">
        <f>D8&amp;" Acres"&amp;""</f>
        <v>10 Acres</v>
      </c>
    </row>
    <row r="79" spans="1:13">
      <c r="A79" s="81" t="s">
        <v>83</v>
      </c>
      <c r="G79" s="51">
        <v>7</v>
      </c>
      <c r="H79" s="51">
        <v>4.4000000000000004</v>
      </c>
      <c r="I79" s="23">
        <f t="shared" ref="I79" si="9">H79</f>
        <v>4.4000000000000004</v>
      </c>
      <c r="J79" s="24">
        <f>$D$8*I79</f>
        <v>44</v>
      </c>
    </row>
    <row r="80" spans="1:13">
      <c r="A80" s="79" t="s">
        <v>84</v>
      </c>
      <c r="J80" s="24" t="s">
        <v>18</v>
      </c>
    </row>
    <row r="81" spans="1:10">
      <c r="A81" s="81" t="s">
        <v>42</v>
      </c>
      <c r="C81" s="60">
        <v>0.72</v>
      </c>
      <c r="D81" s="31" t="s">
        <v>14</v>
      </c>
      <c r="E81" s="127">
        <v>13</v>
      </c>
      <c r="F81" s="32" t="s">
        <v>90</v>
      </c>
      <c r="G81" s="28"/>
      <c r="H81" s="23">
        <f>C81*E81*C72</f>
        <v>56.16</v>
      </c>
      <c r="I81" s="23">
        <f t="shared" ref="I81:I84" si="10">H81</f>
        <v>56.16</v>
      </c>
      <c r="J81" s="24">
        <f>$D$8*I81</f>
        <v>561.59999999999991</v>
      </c>
    </row>
    <row r="82" spans="1:10">
      <c r="A82" s="81" t="s">
        <v>43</v>
      </c>
      <c r="C82" s="60">
        <v>0.39</v>
      </c>
      <c r="D82" s="31" t="s">
        <v>14</v>
      </c>
      <c r="E82" s="127">
        <v>50</v>
      </c>
      <c r="F82" s="32" t="s">
        <v>90</v>
      </c>
      <c r="G82" s="28"/>
      <c r="H82" s="23">
        <f>C82*E82*C72</f>
        <v>117</v>
      </c>
      <c r="I82" s="23">
        <f t="shared" si="10"/>
        <v>117</v>
      </c>
      <c r="J82" s="24">
        <f>$D$8*I82</f>
        <v>1170</v>
      </c>
    </row>
    <row r="83" spans="1:10">
      <c r="A83" s="79" t="s">
        <v>44</v>
      </c>
      <c r="D83" s="31"/>
      <c r="F83" s="32"/>
      <c r="G83" s="28"/>
      <c r="H83" s="52">
        <v>4.95</v>
      </c>
      <c r="I83" s="23">
        <f t="shared" si="10"/>
        <v>4.95</v>
      </c>
      <c r="J83" s="24">
        <f>$D$8*I83</f>
        <v>49.5</v>
      </c>
    </row>
    <row r="84" spans="1:10">
      <c r="A84" s="80" t="s">
        <v>45</v>
      </c>
      <c r="B84" s="55"/>
      <c r="C84" s="55"/>
      <c r="D84" s="104"/>
      <c r="E84" s="55"/>
      <c r="F84" s="105"/>
      <c r="G84" s="83"/>
      <c r="H84" s="52">
        <v>0</v>
      </c>
      <c r="I84" s="84">
        <f t="shared" si="10"/>
        <v>0</v>
      </c>
      <c r="J84" s="85">
        <f>$D$8*I84</f>
        <v>0</v>
      </c>
    </row>
    <row r="85" spans="1:10" ht="25.5" customHeight="1">
      <c r="A85" s="147" t="s">
        <v>4</v>
      </c>
      <c r="B85" s="144"/>
      <c r="C85" s="137"/>
      <c r="D85" s="137"/>
      <c r="E85" s="137"/>
      <c r="F85" s="137"/>
      <c r="G85" s="140">
        <f>G79</f>
        <v>7</v>
      </c>
      <c r="H85" s="138">
        <f>SUM(H79:H84)</f>
        <v>182.51</v>
      </c>
      <c r="I85" s="139">
        <f>SUM(I81:I84)</f>
        <v>178.10999999999999</v>
      </c>
      <c r="J85" s="146">
        <f>SUM(J81:J84)</f>
        <v>1781.1</v>
      </c>
    </row>
    <row r="86" spans="1:10">
      <c r="A86" s="12" t="s">
        <v>87</v>
      </c>
      <c r="B86" s="16"/>
      <c r="C86" s="94"/>
      <c r="D86" s="94"/>
      <c r="E86" s="94"/>
      <c r="F86" s="17"/>
      <c r="G86" s="21"/>
      <c r="H86" s="21"/>
      <c r="I86" s="20"/>
      <c r="J86" s="20"/>
    </row>
    <row r="87" spans="1:10">
      <c r="A87" s="95" t="s">
        <v>62</v>
      </c>
      <c r="G87" s="51">
        <v>9.6</v>
      </c>
      <c r="H87" s="51">
        <v>6</v>
      </c>
      <c r="I87" s="23">
        <f t="shared" ref="I87" si="11">SUM(G87:H87)</f>
        <v>15.6</v>
      </c>
      <c r="J87" s="24">
        <f>$D$8*I87</f>
        <v>156</v>
      </c>
    </row>
    <row r="88" spans="1:10">
      <c r="A88" s="59" t="s">
        <v>46</v>
      </c>
      <c r="G88" s="52">
        <v>5.6</v>
      </c>
      <c r="H88" s="52">
        <v>2.8</v>
      </c>
      <c r="I88" s="23">
        <f>SUM(G88:H88)</f>
        <v>8.3999999999999986</v>
      </c>
      <c r="J88" s="24">
        <f>$D$8*I88</f>
        <v>83.999999999999986</v>
      </c>
    </row>
    <row r="89" spans="1:10">
      <c r="A89" s="59" t="s">
        <v>63</v>
      </c>
      <c r="G89" s="52">
        <v>14.3</v>
      </c>
      <c r="H89" s="52">
        <v>7.3</v>
      </c>
      <c r="I89" s="23">
        <f>SUM(G89:H89)</f>
        <v>21.6</v>
      </c>
      <c r="J89" s="24">
        <f>$D$8*I89</f>
        <v>216</v>
      </c>
    </row>
    <row r="90" spans="1:10">
      <c r="A90" s="33" t="s">
        <v>19</v>
      </c>
      <c r="C90" s="60">
        <v>3.35</v>
      </c>
      <c r="D90" s="32" t="s">
        <v>47</v>
      </c>
      <c r="E90" s="60">
        <v>4.17</v>
      </c>
      <c r="F90" s="32" t="s">
        <v>48</v>
      </c>
      <c r="G90" s="23">
        <f>C90*C72</f>
        <v>20.100000000000001</v>
      </c>
      <c r="H90" s="23">
        <f>E90*C72</f>
        <v>25.02</v>
      </c>
      <c r="I90" s="23">
        <f t="shared" ref="I90:I91" si="12">SUM(G90:H90)</f>
        <v>45.120000000000005</v>
      </c>
      <c r="J90" s="24">
        <f>$D$8*I90</f>
        <v>451.20000000000005</v>
      </c>
    </row>
    <row r="91" spans="1:10">
      <c r="A91" s="59" t="s">
        <v>10</v>
      </c>
      <c r="B91" s="58"/>
      <c r="C91" s="58"/>
      <c r="D91" s="58"/>
      <c r="E91" s="58"/>
      <c r="F91" s="58"/>
      <c r="G91" s="60">
        <v>0</v>
      </c>
      <c r="H91" s="60">
        <v>0</v>
      </c>
      <c r="I91" s="56">
        <f t="shared" si="12"/>
        <v>0</v>
      </c>
      <c r="J91" s="57">
        <f>$D$8*I91</f>
        <v>0</v>
      </c>
    </row>
    <row r="92" spans="1:10">
      <c r="A92" s="25" t="s">
        <v>88</v>
      </c>
      <c r="B92" s="42"/>
      <c r="C92" s="42"/>
      <c r="D92" s="42"/>
      <c r="E92" s="42"/>
      <c r="F92" s="42"/>
      <c r="G92" s="116">
        <f>IF(C73&gt;0, G93/C73, 0)</f>
        <v>34.524999999999999</v>
      </c>
      <c r="H92" s="116">
        <f>IF(C73&gt;0, H93/C73, 0)</f>
        <v>22.355</v>
      </c>
      <c r="I92" s="114"/>
      <c r="J92" s="115"/>
    </row>
    <row r="93" spans="1:10" ht="26.25" customHeight="1">
      <c r="A93" s="147" t="s">
        <v>65</v>
      </c>
      <c r="B93" s="144"/>
      <c r="C93" s="137"/>
      <c r="D93" s="137"/>
      <c r="E93" s="137"/>
      <c r="F93" s="137"/>
      <c r="G93" s="138">
        <f>((SUM(G87:G89)+G91)*C73)+G90</f>
        <v>138.1</v>
      </c>
      <c r="H93" s="138">
        <f>((SUM(H87:H89)+H91)*C73)+H90</f>
        <v>89.42</v>
      </c>
      <c r="I93" s="139">
        <f>G93+H93</f>
        <v>227.51999999999998</v>
      </c>
      <c r="J93" s="145">
        <f>I93*D8</f>
        <v>2275.1999999999998</v>
      </c>
    </row>
    <row r="94" spans="1:10">
      <c r="A94" s="12" t="s">
        <v>71</v>
      </c>
      <c r="B94" s="30"/>
      <c r="C94" s="14" t="s">
        <v>20</v>
      </c>
      <c r="D94" s="14"/>
      <c r="E94" s="14" t="s">
        <v>21</v>
      </c>
      <c r="F94" s="13"/>
      <c r="G94" s="21"/>
      <c r="H94" s="21"/>
      <c r="I94" s="22"/>
      <c r="J94" s="22"/>
    </row>
    <row r="95" spans="1:10">
      <c r="A95" s="79" t="s">
        <v>58</v>
      </c>
      <c r="B95" s="4"/>
      <c r="C95" s="60">
        <v>20.399999999999999</v>
      </c>
      <c r="E95" s="128">
        <v>1.3333299999999999</v>
      </c>
      <c r="F95" s="103" t="s">
        <v>60</v>
      </c>
      <c r="G95" s="82">
        <f>E95*C95*C73</f>
        <v>108.79972799999999</v>
      </c>
      <c r="H95" s="28"/>
      <c r="I95" s="23">
        <f>G95</f>
        <v>108.79972799999999</v>
      </c>
      <c r="J95" s="24">
        <f>$D$8*I95</f>
        <v>1087.9972799999998</v>
      </c>
    </row>
    <row r="96" spans="1:10">
      <c r="A96" s="80" t="s">
        <v>86</v>
      </c>
      <c r="B96" s="61"/>
      <c r="C96" s="60"/>
      <c r="D96" s="58"/>
      <c r="E96" s="128"/>
      <c r="F96" s="93" t="s">
        <v>60</v>
      </c>
      <c r="G96" s="56">
        <f>E96*C96*C73</f>
        <v>0</v>
      </c>
      <c r="H96" s="83"/>
      <c r="I96" s="84">
        <f>G96</f>
        <v>0</v>
      </c>
      <c r="J96" s="85">
        <f>$D$8*I96</f>
        <v>0</v>
      </c>
    </row>
    <row r="97" spans="1:11" ht="24.75" customHeight="1">
      <c r="A97" s="147" t="s">
        <v>4</v>
      </c>
      <c r="B97" s="149"/>
      <c r="C97" s="150"/>
      <c r="D97" s="150"/>
      <c r="E97" s="150"/>
      <c r="F97" s="150"/>
      <c r="G97" s="138">
        <f>SUM(G95:G96)</f>
        <v>108.79972799999999</v>
      </c>
      <c r="H97" s="138"/>
      <c r="I97" s="139">
        <f>I95+I96</f>
        <v>108.79972799999999</v>
      </c>
      <c r="J97" s="146">
        <f>J95+J96</f>
        <v>1087.9972799999998</v>
      </c>
    </row>
    <row r="98" spans="1:11">
      <c r="A98" s="12" t="s">
        <v>17</v>
      </c>
      <c r="B98" s="30"/>
      <c r="C98" s="14"/>
      <c r="D98" s="14"/>
      <c r="E98" s="14"/>
      <c r="F98" s="13"/>
      <c r="G98" s="21"/>
      <c r="H98" s="21"/>
      <c r="I98" s="22"/>
      <c r="J98" s="22" t="s">
        <v>18</v>
      </c>
    </row>
    <row r="99" spans="1:11">
      <c r="A99" s="79" t="s">
        <v>112</v>
      </c>
      <c r="G99" s="52">
        <v>206</v>
      </c>
      <c r="H99" s="28"/>
      <c r="I99" s="26">
        <f>G99</f>
        <v>206</v>
      </c>
      <c r="J99" s="27">
        <f>$D$8*I99</f>
        <v>2060</v>
      </c>
    </row>
    <row r="100" spans="1:11">
      <c r="J100" s="24" t="s">
        <v>18</v>
      </c>
    </row>
    <row r="101" spans="1:11">
      <c r="A101" s="29"/>
      <c r="B101" s="17"/>
      <c r="C101" s="17"/>
      <c r="D101" s="17"/>
      <c r="E101" s="17"/>
      <c r="F101" s="17"/>
      <c r="G101" s="18" t="s">
        <v>3</v>
      </c>
      <c r="H101" s="19"/>
      <c r="I101" s="19" t="s">
        <v>4</v>
      </c>
      <c r="J101" s="20" t="s">
        <v>5</v>
      </c>
    </row>
    <row r="102" spans="1:11" ht="15">
      <c r="A102" s="106" t="s">
        <v>92</v>
      </c>
      <c r="B102" s="30"/>
      <c r="C102" s="14"/>
      <c r="D102" s="14"/>
      <c r="E102" s="14"/>
      <c r="F102" s="13"/>
      <c r="G102" s="21" t="s">
        <v>7</v>
      </c>
      <c r="H102" s="21" t="s">
        <v>8</v>
      </c>
      <c r="I102" s="22" t="s">
        <v>9</v>
      </c>
      <c r="J102" s="22" t="str">
        <f>D8&amp;" Acres"&amp;""</f>
        <v>10 Acres</v>
      </c>
    </row>
    <row r="103" spans="1:11">
      <c r="A103" s="79" t="s">
        <v>89</v>
      </c>
      <c r="G103" s="23">
        <f>G79+G97+G99+G93+G75</f>
        <v>478.46639466666664</v>
      </c>
      <c r="H103" s="23">
        <f>H85+H93+H75</f>
        <v>325.36333333333334</v>
      </c>
      <c r="I103" s="26">
        <f>G103+H103</f>
        <v>803.82972799999993</v>
      </c>
      <c r="J103" s="26">
        <f>I103*D8</f>
        <v>8038.2972799999989</v>
      </c>
    </row>
    <row r="104" spans="1:11" ht="28.5" customHeight="1">
      <c r="A104" s="142" t="s">
        <v>91</v>
      </c>
      <c r="B104" s="137"/>
      <c r="C104" s="137"/>
      <c r="D104" s="137"/>
      <c r="E104" s="137"/>
      <c r="F104" s="137"/>
      <c r="G104" s="138">
        <f>G103/C72</f>
        <v>79.744399111111107</v>
      </c>
      <c r="H104" s="138">
        <f>H103/C72</f>
        <v>54.227222222222224</v>
      </c>
      <c r="I104" s="139">
        <f>I103/C72</f>
        <v>133.97162133333333</v>
      </c>
      <c r="J104" s="140"/>
    </row>
    <row r="105" spans="1:11" ht="15">
      <c r="A105" s="92" t="str">
        <f>CONCATENATE("Average Costs and Returns Over ",H72+1," Years")</f>
        <v>Average Costs and Returns Over 3 Years</v>
      </c>
      <c r="B105" s="17"/>
      <c r="C105" s="17"/>
      <c r="D105" s="17"/>
      <c r="E105" s="17"/>
      <c r="F105" s="17"/>
      <c r="G105" s="18" t="s">
        <v>3</v>
      </c>
      <c r="H105" s="19"/>
      <c r="I105" s="19" t="s">
        <v>4</v>
      </c>
      <c r="J105" s="20" t="s">
        <v>5</v>
      </c>
    </row>
    <row r="106" spans="1:11">
      <c r="A106" s="118" t="s">
        <v>95</v>
      </c>
      <c r="B106" s="30"/>
      <c r="C106" s="14"/>
      <c r="D106" s="14"/>
      <c r="E106" s="14"/>
      <c r="F106" s="13"/>
      <c r="G106" s="21" t="s">
        <v>7</v>
      </c>
      <c r="H106" s="21" t="s">
        <v>8</v>
      </c>
      <c r="I106" s="22" t="s">
        <v>9</v>
      </c>
      <c r="J106" s="22" t="str">
        <f>D13&amp;" Acres"&amp;""</f>
        <v xml:space="preserve"> Acres</v>
      </c>
    </row>
    <row r="107" spans="1:11">
      <c r="A107" s="79" t="s">
        <v>93</v>
      </c>
      <c r="G107" s="117">
        <f>(G64+(G103*H72))/(H72+1)</f>
        <v>418.02481866666659</v>
      </c>
      <c r="H107" s="117">
        <f>(H64+(H103*H72))/(H72+1)</f>
        <v>273.57833333333332</v>
      </c>
      <c r="I107" s="26">
        <f>G107+H107</f>
        <v>691.60315199999991</v>
      </c>
      <c r="J107" s="26">
        <f>I107*D8</f>
        <v>6916.0315199999986</v>
      </c>
    </row>
    <row r="108" spans="1:11" s="137" customFormat="1" ht="25.5" customHeight="1">
      <c r="A108" s="142" t="s">
        <v>94</v>
      </c>
      <c r="G108" s="138">
        <f>((G103*H72)+G64)/(D9+(C73*C72))</f>
        <v>47.323564377358487</v>
      </c>
      <c r="H108" s="138">
        <f>((H103*H72)+H64)/(D9+(C73*C72))</f>
        <v>30.971132075471697</v>
      </c>
      <c r="I108" s="139">
        <f>((I103*H72)+I64)/(D9+(C73*C72))</f>
        <v>78.294696452830181</v>
      </c>
      <c r="J108" s="140"/>
      <c r="K108" s="143"/>
    </row>
    <row r="109" spans="1:11">
      <c r="A109" s="79" t="s">
        <v>96</v>
      </c>
      <c r="G109" s="23"/>
      <c r="H109" s="23"/>
      <c r="I109" s="26"/>
      <c r="J109" s="28"/>
    </row>
    <row r="110" spans="1:11">
      <c r="A110" s="80" t="s">
        <v>74</v>
      </c>
      <c r="B110" s="107"/>
      <c r="C110" s="120"/>
      <c r="D110" s="60">
        <v>0</v>
      </c>
      <c r="E110" s="119" t="s">
        <v>75</v>
      </c>
      <c r="F110" s="109" t="str">
        <f>CONCATENATE(C72," ",D72)</f>
        <v>6 tons/acre/year</v>
      </c>
      <c r="G110" s="57"/>
      <c r="H110" s="110"/>
      <c r="I110" s="56">
        <f>((D110*C72*C73)+I68)/(H72+1)</f>
        <v>0</v>
      </c>
      <c r="J110" s="111">
        <f>I110*D$8</f>
        <v>0</v>
      </c>
    </row>
    <row r="111" spans="1:11">
      <c r="A111" s="29"/>
      <c r="B111" s="17"/>
      <c r="C111" s="17"/>
      <c r="D111" s="17"/>
      <c r="E111" s="17"/>
      <c r="F111" s="17"/>
      <c r="G111" s="34"/>
      <c r="H111" s="35" t="s">
        <v>22</v>
      </c>
      <c r="I111" s="36" t="s">
        <v>23</v>
      </c>
      <c r="J111" s="37" t="s">
        <v>24</v>
      </c>
    </row>
    <row r="112" spans="1:11" ht="15">
      <c r="A112" s="106"/>
      <c r="B112" s="13"/>
      <c r="C112" s="13"/>
      <c r="D112" s="13"/>
      <c r="E112" s="13"/>
      <c r="F112" s="13"/>
      <c r="G112" s="38"/>
      <c r="H112" s="39" t="s">
        <v>25</v>
      </c>
      <c r="I112" s="39" t="s">
        <v>26</v>
      </c>
      <c r="J112" s="40" t="s">
        <v>27</v>
      </c>
    </row>
    <row r="113" spans="1:10" ht="22.5" customHeight="1" thickBot="1">
      <c r="A113" s="121" t="s">
        <v>97</v>
      </c>
      <c r="B113" s="64"/>
      <c r="C113" s="65"/>
      <c r="D113" s="65"/>
      <c r="E113" s="65"/>
      <c r="F113" s="65"/>
      <c r="G113" s="66"/>
      <c r="H113" s="67"/>
      <c r="I113" s="122">
        <f>I110-I107</f>
        <v>-691.60315199999991</v>
      </c>
      <c r="J113" s="122">
        <f>J110-J107</f>
        <v>-6916.0315199999986</v>
      </c>
    </row>
    <row r="114" spans="1:10" ht="13.5" thickTop="1">
      <c r="A114" s="25"/>
      <c r="B114" s="15"/>
      <c r="G114" s="24"/>
      <c r="H114" s="28"/>
      <c r="I114" s="26"/>
      <c r="J114" s="27"/>
    </row>
    <row r="115" spans="1:10">
      <c r="A115" s="25" t="s">
        <v>29</v>
      </c>
      <c r="B115" s="4"/>
    </row>
    <row r="116" spans="1:10">
      <c r="A116" s="134" t="s">
        <v>102</v>
      </c>
      <c r="B116" s="4"/>
    </row>
    <row r="117" spans="1:10">
      <c r="A117" s="62" t="s">
        <v>33</v>
      </c>
      <c r="B117" s="4"/>
    </row>
    <row r="118" spans="1:10" ht="18.75" customHeight="1">
      <c r="A118" s="78" t="s">
        <v>106</v>
      </c>
      <c r="B118" s="4"/>
      <c r="C118" s="4"/>
      <c r="D118" s="4"/>
      <c r="E118" s="4"/>
      <c r="F118" s="4"/>
    </row>
    <row r="119" spans="1:10">
      <c r="A119" s="63" t="s">
        <v>30</v>
      </c>
    </row>
    <row r="120" spans="1:10">
      <c r="A120" s="10" t="s">
        <v>31</v>
      </c>
    </row>
    <row r="121" spans="1:10">
      <c r="A121" s="41">
        <f ca="1">TODAY()</f>
        <v>46297</v>
      </c>
    </row>
    <row r="122" spans="1:10" ht="24.75" customHeight="1">
      <c r="A122" s="53" t="s">
        <v>32</v>
      </c>
    </row>
  </sheetData>
  <sheetProtection sheet="1" objects="1" scenarios="1"/>
  <conditionalFormatting sqref="A1:I1 K1:XFD1 A2:XFD1048576">
    <cfRule type="containsErrors" dxfId="2" priority="1">
      <formula>ISERROR(A1)</formula>
    </cfRule>
  </conditionalFormatting>
  <hyperlinks>
    <hyperlink ref="A3" r:id="rId1" display="The Estimated Costs of Crop Production publication has more information " xr:uid="{05B5DFB2-702A-4847-BE36-57D754CDCA65}"/>
    <hyperlink ref="A119" r:id="rId2" xr:uid="{7B8C4AD4-F697-47DC-97D8-0AECB09D2B0A}"/>
    <hyperlink ref="A122" r:id="rId3" display="https://www.extension.iastate.edu/legal" xr:uid="{2369AE25-BD84-4261-8713-9ED9029F97B4}"/>
  </hyperlinks>
  <pageMargins left="0.7" right="0.7" top="0.75" bottom="0.75" header="0.3" footer="0.3"/>
  <pageSetup scale="27" orientation="landscape" horizontalDpi="300" verticalDpi="300" r:id="rId4"/>
  <headerFooter alignWithMargins="0">
    <oddHeader>&amp;LIowa State University Extension and Outreach&amp;RAg Decision Maker File A1-20</oddHeader>
    <oddFooter>&amp;Lhttps://www.extension.iastate.edu/agdm/crops/xls/a1-15-20haybudgetonly.xlsx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81FA-3D7D-4FE9-B2E6-0C34D8D3B3D9}">
  <sheetPr>
    <pageSetUpPr autoPageBreaks="0" fitToPage="1"/>
  </sheetPr>
  <dimension ref="A1:M122"/>
  <sheetViews>
    <sheetView showGridLines="0" zoomScaleNormal="100" workbookViewId="0"/>
  </sheetViews>
  <sheetFormatPr defaultColWidth="8" defaultRowHeight="12.75"/>
  <cols>
    <col min="1" max="1" width="21.875" style="6" customWidth="1"/>
    <col min="2" max="2" width="8" style="5" customWidth="1"/>
    <col min="3" max="3" width="6.625" style="5" customWidth="1"/>
    <col min="4" max="4" width="17.5" style="5" bestFit="1" customWidth="1"/>
    <col min="5" max="5" width="7.5" style="5" customWidth="1"/>
    <col min="6" max="6" width="16.125" style="5" customWidth="1"/>
    <col min="7" max="8" width="11.125" style="5" customWidth="1"/>
    <col min="9" max="9" width="11.875" style="5" customWidth="1"/>
    <col min="10" max="10" width="11.125" style="5" customWidth="1"/>
    <col min="11" max="11" width="10" style="6" bestFit="1" customWidth="1"/>
    <col min="12" max="12" width="18" style="5" bestFit="1" customWidth="1"/>
    <col min="13" max="13" width="8" style="5"/>
    <col min="14" max="14" width="17.75" style="5" customWidth="1"/>
    <col min="15" max="16384" width="8" style="5"/>
  </cols>
  <sheetData>
    <row r="1" spans="1:12" s="2" customFormat="1" ht="27" customHeight="1" thickBot="1">
      <c r="A1" s="1" t="s">
        <v>104</v>
      </c>
      <c r="J1" s="153" t="s">
        <v>114</v>
      </c>
      <c r="K1" s="3"/>
    </row>
    <row r="2" spans="1:12" ht="16.5" thickTop="1">
      <c r="A2" s="77" t="s">
        <v>0</v>
      </c>
      <c r="B2" s="4"/>
    </row>
    <row r="3" spans="1:12" ht="12.75" customHeight="1">
      <c r="A3" s="7" t="s">
        <v>113</v>
      </c>
      <c r="B3" s="8"/>
      <c r="C3" s="8"/>
      <c r="D3" s="8"/>
      <c r="E3" s="8"/>
      <c r="F3" s="8"/>
      <c r="G3" s="8"/>
      <c r="H3" s="8"/>
      <c r="I3" s="8"/>
      <c r="J3" s="8"/>
      <c r="K3" s="9"/>
      <c r="L3" s="8"/>
    </row>
    <row r="4" spans="1:12">
      <c r="A4" s="136" t="s">
        <v>105</v>
      </c>
      <c r="B4" s="8"/>
      <c r="C4" s="8"/>
      <c r="D4" s="8"/>
      <c r="E4" s="8"/>
      <c r="F4" s="8"/>
      <c r="G4" s="8"/>
      <c r="H4" s="8"/>
      <c r="I4" s="8"/>
      <c r="J4" s="8"/>
      <c r="K4" s="9"/>
      <c r="L4" s="8"/>
    </row>
    <row r="5" spans="1:12">
      <c r="A5" s="43" t="s">
        <v>1</v>
      </c>
      <c r="B5" s="44"/>
      <c r="C5" s="45"/>
      <c r="D5" s="11"/>
      <c r="E5" s="11"/>
      <c r="F5" s="11"/>
    </row>
    <row r="6" spans="1:12">
      <c r="D6" s="11"/>
      <c r="E6" s="11"/>
      <c r="F6" s="11"/>
    </row>
    <row r="7" spans="1:12" ht="20.25" customHeight="1">
      <c r="A7" s="12" t="s">
        <v>49</v>
      </c>
      <c r="B7" s="13"/>
      <c r="C7" s="13"/>
      <c r="D7" s="14" t="s">
        <v>2</v>
      </c>
      <c r="E7" s="13"/>
      <c r="F7" s="13"/>
      <c r="G7" s="13"/>
      <c r="H7" s="13"/>
      <c r="I7" s="13"/>
      <c r="J7" s="13"/>
    </row>
    <row r="8" spans="1:12">
      <c r="A8" s="46" t="s">
        <v>50</v>
      </c>
      <c r="B8" s="47"/>
      <c r="C8" s="48"/>
      <c r="D8" s="50"/>
    </row>
    <row r="9" spans="1:12" ht="13.5">
      <c r="A9" s="89" t="s">
        <v>53</v>
      </c>
      <c r="B9" s="86"/>
      <c r="C9" s="86"/>
      <c r="D9" s="49"/>
      <c r="E9" s="42" t="s">
        <v>76</v>
      </c>
      <c r="F9" s="87"/>
      <c r="G9" s="88"/>
      <c r="H9" s="90" t="s">
        <v>51</v>
      </c>
      <c r="I9" s="15"/>
      <c r="J9" s="91" t="s">
        <v>52</v>
      </c>
    </row>
    <row r="10" spans="1:12" ht="12.2" customHeight="1">
      <c r="A10" s="9"/>
      <c r="B10" s="11"/>
      <c r="C10" s="11"/>
      <c r="D10" s="11"/>
      <c r="E10" s="11"/>
      <c r="F10" s="11"/>
      <c r="G10" s="11"/>
      <c r="H10" s="11"/>
      <c r="I10" s="11"/>
      <c r="J10" s="11"/>
    </row>
    <row r="11" spans="1:12" ht="15">
      <c r="A11" s="92" t="s">
        <v>54</v>
      </c>
      <c r="B11" s="16"/>
      <c r="C11" s="17"/>
      <c r="D11" s="17"/>
      <c r="E11" s="17"/>
      <c r="F11" s="17"/>
      <c r="G11" s="18" t="s">
        <v>3</v>
      </c>
      <c r="H11" s="19"/>
      <c r="I11" s="19" t="s">
        <v>4</v>
      </c>
      <c r="J11" s="20" t="s">
        <v>5</v>
      </c>
    </row>
    <row r="12" spans="1:12">
      <c r="A12" s="12" t="s">
        <v>6</v>
      </c>
      <c r="B12" s="13"/>
      <c r="C12" s="13"/>
      <c r="D12" s="13"/>
      <c r="E12" s="13"/>
      <c r="F12" s="13"/>
      <c r="G12" s="21" t="s">
        <v>7</v>
      </c>
      <c r="H12" s="21" t="s">
        <v>8</v>
      </c>
      <c r="I12" s="22" t="s">
        <v>9</v>
      </c>
      <c r="J12" s="22" t="str">
        <f>D8&amp;" Acres"&amp;""</f>
        <v xml:space="preserve"> Acres</v>
      </c>
    </row>
    <row r="13" spans="1:12">
      <c r="A13" s="54" t="s">
        <v>103</v>
      </c>
      <c r="G13" s="51"/>
      <c r="H13" s="51"/>
      <c r="I13" s="23">
        <f t="shared" ref="I13:I19" si="0">G13+H13</f>
        <v>0</v>
      </c>
      <c r="J13" s="24">
        <f t="shared" ref="J13:J20" si="1">$D$8*I13</f>
        <v>0</v>
      </c>
    </row>
    <row r="14" spans="1:12">
      <c r="A14" s="54" t="s">
        <v>34</v>
      </c>
      <c r="G14" s="51"/>
      <c r="H14" s="51"/>
      <c r="I14" s="23">
        <f t="shared" si="0"/>
        <v>0</v>
      </c>
      <c r="J14" s="24">
        <f t="shared" si="1"/>
        <v>0</v>
      </c>
    </row>
    <row r="15" spans="1:12">
      <c r="A15" s="54" t="s">
        <v>35</v>
      </c>
      <c r="G15" s="52"/>
      <c r="H15" s="52"/>
      <c r="I15" s="23">
        <f t="shared" si="0"/>
        <v>0</v>
      </c>
      <c r="J15" s="24">
        <f t="shared" si="1"/>
        <v>0</v>
      </c>
    </row>
    <row r="16" spans="1:12">
      <c r="A16" s="54" t="s">
        <v>36</v>
      </c>
      <c r="G16" s="52"/>
      <c r="H16" s="52"/>
      <c r="I16" s="23">
        <f t="shared" si="0"/>
        <v>0</v>
      </c>
      <c r="J16" s="24">
        <f t="shared" si="1"/>
        <v>0</v>
      </c>
    </row>
    <row r="17" spans="1:11">
      <c r="A17" s="54" t="s">
        <v>37</v>
      </c>
      <c r="G17" s="52"/>
      <c r="H17" s="52"/>
      <c r="I17" s="23">
        <f t="shared" si="0"/>
        <v>0</v>
      </c>
      <c r="J17" s="24">
        <f t="shared" si="1"/>
        <v>0</v>
      </c>
    </row>
    <row r="18" spans="1:11">
      <c r="A18" s="54" t="s">
        <v>11</v>
      </c>
      <c r="G18" s="52"/>
      <c r="H18" s="52"/>
      <c r="I18" s="23">
        <f t="shared" si="0"/>
        <v>0</v>
      </c>
      <c r="J18" s="24">
        <f t="shared" si="1"/>
        <v>0</v>
      </c>
    </row>
    <row r="19" spans="1:11">
      <c r="A19" s="54" t="s">
        <v>11</v>
      </c>
      <c r="B19" s="55"/>
      <c r="C19" s="55"/>
      <c r="D19" s="55"/>
      <c r="E19" s="55"/>
      <c r="F19" s="55"/>
      <c r="G19" s="52"/>
      <c r="H19" s="52"/>
      <c r="I19" s="56">
        <f t="shared" si="0"/>
        <v>0</v>
      </c>
      <c r="J19" s="57">
        <f t="shared" si="1"/>
        <v>0</v>
      </c>
    </row>
    <row r="20" spans="1:11">
      <c r="A20" s="25" t="s">
        <v>107</v>
      </c>
      <c r="B20" s="4"/>
      <c r="G20" s="23">
        <f>SUM(G13:G19)</f>
        <v>0</v>
      </c>
      <c r="H20" s="23">
        <f>SUM(H13:H19)</f>
        <v>0</v>
      </c>
      <c r="I20" s="26">
        <f>SUM(I13:I19)</f>
        <v>0</v>
      </c>
      <c r="J20" s="27">
        <f t="shared" si="1"/>
        <v>0</v>
      </c>
    </row>
    <row r="21" spans="1:11" ht="24" customHeight="1">
      <c r="A21" s="147" t="s">
        <v>108</v>
      </c>
      <c r="B21" s="144"/>
      <c r="C21" s="137"/>
      <c r="D21" s="137"/>
      <c r="E21" s="137"/>
      <c r="F21" s="137"/>
      <c r="G21" s="145">
        <f>$D$8*G20</f>
        <v>0</v>
      </c>
      <c r="H21" s="145">
        <f>$D$8*H20</f>
        <v>0</v>
      </c>
      <c r="I21" s="146">
        <f>$D$8*I20</f>
        <v>0</v>
      </c>
      <c r="J21" s="140"/>
    </row>
    <row r="22" spans="1:11">
      <c r="A22" s="29"/>
      <c r="B22" s="17"/>
      <c r="C22" s="17"/>
      <c r="D22" s="17"/>
      <c r="E22" s="17"/>
      <c r="F22" s="17"/>
      <c r="G22" s="18" t="s">
        <v>3</v>
      </c>
      <c r="H22" s="19"/>
      <c r="I22" s="19" t="s">
        <v>4</v>
      </c>
      <c r="J22" s="20" t="s">
        <v>5</v>
      </c>
    </row>
    <row r="23" spans="1:11">
      <c r="A23" s="12" t="s">
        <v>38</v>
      </c>
      <c r="B23" s="30"/>
      <c r="C23" s="14" t="s">
        <v>12</v>
      </c>
      <c r="D23" s="14"/>
      <c r="E23" s="14" t="s">
        <v>13</v>
      </c>
      <c r="F23" s="13"/>
      <c r="G23" s="21" t="s">
        <v>7</v>
      </c>
      <c r="H23" s="21" t="s">
        <v>8</v>
      </c>
      <c r="I23" s="22" t="s">
        <v>9</v>
      </c>
      <c r="J23" s="22" t="str">
        <f>D8&amp;" Acres"&amp;""</f>
        <v xml:space="preserve"> Acres</v>
      </c>
    </row>
    <row r="24" spans="1:11">
      <c r="A24" s="81" t="s">
        <v>55</v>
      </c>
      <c r="C24" s="60"/>
      <c r="D24" s="31" t="s">
        <v>39</v>
      </c>
      <c r="E24" s="129"/>
      <c r="F24" s="32" t="s">
        <v>40</v>
      </c>
      <c r="G24" s="28"/>
      <c r="H24" s="23">
        <f>C24*E24</f>
        <v>0</v>
      </c>
      <c r="I24" s="23">
        <f t="shared" ref="I24:I29" si="2">H24</f>
        <v>0</v>
      </c>
      <c r="J24" s="24">
        <f t="shared" ref="J24:J29" si="3">$D$8*I24</f>
        <v>0</v>
      </c>
    </row>
    <row r="25" spans="1:11">
      <c r="A25" s="81"/>
      <c r="C25" s="60"/>
      <c r="D25" s="31" t="s">
        <v>39</v>
      </c>
      <c r="E25" s="129"/>
      <c r="F25" s="32" t="s">
        <v>40</v>
      </c>
      <c r="G25" s="28"/>
      <c r="H25" s="23">
        <f>C25*E25</f>
        <v>0</v>
      </c>
      <c r="I25" s="23">
        <f t="shared" si="2"/>
        <v>0</v>
      </c>
      <c r="J25" s="24">
        <f t="shared" si="3"/>
        <v>0</v>
      </c>
    </row>
    <row r="26" spans="1:11">
      <c r="A26" s="81"/>
      <c r="C26" s="60"/>
      <c r="D26" s="31" t="s">
        <v>39</v>
      </c>
      <c r="E26" s="129"/>
      <c r="F26" s="32" t="s">
        <v>40</v>
      </c>
      <c r="G26" s="28"/>
      <c r="H26" s="23">
        <f>C26*E26</f>
        <v>0</v>
      </c>
      <c r="I26" s="23">
        <f t="shared" si="2"/>
        <v>0</v>
      </c>
      <c r="J26" s="24">
        <f t="shared" si="3"/>
        <v>0</v>
      </c>
    </row>
    <row r="27" spans="1:11">
      <c r="A27" s="79" t="s">
        <v>56</v>
      </c>
      <c r="C27" s="42"/>
      <c r="D27" s="31"/>
      <c r="E27" s="42"/>
      <c r="F27" s="32"/>
      <c r="G27" s="28"/>
      <c r="H27" s="52"/>
      <c r="I27" s="23">
        <f t="shared" si="2"/>
        <v>0</v>
      </c>
      <c r="J27" s="24">
        <f t="shared" si="3"/>
        <v>0</v>
      </c>
    </row>
    <row r="28" spans="1:11">
      <c r="A28" s="79" t="s">
        <v>16</v>
      </c>
      <c r="C28" s="42"/>
      <c r="D28" s="31"/>
      <c r="E28" s="42"/>
      <c r="F28" s="32"/>
      <c r="G28" s="28"/>
      <c r="H28" s="52"/>
      <c r="I28" s="23">
        <f t="shared" si="2"/>
        <v>0</v>
      </c>
      <c r="J28" s="24">
        <f t="shared" si="3"/>
        <v>0</v>
      </c>
    </row>
    <row r="29" spans="1:11">
      <c r="A29" s="79" t="s">
        <v>45</v>
      </c>
      <c r="C29" s="42"/>
      <c r="D29" s="31"/>
      <c r="E29" s="42"/>
      <c r="F29" s="32"/>
      <c r="G29" s="28"/>
      <c r="H29" s="52"/>
      <c r="I29" s="23">
        <f t="shared" si="2"/>
        <v>0</v>
      </c>
      <c r="J29" s="24">
        <f t="shared" si="3"/>
        <v>0</v>
      </c>
    </row>
    <row r="30" spans="1:11" ht="26.25" customHeight="1">
      <c r="A30" s="147" t="s">
        <v>4</v>
      </c>
      <c r="B30" s="144"/>
      <c r="C30" s="148"/>
      <c r="D30" s="137"/>
      <c r="E30" s="148"/>
      <c r="F30" s="137"/>
      <c r="G30" s="140"/>
      <c r="H30" s="138">
        <f>SUM(H24:H29)</f>
        <v>0</v>
      </c>
      <c r="I30" s="139">
        <f>SUM(I24:I29)</f>
        <v>0</v>
      </c>
      <c r="J30" s="146">
        <f>SUM(J24:J29)</f>
        <v>0</v>
      </c>
      <c r="K30" s="143"/>
    </row>
    <row r="31" spans="1:11" ht="18.75" customHeight="1">
      <c r="A31" s="12" t="s">
        <v>70</v>
      </c>
      <c r="B31" s="30"/>
      <c r="C31" s="14" t="s">
        <v>20</v>
      </c>
      <c r="D31" s="14"/>
      <c r="E31" s="14" t="s">
        <v>21</v>
      </c>
      <c r="F31" s="13"/>
      <c r="G31" s="21"/>
      <c r="H31" s="21"/>
      <c r="I31" s="22"/>
      <c r="J31" s="22"/>
    </row>
    <row r="32" spans="1:11">
      <c r="A32" s="79" t="s">
        <v>57</v>
      </c>
      <c r="B32" s="4"/>
      <c r="C32" s="60"/>
      <c r="E32" s="130"/>
      <c r="F32" s="32" t="s">
        <v>59</v>
      </c>
      <c r="G32" s="82">
        <f>E32*C32</f>
        <v>0</v>
      </c>
      <c r="H32" s="28"/>
      <c r="I32" s="23">
        <f>G32</f>
        <v>0</v>
      </c>
      <c r="J32" s="24">
        <f>$D$8*I32</f>
        <v>0</v>
      </c>
    </row>
    <row r="33" spans="1:10">
      <c r="A33" s="80" t="s">
        <v>10</v>
      </c>
      <c r="B33" s="61"/>
      <c r="C33" s="60"/>
      <c r="D33" s="58"/>
      <c r="E33" s="130">
        <v>0</v>
      </c>
      <c r="F33" s="93" t="s">
        <v>59</v>
      </c>
      <c r="G33" s="56">
        <f>E33*C33</f>
        <v>0</v>
      </c>
      <c r="H33" s="83"/>
      <c r="I33" s="84">
        <f>G33</f>
        <v>0</v>
      </c>
      <c r="J33" s="85">
        <f>$D$8*I33</f>
        <v>0</v>
      </c>
    </row>
    <row r="34" spans="1:10" ht="25.5" customHeight="1">
      <c r="A34" s="147" t="s">
        <v>109</v>
      </c>
      <c r="B34" s="149"/>
      <c r="C34" s="150"/>
      <c r="D34" s="150"/>
      <c r="E34" s="150"/>
      <c r="F34" s="150"/>
      <c r="G34" s="138">
        <f>SUM(G32:G33)</f>
        <v>0</v>
      </c>
      <c r="H34" s="138"/>
      <c r="I34" s="139">
        <f>I32+I33</f>
        <v>0</v>
      </c>
      <c r="J34" s="146">
        <f>J32+J33</f>
        <v>0</v>
      </c>
    </row>
    <row r="35" spans="1:10" ht="15" customHeight="1">
      <c r="A35" s="92" t="s">
        <v>100</v>
      </c>
      <c r="B35" s="16"/>
      <c r="C35" s="17"/>
      <c r="D35" s="17"/>
      <c r="E35" s="17"/>
      <c r="F35" s="17"/>
      <c r="G35" s="94" t="s">
        <v>7</v>
      </c>
      <c r="H35" s="94" t="s">
        <v>8</v>
      </c>
      <c r="I35" s="19" t="s">
        <v>4</v>
      </c>
      <c r="J35" s="20" t="s">
        <v>5</v>
      </c>
    </row>
    <row r="36" spans="1:10" ht="15" customHeight="1">
      <c r="A36" s="131" t="s">
        <v>68</v>
      </c>
      <c r="B36" s="96"/>
      <c r="C36" s="97"/>
      <c r="D36" s="97"/>
      <c r="E36" s="97"/>
      <c r="F36" s="98"/>
      <c r="G36" s="101">
        <f>G20+G34</f>
        <v>0</v>
      </c>
      <c r="H36" s="101">
        <f>H20+H30</f>
        <v>0</v>
      </c>
      <c r="I36" s="101">
        <f>I20+I30+I34</f>
        <v>0</v>
      </c>
      <c r="J36" s="99"/>
    </row>
    <row r="37" spans="1:10">
      <c r="J37" s="24" t="s">
        <v>18</v>
      </c>
    </row>
    <row r="38" spans="1:10" ht="15">
      <c r="A38" s="92" t="s">
        <v>99</v>
      </c>
      <c r="B38" s="17"/>
      <c r="C38" s="17"/>
      <c r="D38" s="17"/>
      <c r="E38" s="17"/>
      <c r="F38" s="17"/>
      <c r="G38" s="18" t="s">
        <v>3</v>
      </c>
      <c r="H38" s="19"/>
      <c r="I38" s="19" t="s">
        <v>4</v>
      </c>
      <c r="J38" s="20" t="s">
        <v>5</v>
      </c>
    </row>
    <row r="39" spans="1:10">
      <c r="A39" s="12" t="s">
        <v>69</v>
      </c>
      <c r="B39" s="13"/>
      <c r="C39" s="14" t="s">
        <v>12</v>
      </c>
      <c r="D39" s="14"/>
      <c r="E39" s="14" t="s">
        <v>13</v>
      </c>
      <c r="F39" s="13"/>
      <c r="G39" s="14" t="s">
        <v>7</v>
      </c>
      <c r="H39" s="14" t="s">
        <v>8</v>
      </c>
      <c r="I39" s="22" t="s">
        <v>9</v>
      </c>
      <c r="J39" s="22" t="str">
        <f>D8&amp;" Acres"&amp;""</f>
        <v xml:space="preserve"> Acres</v>
      </c>
    </row>
    <row r="40" spans="1:10">
      <c r="A40" s="81" t="s">
        <v>41</v>
      </c>
      <c r="C40" s="60"/>
      <c r="D40" s="31" t="s">
        <v>14</v>
      </c>
      <c r="E40" s="129"/>
      <c r="F40" s="32" t="s">
        <v>15</v>
      </c>
      <c r="G40" s="28"/>
      <c r="H40" s="23">
        <f>C40*E40</f>
        <v>0</v>
      </c>
      <c r="I40" s="23">
        <f t="shared" ref="I40:I44" si="4">H40</f>
        <v>0</v>
      </c>
      <c r="J40" s="24">
        <f>$D$8*I40</f>
        <v>0</v>
      </c>
    </row>
    <row r="41" spans="1:10">
      <c r="A41" s="81" t="s">
        <v>42</v>
      </c>
      <c r="C41" s="60"/>
      <c r="D41" s="31" t="s">
        <v>14</v>
      </c>
      <c r="E41" s="127"/>
      <c r="F41" s="32" t="s">
        <v>15</v>
      </c>
      <c r="G41" s="28"/>
      <c r="H41" s="23">
        <f>C41*E41</f>
        <v>0</v>
      </c>
      <c r="I41" s="23">
        <f t="shared" si="4"/>
        <v>0</v>
      </c>
      <c r="J41" s="24">
        <f>$D$8*I41</f>
        <v>0</v>
      </c>
    </row>
    <row r="42" spans="1:10">
      <c r="A42" s="81" t="s">
        <v>43</v>
      </c>
      <c r="C42" s="60"/>
      <c r="D42" s="31" t="s">
        <v>14</v>
      </c>
      <c r="E42" s="127"/>
      <c r="F42" s="32" t="s">
        <v>15</v>
      </c>
      <c r="G42" s="28"/>
      <c r="H42" s="23">
        <f>C42*E42</f>
        <v>0</v>
      </c>
      <c r="I42" s="23">
        <f t="shared" si="4"/>
        <v>0</v>
      </c>
      <c r="J42" s="24">
        <f>$D$8*I42</f>
        <v>0</v>
      </c>
    </row>
    <row r="43" spans="1:10">
      <c r="A43" s="79" t="s">
        <v>44</v>
      </c>
      <c r="C43" s="42"/>
      <c r="D43" s="31"/>
      <c r="E43" s="42"/>
      <c r="F43" s="32"/>
      <c r="G43" s="28"/>
      <c r="H43" s="52"/>
      <c r="I43" s="23">
        <f t="shared" si="4"/>
        <v>0</v>
      </c>
      <c r="J43" s="24">
        <f>$D$8*I43</f>
        <v>0</v>
      </c>
    </row>
    <row r="44" spans="1:10">
      <c r="A44" s="80" t="s">
        <v>45</v>
      </c>
      <c r="B44" s="55"/>
      <c r="C44" s="58"/>
      <c r="D44" s="104"/>
      <c r="E44" s="58"/>
      <c r="F44" s="105"/>
      <c r="G44" s="83"/>
      <c r="H44" s="52"/>
      <c r="I44" s="84">
        <f t="shared" si="4"/>
        <v>0</v>
      </c>
      <c r="J44" s="85">
        <f>$D$8*I44</f>
        <v>0</v>
      </c>
    </row>
    <row r="45" spans="1:10" ht="25.5" customHeight="1">
      <c r="A45" s="147" t="s">
        <v>4</v>
      </c>
      <c r="B45" s="144"/>
      <c r="C45" s="148"/>
      <c r="D45" s="137"/>
      <c r="E45" s="148"/>
      <c r="F45" s="137"/>
      <c r="G45" s="140"/>
      <c r="H45" s="138">
        <f>SUM(H40:H44)</f>
        <v>0</v>
      </c>
      <c r="I45" s="139">
        <f>SUM(I40:I44)</f>
        <v>0</v>
      </c>
      <c r="J45" s="146">
        <f>SUM(J40:J44)</f>
        <v>0</v>
      </c>
    </row>
    <row r="46" spans="1:10" ht="18.75" customHeight="1">
      <c r="A46" s="12" t="s">
        <v>71</v>
      </c>
      <c r="B46" s="30"/>
      <c r="C46" s="14" t="s">
        <v>20</v>
      </c>
      <c r="D46" s="14"/>
      <c r="E46" s="14" t="s">
        <v>21</v>
      </c>
      <c r="F46" s="13"/>
      <c r="G46" s="14" t="s">
        <v>7</v>
      </c>
      <c r="H46" s="14" t="s">
        <v>8</v>
      </c>
      <c r="I46" s="132" t="s">
        <v>4</v>
      </c>
      <c r="J46" s="22" t="s">
        <v>5</v>
      </c>
    </row>
    <row r="47" spans="1:10">
      <c r="A47" s="79" t="s">
        <v>58</v>
      </c>
      <c r="B47" s="4"/>
      <c r="C47" s="60"/>
      <c r="E47" s="130"/>
      <c r="F47" s="103" t="s">
        <v>60</v>
      </c>
      <c r="G47" s="114">
        <f>E47*C47</f>
        <v>0</v>
      </c>
      <c r="H47" s="28"/>
      <c r="I47" s="23">
        <f>G47</f>
        <v>0</v>
      </c>
      <c r="J47" s="24">
        <f>$D$8*I47</f>
        <v>0</v>
      </c>
    </row>
    <row r="48" spans="1:10">
      <c r="A48" s="80" t="s">
        <v>10</v>
      </c>
      <c r="B48" s="61"/>
      <c r="C48" s="60"/>
      <c r="D48" s="58"/>
      <c r="E48" s="130"/>
      <c r="F48" s="93" t="s">
        <v>60</v>
      </c>
      <c r="G48" s="56">
        <f>E48*C48</f>
        <v>0</v>
      </c>
      <c r="H48" s="83"/>
      <c r="I48" s="84">
        <f>G48</f>
        <v>0</v>
      </c>
      <c r="J48" s="85">
        <f>$D$8*I48</f>
        <v>0</v>
      </c>
    </row>
    <row r="49" spans="1:10" ht="25.5" customHeight="1">
      <c r="A49" s="147" t="s">
        <v>4</v>
      </c>
      <c r="B49" s="149"/>
      <c r="C49" s="151"/>
      <c r="D49" s="150"/>
      <c r="E49" s="150"/>
      <c r="F49" s="150"/>
      <c r="G49" s="138">
        <f>SUM(G47:G48)</f>
        <v>0</v>
      </c>
      <c r="H49" s="138"/>
      <c r="I49" s="139">
        <f>I47+I48</f>
        <v>0</v>
      </c>
      <c r="J49" s="146">
        <f>J47+J48</f>
        <v>0</v>
      </c>
    </row>
    <row r="50" spans="1:10" ht="18.75" customHeight="1">
      <c r="A50" s="12" t="s">
        <v>17</v>
      </c>
      <c r="B50" s="30"/>
      <c r="C50" s="14"/>
      <c r="D50" s="14"/>
      <c r="E50" s="14"/>
      <c r="F50" s="13"/>
      <c r="G50" s="14" t="s">
        <v>7</v>
      </c>
      <c r="H50" s="14" t="s">
        <v>8</v>
      </c>
      <c r="I50" s="132" t="s">
        <v>4</v>
      </c>
      <c r="J50" s="22" t="s">
        <v>5</v>
      </c>
    </row>
    <row r="51" spans="1:10">
      <c r="A51" s="6" t="s">
        <v>112</v>
      </c>
      <c r="G51" s="51"/>
      <c r="H51" s="28"/>
      <c r="I51" s="26">
        <f>G51</f>
        <v>0</v>
      </c>
      <c r="J51" s="27">
        <f>$D$8*I51</f>
        <v>0</v>
      </c>
    </row>
    <row r="52" spans="1:10">
      <c r="J52" s="24" t="s">
        <v>18</v>
      </c>
    </row>
    <row r="53" spans="1:10" ht="15.75" customHeight="1">
      <c r="A53" s="12" t="s">
        <v>61</v>
      </c>
      <c r="B53" s="16"/>
      <c r="C53" s="94"/>
      <c r="D53" s="94"/>
      <c r="E53" s="94"/>
      <c r="F53" s="17"/>
      <c r="G53" s="94" t="s">
        <v>7</v>
      </c>
      <c r="H53" s="94" t="s">
        <v>8</v>
      </c>
      <c r="I53" s="19" t="s">
        <v>4</v>
      </c>
      <c r="J53" s="20" t="s">
        <v>5</v>
      </c>
    </row>
    <row r="54" spans="1:10">
      <c r="A54" s="95" t="s">
        <v>62</v>
      </c>
      <c r="C54" s="42"/>
      <c r="E54" s="42"/>
      <c r="G54" s="51"/>
      <c r="H54" s="51"/>
      <c r="I54" s="23">
        <f t="shared" ref="I54:I58" si="5">SUM(G54:H54)</f>
        <v>0</v>
      </c>
      <c r="J54" s="24">
        <f>$D$8*I54</f>
        <v>0</v>
      </c>
    </row>
    <row r="55" spans="1:10">
      <c r="A55" s="59" t="s">
        <v>46</v>
      </c>
      <c r="C55" s="42"/>
      <c r="E55" s="42"/>
      <c r="G55" s="52"/>
      <c r="H55" s="52"/>
      <c r="I55" s="23">
        <f>SUM(G55:H55)</f>
        <v>0</v>
      </c>
      <c r="J55" s="24">
        <f>$D$8*I55</f>
        <v>0</v>
      </c>
    </row>
    <row r="56" spans="1:10">
      <c r="A56" s="59" t="s">
        <v>63</v>
      </c>
      <c r="C56" s="42"/>
      <c r="E56" s="42"/>
      <c r="G56" s="52"/>
      <c r="H56" s="52"/>
      <c r="I56" s="23">
        <f>SUM(G56:H56)</f>
        <v>0</v>
      </c>
      <c r="J56" s="24">
        <f>$D$8*I56</f>
        <v>0</v>
      </c>
    </row>
    <row r="57" spans="1:10">
      <c r="A57" s="33" t="s">
        <v>19</v>
      </c>
      <c r="C57" s="60"/>
      <c r="D57" s="32" t="s">
        <v>47</v>
      </c>
      <c r="E57" s="60"/>
      <c r="F57" s="32" t="s">
        <v>48</v>
      </c>
      <c r="G57" s="23">
        <f>C57*D9</f>
        <v>0</v>
      </c>
      <c r="H57" s="23">
        <f>E57*D9</f>
        <v>0</v>
      </c>
      <c r="I57" s="23">
        <f t="shared" si="5"/>
        <v>0</v>
      </c>
      <c r="J57" s="24">
        <f>$D$8*I57</f>
        <v>0</v>
      </c>
    </row>
    <row r="58" spans="1:10">
      <c r="A58" s="59" t="s">
        <v>10</v>
      </c>
      <c r="B58" s="58"/>
      <c r="C58" s="58"/>
      <c r="D58" s="58"/>
      <c r="E58" s="58"/>
      <c r="F58" s="58"/>
      <c r="G58" s="60">
        <v>0</v>
      </c>
      <c r="H58" s="60">
        <v>0</v>
      </c>
      <c r="I58" s="56">
        <f t="shared" si="5"/>
        <v>0</v>
      </c>
      <c r="J58" s="57">
        <f>$D$8*I58</f>
        <v>0</v>
      </c>
    </row>
    <row r="59" spans="1:10">
      <c r="A59" s="25" t="s">
        <v>64</v>
      </c>
      <c r="B59" s="4"/>
      <c r="G59" s="23">
        <f>((SUM(G54:G56)+G58)*G9)+G57</f>
        <v>0</v>
      </c>
      <c r="H59" s="23">
        <f>((SUM(H54:H56)+H58)*G9)+H57</f>
        <v>0</v>
      </c>
      <c r="I59" s="26">
        <f>SUM(I54:I58)</f>
        <v>0</v>
      </c>
    </row>
    <row r="60" spans="1:10" ht="17.25" customHeight="1">
      <c r="A60" s="147" t="s">
        <v>65</v>
      </c>
      <c r="B60" s="144"/>
      <c r="C60" s="137"/>
      <c r="D60" s="137"/>
      <c r="E60" s="137"/>
      <c r="F60" s="137"/>
      <c r="G60" s="138">
        <f>G59</f>
        <v>0</v>
      </c>
      <c r="H60" s="138">
        <f>H59</f>
        <v>0</v>
      </c>
      <c r="I60" s="146">
        <f>G60+H60</f>
        <v>0</v>
      </c>
      <c r="J60" s="137"/>
    </row>
    <row r="61" spans="1:10" ht="24.75" customHeight="1">
      <c r="A61" s="147" t="s">
        <v>66</v>
      </c>
      <c r="B61" s="144"/>
      <c r="C61" s="137"/>
      <c r="D61" s="137"/>
      <c r="E61" s="137"/>
      <c r="F61" s="137"/>
      <c r="G61" s="138">
        <f>$D$8*G60</f>
        <v>0</v>
      </c>
      <c r="H61" s="138">
        <f>$D$8*H60</f>
        <v>0</v>
      </c>
      <c r="I61" s="146"/>
      <c r="J61" s="146">
        <f>SUM(J53:J58)</f>
        <v>0</v>
      </c>
    </row>
    <row r="62" spans="1:10">
      <c r="A62" s="29"/>
      <c r="B62" s="17"/>
      <c r="C62" s="17"/>
      <c r="D62" s="17"/>
      <c r="E62" s="17"/>
      <c r="F62" s="17"/>
      <c r="G62" s="18" t="s">
        <v>3</v>
      </c>
      <c r="H62" s="19"/>
      <c r="I62" s="19" t="s">
        <v>4</v>
      </c>
      <c r="J62" s="20" t="s">
        <v>5</v>
      </c>
    </row>
    <row r="63" spans="1:10" ht="15">
      <c r="A63" s="106" t="s">
        <v>67</v>
      </c>
      <c r="B63" s="30"/>
      <c r="C63" s="14"/>
      <c r="D63" s="14"/>
      <c r="E63" s="14"/>
      <c r="F63" s="13"/>
      <c r="G63" s="21" t="s">
        <v>7</v>
      </c>
      <c r="H63" s="21" t="s">
        <v>8</v>
      </c>
      <c r="I63" s="22" t="s">
        <v>9</v>
      </c>
      <c r="J63" s="22" t="str">
        <f>D8&amp;" Acres"&amp;""</f>
        <v xml:space="preserve"> Acres</v>
      </c>
    </row>
    <row r="64" spans="1:10" ht="25.5" customHeight="1">
      <c r="A64" s="141" t="s">
        <v>72</v>
      </c>
      <c r="B64" s="137"/>
      <c r="C64" s="137"/>
      <c r="D64" s="137"/>
      <c r="E64" s="137"/>
      <c r="F64" s="137"/>
      <c r="G64" s="138">
        <f>G75+G49+G51+G60</f>
        <v>0</v>
      </c>
      <c r="H64" s="138">
        <f>H75+H45+H60</f>
        <v>0</v>
      </c>
      <c r="I64" s="139">
        <f>G64+H64</f>
        <v>0</v>
      </c>
      <c r="J64" s="138">
        <f>I64*D8</f>
        <v>0</v>
      </c>
    </row>
    <row r="65" spans="1:13">
      <c r="A65" s="29"/>
      <c r="B65" s="17"/>
      <c r="C65" s="17"/>
      <c r="D65" s="17"/>
      <c r="E65" s="17"/>
      <c r="F65" s="17"/>
      <c r="G65" s="34"/>
      <c r="H65" s="35" t="s">
        <v>22</v>
      </c>
      <c r="I65" s="36" t="s">
        <v>23</v>
      </c>
      <c r="J65" s="37" t="s">
        <v>24</v>
      </c>
    </row>
    <row r="66" spans="1:13">
      <c r="A66" s="12" t="s">
        <v>73</v>
      </c>
      <c r="B66" s="13"/>
      <c r="C66" s="13"/>
      <c r="D66" s="13"/>
      <c r="E66" s="13"/>
      <c r="F66" s="13"/>
      <c r="G66" s="38"/>
      <c r="H66" s="39" t="s">
        <v>25</v>
      </c>
      <c r="I66" s="39" t="s">
        <v>26</v>
      </c>
      <c r="J66" s="40" t="s">
        <v>27</v>
      </c>
    </row>
    <row r="67" spans="1:13" s="42" customFormat="1">
      <c r="A67" s="80" t="s">
        <v>111</v>
      </c>
      <c r="B67" s="107"/>
      <c r="C67" s="123">
        <v>0</v>
      </c>
      <c r="D67" s="108" t="s">
        <v>75</v>
      </c>
      <c r="E67" s="109" t="str">
        <f>CONCATENATE(D9," ",E9)</f>
        <v xml:space="preserve"> tons/acre/year</v>
      </c>
      <c r="F67" s="58"/>
      <c r="G67" s="57"/>
      <c r="H67" s="110"/>
      <c r="I67" s="56">
        <f>C67*D9</f>
        <v>0</v>
      </c>
      <c r="J67" s="111">
        <f>I67*D$8</f>
        <v>0</v>
      </c>
      <c r="K67" s="78"/>
    </row>
    <row r="68" spans="1:13" ht="15" customHeight="1" thickBot="1">
      <c r="A68" s="152" t="s">
        <v>110</v>
      </c>
      <c r="B68" s="64"/>
      <c r="C68" s="65"/>
      <c r="D68" s="65"/>
      <c r="E68" s="65"/>
      <c r="F68" s="65"/>
      <c r="G68" s="66"/>
      <c r="H68" s="135"/>
      <c r="I68" s="68">
        <f>I67</f>
        <v>0</v>
      </c>
      <c r="J68" s="69">
        <f>J67</f>
        <v>0</v>
      </c>
    </row>
    <row r="69" spans="1:13" ht="18.75" customHeight="1" thickTop="1">
      <c r="A69" s="70" t="s">
        <v>28</v>
      </c>
      <c r="B69" s="72"/>
      <c r="C69" s="73"/>
      <c r="D69" s="73"/>
      <c r="E69" s="73"/>
      <c r="F69" s="73"/>
      <c r="G69" s="74"/>
      <c r="H69" s="75">
        <f>I68-H64</f>
        <v>0</v>
      </c>
      <c r="I69" s="76">
        <f>I68-I64</f>
        <v>0</v>
      </c>
      <c r="J69" s="71">
        <f>J64-J68</f>
        <v>0</v>
      </c>
    </row>
    <row r="70" spans="1:13">
      <c r="A70" s="9"/>
      <c r="B70" s="11"/>
      <c r="C70" s="11"/>
      <c r="D70" s="11"/>
      <c r="E70" s="11"/>
      <c r="F70" s="11"/>
      <c r="G70" s="11"/>
      <c r="H70" s="11"/>
      <c r="I70" s="11"/>
      <c r="J70" s="11"/>
    </row>
    <row r="71" spans="1:13" ht="24" customHeight="1" thickBot="1">
      <c r="A71" s="133" t="s">
        <v>101</v>
      </c>
      <c r="B71" s="125"/>
      <c r="C71" s="125"/>
      <c r="D71" s="126"/>
      <c r="E71" s="125"/>
      <c r="F71" s="125"/>
      <c r="G71" s="125"/>
      <c r="H71" s="125"/>
      <c r="I71" s="125"/>
      <c r="J71" s="125"/>
    </row>
    <row r="72" spans="1:13" ht="14.25" thickTop="1">
      <c r="A72" s="89" t="s">
        <v>77</v>
      </c>
      <c r="B72" s="86"/>
      <c r="C72" s="49"/>
      <c r="D72" s="42" t="s">
        <v>76</v>
      </c>
      <c r="F72" s="87"/>
      <c r="G72" s="112" t="s">
        <v>82</v>
      </c>
      <c r="H72" s="124"/>
      <c r="I72" s="113" t="s">
        <v>81</v>
      </c>
      <c r="J72" s="91"/>
    </row>
    <row r="73" spans="1:13">
      <c r="A73" s="89" t="s">
        <v>79</v>
      </c>
      <c r="B73" s="86"/>
      <c r="C73" s="49"/>
      <c r="D73" s="90" t="s">
        <v>78</v>
      </c>
      <c r="F73" s="87"/>
      <c r="G73" s="112" t="s">
        <v>80</v>
      </c>
      <c r="I73" s="15"/>
    </row>
    <row r="74" spans="1:13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</row>
    <row r="75" spans="1:13" ht="15" customHeight="1">
      <c r="A75" s="102" t="s">
        <v>98</v>
      </c>
      <c r="B75" s="96"/>
      <c r="C75" s="97"/>
      <c r="D75" s="97"/>
      <c r="E75" s="97"/>
      <c r="F75" s="98"/>
      <c r="G75" s="100">
        <f>G36*1/(H72+1)</f>
        <v>0</v>
      </c>
      <c r="H75" s="100">
        <f>H36*1/3</f>
        <v>0</v>
      </c>
      <c r="I75" s="100">
        <f>I36*1/3</f>
        <v>0</v>
      </c>
      <c r="J75" s="99"/>
    </row>
    <row r="76" spans="1:13">
      <c r="A76" s="9"/>
      <c r="B76" s="11"/>
      <c r="C76" s="11"/>
      <c r="D76" s="11"/>
      <c r="E76" s="11"/>
      <c r="F76" s="11"/>
      <c r="H76" s="11"/>
      <c r="I76" s="11"/>
      <c r="J76" s="11"/>
    </row>
    <row r="77" spans="1:13">
      <c r="A77" s="29"/>
      <c r="B77" s="17"/>
      <c r="C77" s="17"/>
      <c r="D77" s="17"/>
      <c r="E77" s="17"/>
      <c r="F77" s="17"/>
      <c r="G77" s="18" t="s">
        <v>3</v>
      </c>
      <c r="H77" s="19"/>
      <c r="I77" s="19" t="s">
        <v>4</v>
      </c>
      <c r="J77" s="20" t="s">
        <v>5</v>
      </c>
    </row>
    <row r="78" spans="1:13">
      <c r="A78" s="12" t="s">
        <v>85</v>
      </c>
      <c r="B78" s="13"/>
      <c r="C78" s="14" t="s">
        <v>12</v>
      </c>
      <c r="D78" s="14"/>
      <c r="E78" s="14" t="s">
        <v>13</v>
      </c>
      <c r="F78" s="13"/>
      <c r="G78" s="21" t="s">
        <v>7</v>
      </c>
      <c r="H78" s="21" t="s">
        <v>8</v>
      </c>
      <c r="I78" s="22" t="s">
        <v>9</v>
      </c>
      <c r="J78" s="22" t="str">
        <f>D8&amp;" Acres"&amp;""</f>
        <v xml:space="preserve"> Acres</v>
      </c>
    </row>
    <row r="79" spans="1:13">
      <c r="A79" s="81" t="s">
        <v>83</v>
      </c>
      <c r="G79" s="51"/>
      <c r="H79" s="51"/>
      <c r="I79" s="23">
        <f t="shared" ref="I79" si="6">H79</f>
        <v>0</v>
      </c>
      <c r="J79" s="24">
        <f>$D$8*I79</f>
        <v>0</v>
      </c>
    </row>
    <row r="80" spans="1:13">
      <c r="A80" s="79" t="s">
        <v>84</v>
      </c>
      <c r="J80" s="24" t="s">
        <v>18</v>
      </c>
    </row>
    <row r="81" spans="1:10">
      <c r="A81" s="81" t="s">
        <v>42</v>
      </c>
      <c r="C81" s="60"/>
      <c r="D81" s="31" t="s">
        <v>14</v>
      </c>
      <c r="E81" s="127"/>
      <c r="F81" s="32" t="s">
        <v>90</v>
      </c>
      <c r="G81" s="28"/>
      <c r="H81" s="23">
        <f>C81*E81*C72</f>
        <v>0</v>
      </c>
      <c r="I81" s="23">
        <f t="shared" ref="I81:I84" si="7">H81</f>
        <v>0</v>
      </c>
      <c r="J81" s="24">
        <f>$D$8*I81</f>
        <v>0</v>
      </c>
    </row>
    <row r="82" spans="1:10">
      <c r="A82" s="81" t="s">
        <v>43</v>
      </c>
      <c r="C82" s="60"/>
      <c r="D82" s="31" t="s">
        <v>14</v>
      </c>
      <c r="E82" s="127"/>
      <c r="F82" s="32" t="s">
        <v>90</v>
      </c>
      <c r="G82" s="28"/>
      <c r="H82" s="23">
        <f>C82*E82*C72</f>
        <v>0</v>
      </c>
      <c r="I82" s="23">
        <f t="shared" si="7"/>
        <v>0</v>
      </c>
      <c r="J82" s="24">
        <f>$D$8*I82</f>
        <v>0</v>
      </c>
    </row>
    <row r="83" spans="1:10">
      <c r="A83" s="79" t="s">
        <v>44</v>
      </c>
      <c r="D83" s="31"/>
      <c r="F83" s="32"/>
      <c r="G83" s="28"/>
      <c r="H83" s="52"/>
      <c r="I83" s="23">
        <f t="shared" si="7"/>
        <v>0</v>
      </c>
      <c r="J83" s="24">
        <f>$D$8*I83</f>
        <v>0</v>
      </c>
    </row>
    <row r="84" spans="1:10">
      <c r="A84" s="80" t="s">
        <v>45</v>
      </c>
      <c r="B84" s="55"/>
      <c r="C84" s="55"/>
      <c r="D84" s="104"/>
      <c r="E84" s="55"/>
      <c r="F84" s="105"/>
      <c r="G84" s="83"/>
      <c r="H84" s="52"/>
      <c r="I84" s="84">
        <f t="shared" si="7"/>
        <v>0</v>
      </c>
      <c r="J84" s="85">
        <f>$D$8*I84</f>
        <v>0</v>
      </c>
    </row>
    <row r="85" spans="1:10" ht="25.5" customHeight="1">
      <c r="A85" s="147" t="s">
        <v>4</v>
      </c>
      <c r="B85" s="144"/>
      <c r="C85" s="137"/>
      <c r="D85" s="137"/>
      <c r="E85" s="137"/>
      <c r="F85" s="137"/>
      <c r="G85" s="140">
        <f>G79</f>
        <v>0</v>
      </c>
      <c r="H85" s="138">
        <f>SUM(H79:H84)</f>
        <v>0</v>
      </c>
      <c r="I85" s="139">
        <f>SUM(I81:I84)</f>
        <v>0</v>
      </c>
      <c r="J85" s="146">
        <f>SUM(J81:J84)</f>
        <v>0</v>
      </c>
    </row>
    <row r="86" spans="1:10">
      <c r="A86" s="12" t="s">
        <v>87</v>
      </c>
      <c r="B86" s="16"/>
      <c r="C86" s="94"/>
      <c r="D86" s="94"/>
      <c r="E86" s="94"/>
      <c r="F86" s="17"/>
      <c r="G86" s="21"/>
      <c r="H86" s="21"/>
      <c r="I86" s="20"/>
      <c r="J86" s="20"/>
    </row>
    <row r="87" spans="1:10">
      <c r="A87" s="95" t="s">
        <v>62</v>
      </c>
      <c r="G87" s="51"/>
      <c r="H87" s="51"/>
      <c r="I87" s="23">
        <f t="shared" ref="I87" si="8">SUM(G87:H87)</f>
        <v>0</v>
      </c>
      <c r="J87" s="24">
        <f>$D$8*I87</f>
        <v>0</v>
      </c>
    </row>
    <row r="88" spans="1:10">
      <c r="A88" s="59" t="s">
        <v>46</v>
      </c>
      <c r="G88" s="52"/>
      <c r="H88" s="52"/>
      <c r="I88" s="23">
        <f>SUM(G88:H88)</f>
        <v>0</v>
      </c>
      <c r="J88" s="24">
        <f>$D$8*I88</f>
        <v>0</v>
      </c>
    </row>
    <row r="89" spans="1:10">
      <c r="A89" s="59" t="s">
        <v>63</v>
      </c>
      <c r="G89" s="52"/>
      <c r="H89" s="52"/>
      <c r="I89" s="23">
        <f>SUM(G89:H89)</f>
        <v>0</v>
      </c>
      <c r="J89" s="24">
        <f>$D$8*I89</f>
        <v>0</v>
      </c>
    </row>
    <row r="90" spans="1:10">
      <c r="A90" s="33" t="s">
        <v>19</v>
      </c>
      <c r="C90" s="60"/>
      <c r="D90" s="32" t="s">
        <v>47</v>
      </c>
      <c r="E90" s="60"/>
      <c r="F90" s="32" t="s">
        <v>48</v>
      </c>
      <c r="G90" s="23">
        <f>C90*C72</f>
        <v>0</v>
      </c>
      <c r="H90" s="23">
        <f>E90*C72</f>
        <v>0</v>
      </c>
      <c r="I90" s="23">
        <f t="shared" ref="I90:I91" si="9">SUM(G90:H90)</f>
        <v>0</v>
      </c>
      <c r="J90" s="24">
        <f>$D$8*I90</f>
        <v>0</v>
      </c>
    </row>
    <row r="91" spans="1:10">
      <c r="A91" s="59" t="s">
        <v>10</v>
      </c>
      <c r="B91" s="58"/>
      <c r="C91" s="58"/>
      <c r="D91" s="58"/>
      <c r="E91" s="58"/>
      <c r="F91" s="58"/>
      <c r="G91" s="60">
        <v>0</v>
      </c>
      <c r="H91" s="60">
        <v>0</v>
      </c>
      <c r="I91" s="56">
        <f t="shared" si="9"/>
        <v>0</v>
      </c>
      <c r="J91" s="57">
        <f>$D$8*I91</f>
        <v>0</v>
      </c>
    </row>
    <row r="92" spans="1:10">
      <c r="A92" s="25" t="s">
        <v>88</v>
      </c>
      <c r="B92" s="42"/>
      <c r="C92" s="42"/>
      <c r="D92" s="42"/>
      <c r="E92" s="42"/>
      <c r="F92" s="42"/>
      <c r="G92" s="116">
        <f>IF(C73&gt;0, G93/C73, 0)</f>
        <v>0</v>
      </c>
      <c r="H92" s="116">
        <f>IF(C73&gt;0, H93/C73, 0)</f>
        <v>0</v>
      </c>
      <c r="I92" s="114"/>
      <c r="J92" s="115"/>
    </row>
    <row r="93" spans="1:10" ht="26.25" customHeight="1">
      <c r="A93" s="147" t="s">
        <v>65</v>
      </c>
      <c r="B93" s="144"/>
      <c r="C93" s="137"/>
      <c r="D93" s="137"/>
      <c r="E93" s="137"/>
      <c r="F93" s="137"/>
      <c r="G93" s="138">
        <f>((SUM(G87:G89)+G91)*C73)+G90</f>
        <v>0</v>
      </c>
      <c r="H93" s="138">
        <f>((SUM(H87:H89)+H91)*C73)+H90</f>
        <v>0</v>
      </c>
      <c r="I93" s="139">
        <f>G93+H93</f>
        <v>0</v>
      </c>
      <c r="J93" s="145">
        <f>I93*D8</f>
        <v>0</v>
      </c>
    </row>
    <row r="94" spans="1:10">
      <c r="A94" s="12" t="s">
        <v>71</v>
      </c>
      <c r="B94" s="30"/>
      <c r="C94" s="14" t="s">
        <v>20</v>
      </c>
      <c r="D94" s="14"/>
      <c r="E94" s="14" t="s">
        <v>21</v>
      </c>
      <c r="F94" s="13"/>
      <c r="G94" s="21"/>
      <c r="H94" s="21"/>
      <c r="I94" s="22"/>
      <c r="J94" s="22"/>
    </row>
    <row r="95" spans="1:10">
      <c r="A95" s="79" t="s">
        <v>58</v>
      </c>
      <c r="B95" s="4"/>
      <c r="C95" s="60"/>
      <c r="E95" s="128"/>
      <c r="F95" s="103" t="s">
        <v>60</v>
      </c>
      <c r="G95" s="82">
        <f>E95*C95*C73</f>
        <v>0</v>
      </c>
      <c r="H95" s="28"/>
      <c r="I95" s="23">
        <f>G95</f>
        <v>0</v>
      </c>
      <c r="J95" s="24">
        <f>$D$8*I95</f>
        <v>0</v>
      </c>
    </row>
    <row r="96" spans="1:10">
      <c r="A96" s="80" t="s">
        <v>86</v>
      </c>
      <c r="B96" s="61"/>
      <c r="C96" s="60"/>
      <c r="D96" s="58"/>
      <c r="E96" s="128"/>
      <c r="F96" s="93" t="s">
        <v>60</v>
      </c>
      <c r="G96" s="56">
        <f>E96*C96*C73</f>
        <v>0</v>
      </c>
      <c r="H96" s="83"/>
      <c r="I96" s="84">
        <f>G96</f>
        <v>0</v>
      </c>
      <c r="J96" s="85">
        <f>$D$8*I96</f>
        <v>0</v>
      </c>
    </row>
    <row r="97" spans="1:11" ht="24.75" customHeight="1">
      <c r="A97" s="147" t="s">
        <v>4</v>
      </c>
      <c r="B97" s="149"/>
      <c r="C97" s="150"/>
      <c r="D97" s="150"/>
      <c r="E97" s="150"/>
      <c r="F97" s="150"/>
      <c r="G97" s="138">
        <f>SUM(G95:G96)</f>
        <v>0</v>
      </c>
      <c r="H97" s="138"/>
      <c r="I97" s="139">
        <f>I95+I96</f>
        <v>0</v>
      </c>
      <c r="J97" s="146">
        <f>J95+J96</f>
        <v>0</v>
      </c>
    </row>
    <row r="98" spans="1:11">
      <c r="A98" s="12" t="s">
        <v>17</v>
      </c>
      <c r="B98" s="30"/>
      <c r="C98" s="14"/>
      <c r="D98" s="14"/>
      <c r="E98" s="14"/>
      <c r="F98" s="13"/>
      <c r="G98" s="21"/>
      <c r="H98" s="21"/>
      <c r="I98" s="22"/>
      <c r="J98" s="22" t="s">
        <v>18</v>
      </c>
    </row>
    <row r="99" spans="1:11">
      <c r="A99" s="79" t="s">
        <v>112</v>
      </c>
      <c r="G99" s="52"/>
      <c r="H99" s="28"/>
      <c r="I99" s="26">
        <f>G99</f>
        <v>0</v>
      </c>
      <c r="J99" s="27">
        <f>$D$8*I99</f>
        <v>0</v>
      </c>
    </row>
    <row r="100" spans="1:11">
      <c r="J100" s="24" t="s">
        <v>18</v>
      </c>
    </row>
    <row r="101" spans="1:11">
      <c r="A101" s="29"/>
      <c r="B101" s="17"/>
      <c r="C101" s="17"/>
      <c r="D101" s="17"/>
      <c r="E101" s="17"/>
      <c r="F101" s="17"/>
      <c r="G101" s="18" t="s">
        <v>3</v>
      </c>
      <c r="H101" s="19"/>
      <c r="I101" s="19" t="s">
        <v>4</v>
      </c>
      <c r="J101" s="20" t="s">
        <v>5</v>
      </c>
    </row>
    <row r="102" spans="1:11" ht="15">
      <c r="A102" s="106" t="s">
        <v>92</v>
      </c>
      <c r="B102" s="30"/>
      <c r="C102" s="14"/>
      <c r="D102" s="14"/>
      <c r="E102" s="14"/>
      <c r="F102" s="13"/>
      <c r="G102" s="21" t="s">
        <v>7</v>
      </c>
      <c r="H102" s="21" t="s">
        <v>8</v>
      </c>
      <c r="I102" s="22" t="s">
        <v>9</v>
      </c>
      <c r="J102" s="22" t="str">
        <f>D8&amp;" Acres"&amp;""</f>
        <v xml:space="preserve"> Acres</v>
      </c>
    </row>
    <row r="103" spans="1:11">
      <c r="A103" s="79" t="s">
        <v>89</v>
      </c>
      <c r="G103" s="23">
        <f>G79+G97+G99+G93+G75</f>
        <v>0</v>
      </c>
      <c r="H103" s="23">
        <f>H85+H93+H75</f>
        <v>0</v>
      </c>
      <c r="I103" s="26">
        <f>G103+H103</f>
        <v>0</v>
      </c>
      <c r="J103" s="26">
        <f>I103*D8</f>
        <v>0</v>
      </c>
    </row>
    <row r="104" spans="1:11" ht="28.5" customHeight="1">
      <c r="A104" s="142" t="s">
        <v>91</v>
      </c>
      <c r="B104" s="137"/>
      <c r="C104" s="137"/>
      <c r="D104" s="137"/>
      <c r="E104" s="137"/>
      <c r="F104" s="137"/>
      <c r="G104" s="138" t="e">
        <f>G103/C72</f>
        <v>#DIV/0!</v>
      </c>
      <c r="H104" s="138" t="e">
        <f>H103/C72</f>
        <v>#DIV/0!</v>
      </c>
      <c r="I104" s="139" t="e">
        <f>I103/C72</f>
        <v>#DIV/0!</v>
      </c>
      <c r="J104" s="140"/>
    </row>
    <row r="105" spans="1:11" ht="15">
      <c r="A105" s="92" t="str">
        <f>CONCATENATE("Average Costs and Returns Over ",H72+1," Years")</f>
        <v>Average Costs and Returns Over 1 Years</v>
      </c>
      <c r="B105" s="17"/>
      <c r="C105" s="17"/>
      <c r="D105" s="17"/>
      <c r="E105" s="17"/>
      <c r="F105" s="17"/>
      <c r="G105" s="18" t="s">
        <v>3</v>
      </c>
      <c r="H105" s="19"/>
      <c r="I105" s="19" t="s">
        <v>4</v>
      </c>
      <c r="J105" s="20" t="s">
        <v>5</v>
      </c>
    </row>
    <row r="106" spans="1:11">
      <c r="A106" s="118" t="s">
        <v>95</v>
      </c>
      <c r="B106" s="30"/>
      <c r="C106" s="14"/>
      <c r="D106" s="14"/>
      <c r="E106" s="14"/>
      <c r="F106" s="13"/>
      <c r="G106" s="21" t="s">
        <v>7</v>
      </c>
      <c r="H106" s="21" t="s">
        <v>8</v>
      </c>
      <c r="I106" s="22" t="s">
        <v>9</v>
      </c>
      <c r="J106" s="22" t="str">
        <f>D13&amp;" Acres"&amp;""</f>
        <v xml:space="preserve"> Acres</v>
      </c>
    </row>
    <row r="107" spans="1:11">
      <c r="A107" s="79" t="s">
        <v>93</v>
      </c>
      <c r="G107" s="117">
        <f>(G64+(G103*H72))/(H72+1)</f>
        <v>0</v>
      </c>
      <c r="H107" s="117">
        <f>(H64+(H103*H72))/(H72+1)</f>
        <v>0</v>
      </c>
      <c r="I107" s="26">
        <f>G107+H107</f>
        <v>0</v>
      </c>
      <c r="J107" s="26">
        <f>I107*D8</f>
        <v>0</v>
      </c>
    </row>
    <row r="108" spans="1:11" s="137" customFormat="1" ht="25.5" customHeight="1">
      <c r="A108" s="142" t="s">
        <v>94</v>
      </c>
      <c r="G108" s="138" t="e">
        <f>((G103*H72)+G64)/(D9+(C73*C72))</f>
        <v>#DIV/0!</v>
      </c>
      <c r="H108" s="138" t="e">
        <f>((H103*H72)+H64)/(D9+(C73*C72))</f>
        <v>#DIV/0!</v>
      </c>
      <c r="I108" s="139" t="e">
        <f>((I103*H72)+I64)/(D9+(C73*C72))</f>
        <v>#DIV/0!</v>
      </c>
      <c r="J108" s="140"/>
      <c r="K108" s="143"/>
    </row>
    <row r="109" spans="1:11">
      <c r="A109" s="79" t="s">
        <v>96</v>
      </c>
      <c r="G109" s="23"/>
      <c r="H109" s="23"/>
      <c r="I109" s="26"/>
      <c r="J109" s="28"/>
    </row>
    <row r="110" spans="1:11">
      <c r="A110" s="80" t="s">
        <v>74</v>
      </c>
      <c r="B110" s="107"/>
      <c r="C110" s="120"/>
      <c r="D110" s="60">
        <v>0</v>
      </c>
      <c r="E110" s="119" t="s">
        <v>75</v>
      </c>
      <c r="F110" s="109" t="str">
        <f>CONCATENATE(C72," ",D72)</f>
        <v xml:space="preserve"> tons/acre/year</v>
      </c>
      <c r="G110" s="57"/>
      <c r="H110" s="110"/>
      <c r="I110" s="56">
        <f>((D110*C72*C73)+I68)/(H72+1)</f>
        <v>0</v>
      </c>
      <c r="J110" s="111">
        <f>I110*D$8</f>
        <v>0</v>
      </c>
    </row>
    <row r="111" spans="1:11">
      <c r="A111" s="29"/>
      <c r="B111" s="17"/>
      <c r="C111" s="17"/>
      <c r="D111" s="17"/>
      <c r="E111" s="17"/>
      <c r="F111" s="17"/>
      <c r="G111" s="34"/>
      <c r="H111" s="35" t="s">
        <v>22</v>
      </c>
      <c r="I111" s="36" t="s">
        <v>23</v>
      </c>
      <c r="J111" s="37" t="s">
        <v>24</v>
      </c>
    </row>
    <row r="112" spans="1:11" ht="15">
      <c r="A112" s="106"/>
      <c r="B112" s="13"/>
      <c r="C112" s="13"/>
      <c r="D112" s="13"/>
      <c r="E112" s="13"/>
      <c r="F112" s="13"/>
      <c r="G112" s="38"/>
      <c r="H112" s="39" t="s">
        <v>25</v>
      </c>
      <c r="I112" s="39" t="s">
        <v>26</v>
      </c>
      <c r="J112" s="40" t="s">
        <v>27</v>
      </c>
    </row>
    <row r="113" spans="1:10" ht="22.5" customHeight="1" thickBot="1">
      <c r="A113" s="121" t="s">
        <v>97</v>
      </c>
      <c r="B113" s="64"/>
      <c r="C113" s="65"/>
      <c r="D113" s="65"/>
      <c r="E113" s="65"/>
      <c r="F113" s="65"/>
      <c r="G113" s="66"/>
      <c r="H113" s="67"/>
      <c r="I113" s="122">
        <f>I110-I107</f>
        <v>0</v>
      </c>
      <c r="J113" s="122">
        <f>J110-J107</f>
        <v>0</v>
      </c>
    </row>
    <row r="114" spans="1:10" ht="13.5" thickTop="1">
      <c r="A114" s="25"/>
      <c r="B114" s="15"/>
      <c r="G114" s="24"/>
      <c r="H114" s="28"/>
      <c r="I114" s="26"/>
      <c r="J114" s="27"/>
    </row>
    <row r="115" spans="1:10">
      <c r="A115" s="25" t="s">
        <v>29</v>
      </c>
      <c r="B115" s="4"/>
    </row>
    <row r="116" spans="1:10">
      <c r="A116" s="134" t="s">
        <v>102</v>
      </c>
      <c r="B116" s="4"/>
    </row>
    <row r="117" spans="1:10">
      <c r="A117" s="62" t="s">
        <v>33</v>
      </c>
      <c r="B117" s="4"/>
    </row>
    <row r="118" spans="1:10" ht="18.75" customHeight="1">
      <c r="A118" s="78" t="s">
        <v>106</v>
      </c>
      <c r="B118" s="4"/>
      <c r="C118" s="4"/>
      <c r="D118" s="4"/>
      <c r="E118" s="4"/>
      <c r="F118" s="4"/>
    </row>
    <row r="119" spans="1:10">
      <c r="A119" s="63" t="s">
        <v>30</v>
      </c>
    </row>
    <row r="120" spans="1:10">
      <c r="A120" s="10" t="s">
        <v>31</v>
      </c>
    </row>
    <row r="121" spans="1:10">
      <c r="A121" s="41">
        <f ca="1">TODAY()</f>
        <v>46297</v>
      </c>
    </row>
    <row r="122" spans="1:10" ht="24.75" customHeight="1">
      <c r="A122" s="53" t="s">
        <v>32</v>
      </c>
    </row>
  </sheetData>
  <sheetProtection sheet="1" objects="1" scenarios="1"/>
  <conditionalFormatting sqref="A1:I1 K1:XFD1 A2:XFD112 A114:XFD1048576 A113:H113 K113:XFD113">
    <cfRule type="containsErrors" dxfId="1" priority="2">
      <formula>ISERROR(A1)</formula>
    </cfRule>
  </conditionalFormatting>
  <conditionalFormatting sqref="I113:J113">
    <cfRule type="containsErrors" dxfId="0" priority="1">
      <formula>ISERROR(I113)</formula>
    </cfRule>
  </conditionalFormatting>
  <hyperlinks>
    <hyperlink ref="A3" r:id="rId1" display="The Estimated Costs of Crop Production publication has more information " xr:uid="{0DC3BBA8-8AEF-46B2-9A69-EB1E0BC9683E}"/>
    <hyperlink ref="A119" r:id="rId2" xr:uid="{C4F56922-2CB4-403C-86DD-9C0DD5559F55}"/>
    <hyperlink ref="A122" r:id="rId3" display="https://www.extension.iastate.edu/legal" xr:uid="{58CDE2D9-4F1A-453D-A757-5C4B583F639F}"/>
  </hyperlinks>
  <pageMargins left="0.7" right="0.7" top="0.75" bottom="0.75" header="0.3" footer="0.3"/>
  <pageSetup scale="27" orientation="landscape" horizontalDpi="300" verticalDpi="300" r:id="rId4"/>
  <headerFooter alignWithMargins="0">
    <oddHeader>&amp;LIowa State University Extension and Outreach&amp;RAg Decision Maker File A1-20</oddHeader>
    <oddFooter>&amp;Lhttps://www.extension.iastate.edu/agdm/crops/xls/a1-15-20haybudgetonly.xlsx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Hay Budget</vt:lpstr>
      <vt:lpstr>Hay Budget-Blank</vt:lpstr>
      <vt:lpstr>'Hay Budget'!Print_Area</vt:lpstr>
      <vt:lpstr>'Hay Budget-Blank'!Print_Area</vt:lpstr>
    </vt:vector>
  </TitlesOfParts>
  <Company>Iowa State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A1-20 Hay Budget</dc:title>
  <dc:creator>Johanns, Ann M [ECONA]</dc:creator>
  <cp:lastModifiedBy>Johanns, Ann M [EXTAG]</cp:lastModifiedBy>
  <cp:lastPrinted>2025-01-07T19:20:52Z</cp:lastPrinted>
  <dcterms:created xsi:type="dcterms:W3CDTF">2025-01-07T15:54:20Z</dcterms:created>
  <dcterms:modified xsi:type="dcterms:W3CDTF">2026-10-02T18:34:10Z</dcterms:modified>
</cp:coreProperties>
</file>