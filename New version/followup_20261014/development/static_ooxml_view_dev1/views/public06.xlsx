
<file path=[Content_Types].xml><?xml version="1.0" encoding="utf-8"?>
<ns0:Types xmlns:ns0="http://schemas.openxmlformats.org/package/2006/content-types">
  <ns0:Default Extension="bin" ContentType="application/vnd.openxmlformats-officedocument.spreadsheetml.printerSettings"/>
  <ns0:Default Extension="rels" ContentType="application/vnd.openxmlformats-package.relationships+xml"/>
  <ns0:Default Extension="xml" ContentType="application/xml"/>
  <ns0:Default Extension="vml" ContentType="application/vnd.openxmlformats-officedocument.vmlDrawing"/>
  <ns0:Override PartName="/xl/workbook.xml" ContentType="application/vnd.openxmlformats-officedocument.spreadsheetml.sheet.main+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theme/theme1.xml" ContentType="application/vnd.openxmlformats-officedocument.theme+xml"/>
  <ns0:Override PartName="/xl/styles.xml" ContentType="application/vnd.openxmlformats-officedocument.spreadsheetml.styles+xml"/>
  <ns0:Override PartName="/xl/sharedStrings.xml" ContentType="application/vnd.openxmlformats-officedocument.spreadsheetml.sharedStrings+xml"/>
  <ns0:Override PartName="/xl/drawings/drawing1.xml" ContentType="application/vnd.openxmlformats-officedocument.drawing+xml"/>
  <ns0:Override PartName="/xl/ctrlProps/ctrlProp1.xml" ContentType="application/vnd.ms-excel.controlproperties+xml"/>
  <ns0:Override PartName="/xl/ctrlProps/ctrlProp2.xml" ContentType="application/vnd.ms-excel.controlproperties+xml"/>
  <ns0:Override PartName="/xl/calcChain.xml" ContentType="application/vnd.openxmlformats-officedocument.spreadsheetml.calcChain+xml"/>
  <ns0:Override PartName="/docProps/core.xml" ContentType="application/vnd.openxmlformats-package.core-properties+xml"/>
  <ns0:Override PartName="/docProps/app.xml" ContentType="application/vnd.openxmlformats-officedocument.extended-properties+xml"/>
</ns0: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925" codeName="{1563B04E-AB91-75FE-B8BC-B18F01832D57}"/>
  <workbookPr filterPrivacy="1" codeName="ThisWorkbook" defaultThemeVersion="153222"/>
  <bookViews>
    <workbookView xWindow="0" yWindow="0" windowWidth="17280" windowHeight="9660"/>
  </bookViews>
  <sheets>
    <sheet name="Read Me" sheetId="4" r:id="rId1"/>
    <sheet name="Data Inputs" sheetId="5" r:id="rId2"/>
    <sheet name="Design Parameters" sheetId="6" r:id="rId3"/>
    <sheet name="Cost Estimate" sheetId="3" r:id="rId4"/>
    <sheet name="Table A" sheetId="7" r:id="rId5"/>
    <sheet name="Table B" sheetId="8" r:id="rId6"/>
  </sheet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3" i="5" l="1"/>
  <c r="D64" i="3" l="1"/>
  <c r="C64" i="3"/>
  <c r="D33" i="3" l="1"/>
  <c r="C4" i="3"/>
  <c r="D58" i="3"/>
  <c r="D57" i="3"/>
  <c r="D56" i="3"/>
  <c r="D55" i="3"/>
  <c r="D54" i="3"/>
  <c r="D61" i="3"/>
  <c r="D60" i="3"/>
  <c r="D50" i="3"/>
  <c r="D46" i="3"/>
  <c r="D45" i="3"/>
  <c r="D44" i="3"/>
  <c r="D43" i="3"/>
  <c r="D42" i="3"/>
  <c r="D41" i="3"/>
  <c r="D28" i="3"/>
  <c r="D27" i="3"/>
  <c r="D26" i="3"/>
  <c r="D23" i="3"/>
  <c r="C23" i="3"/>
  <c r="C26" i="3"/>
  <c r="C27" i="3"/>
  <c r="B31" i="3"/>
  <c r="A11" i="3"/>
  <c r="B21" i="3"/>
  <c r="D35" i="5" l="1"/>
  <c r="C35" i="5"/>
  <c r="C31" i="5" l="1"/>
  <c r="D31" i="5"/>
  <c r="C33" i="5" l="1"/>
  <c r="C32" i="5"/>
  <c r="D33" i="5"/>
  <c r="D32" i="5"/>
  <c r="A5" i="3" l="1"/>
  <c r="D9" i="5"/>
  <c r="C13" i="5"/>
  <c r="D11" i="5"/>
  <c r="D13" i="5"/>
  <c r="F100" i="3"/>
  <c r="F62" i="3" l="1"/>
  <c r="B23" i="3"/>
  <c r="B17" i="3"/>
  <c r="B26" i="3"/>
  <c r="A21" i="5"/>
  <c r="C11" i="5"/>
  <c r="C9" i="5"/>
  <c r="C8" i="5"/>
  <c r="C14" i="5"/>
  <c r="C12" i="5"/>
  <c r="C10" i="5"/>
  <c r="C37" i="5" l="1"/>
  <c r="C38" i="5"/>
  <c r="B6" i="3" l="1"/>
  <c r="E21" i="3"/>
  <c r="E31" i="3" s="1"/>
  <c r="E33" i="3"/>
  <c r="E73" i="3"/>
  <c r="E74" i="3" s="1"/>
  <c r="E71" i="3"/>
  <c r="E72" i="3" s="1"/>
  <c r="E70" i="3"/>
  <c r="E90" i="3"/>
  <c r="E99" i="3"/>
  <c r="E48" i="3"/>
  <c r="E47" i="3"/>
  <c r="E35" i="3" l="1"/>
  <c r="E34" i="3"/>
  <c r="E80" i="3"/>
  <c r="E76" i="3"/>
  <c r="C26" i="6"/>
  <c r="A27" i="5"/>
  <c r="A23" i="5"/>
  <c r="A22" i="5"/>
  <c r="A20" i="5"/>
  <c r="A19" i="5"/>
  <c r="A26" i="5"/>
  <c r="A24" i="5"/>
  <c r="C39" i="5"/>
  <c r="D14" i="5"/>
  <c r="D12" i="5"/>
  <c r="D10" i="5"/>
  <c r="D8" i="5"/>
  <c r="C27" i="6"/>
  <c r="E37" i="3" l="1"/>
  <c r="E64" i="3" s="1"/>
  <c r="D7" i="6"/>
  <c r="C7" i="6"/>
  <c r="A7" i="6" l="1"/>
  <c r="B7" i="6"/>
  <c r="M10" i="5"/>
  <c r="E81" i="3" l="1"/>
  <c r="E82" i="3"/>
  <c r="E83" i="3"/>
  <c r="A11" i="6"/>
  <c r="A10" i="6"/>
  <c r="C15" i="6"/>
  <c r="D10" i="6"/>
  <c r="C54" i="6"/>
  <c r="E84" i="3" s="1"/>
  <c r="E86" i="3" l="1"/>
  <c r="E92" i="3" s="1"/>
  <c r="E98" i="3" s="1"/>
  <c r="E100" i="3" s="1"/>
  <c r="D11" i="6"/>
  <c r="C19" i="6"/>
  <c r="C16" i="6"/>
  <c r="F98" i="3"/>
  <c r="F92" i="3"/>
  <c r="F86" i="3"/>
  <c r="F76" i="3"/>
  <c r="F64" i="3"/>
  <c r="A52" i="3"/>
  <c r="A39" i="3"/>
  <c r="D62" i="3" l="1"/>
  <c r="Q1" i="3"/>
  <c r="B8" i="3"/>
  <c r="A29" i="6"/>
  <c r="D48" i="3"/>
  <c r="D47" i="3"/>
  <c r="D73" i="3"/>
  <c r="D71" i="3"/>
  <c r="D72" i="3" s="1"/>
  <c r="C36" i="6"/>
  <c r="C73" i="3"/>
  <c r="C71" i="3"/>
  <c r="C72" i="3" s="1"/>
  <c r="C47" i="3"/>
  <c r="C51" i="6"/>
  <c r="C33" i="6"/>
  <c r="C28" i="6"/>
  <c r="C29" i="6" s="1"/>
  <c r="C34" i="6" s="1"/>
  <c r="C48" i="3"/>
  <c r="C40" i="6"/>
  <c r="C41" i="6" s="1"/>
  <c r="C42" i="6" s="1"/>
  <c r="C35" i="6"/>
  <c r="C20" i="6"/>
  <c r="D90" i="3" s="1"/>
  <c r="C42" i="5"/>
  <c r="A42" i="5"/>
  <c r="D74" i="3" l="1"/>
  <c r="D80" i="3" s="1"/>
  <c r="C23" i="6"/>
  <c r="C90" i="3"/>
  <c r="E20" i="6"/>
  <c r="C37" i="6"/>
  <c r="C99" i="3" l="1"/>
  <c r="D99" i="3"/>
  <c r="C47" i="6"/>
  <c r="C48" i="6"/>
  <c r="D17" i="3" s="1"/>
  <c r="C44" i="6"/>
  <c r="S1" i="3" l="1"/>
  <c r="C14" i="3"/>
  <c r="B14" i="3"/>
  <c r="B27" i="3"/>
  <c r="D70" i="3"/>
  <c r="D76" i="3" s="1"/>
  <c r="C70" i="3"/>
  <c r="B7" i="3"/>
  <c r="C19" i="3" l="1"/>
  <c r="C28" i="3"/>
  <c r="Z12" i="3"/>
  <c r="Z8" i="3"/>
  <c r="T11" i="3"/>
  <c r="T7" i="3"/>
  <c r="T8" i="3"/>
  <c r="Z11" i="3"/>
  <c r="Z7" i="3"/>
  <c r="T10" i="3"/>
  <c r="T6" i="3"/>
  <c r="Z14" i="3"/>
  <c r="Z10" i="3"/>
  <c r="Z6" i="3"/>
  <c r="T9" i="3"/>
  <c r="T5" i="3"/>
  <c r="Z13" i="3"/>
  <c r="Z9" i="3"/>
  <c r="Z5" i="3"/>
  <c r="D19" i="3"/>
  <c r="D31" i="3" s="1"/>
  <c r="C74" i="3"/>
  <c r="C31" i="3" l="1"/>
  <c r="C33" i="3" s="1"/>
  <c r="Z17" i="3"/>
  <c r="A17" i="3" s="1"/>
  <c r="T13" i="3"/>
  <c r="D35" i="3"/>
  <c r="D34" i="3"/>
  <c r="C80" i="3"/>
  <c r="C76" i="3"/>
  <c r="C35" i="3" l="1"/>
  <c r="C34" i="3"/>
  <c r="A14" i="3"/>
  <c r="F13" i="3"/>
  <c r="F16" i="3"/>
  <c r="D37" i="3"/>
  <c r="C37" i="3" l="1"/>
  <c r="C46" i="3" s="1"/>
  <c r="C54" i="3" l="1"/>
  <c r="C44" i="3"/>
  <c r="C43" i="3"/>
  <c r="C58" i="3"/>
  <c r="C56" i="3"/>
  <c r="C57" i="3"/>
  <c r="C45" i="3"/>
  <c r="C42" i="3"/>
  <c r="C55" i="3"/>
  <c r="C41" i="3"/>
  <c r="C60" i="3" l="1"/>
  <c r="C50" i="3"/>
  <c r="D82" i="3"/>
  <c r="C61" i="3" l="1"/>
  <c r="C62" i="3" s="1"/>
  <c r="C82" i="3" s="1"/>
  <c r="D84" i="3"/>
  <c r="D83" i="3"/>
  <c r="D81" i="3"/>
  <c r="C83" i="3" l="1"/>
  <c r="C81" i="3"/>
  <c r="C84" i="3"/>
  <c r="D86" i="3"/>
  <c r="D92" i="3" s="1"/>
  <c r="D98" i="3" s="1"/>
  <c r="D100" i="3" s="1"/>
  <c r="C86" i="3" l="1"/>
  <c r="C92" i="3" s="1"/>
  <c r="C98" i="3" s="1"/>
  <c r="C100" i="3" s="1"/>
</calcChain>
</file>

<file path=xl/sharedStrings.xml><?xml version="1.0" encoding="utf-8"?>
<sst xmlns="http://schemas.openxmlformats.org/spreadsheetml/2006/main" count="494" uniqueCount="344">
  <si>
    <t>hours/year</t>
  </si>
  <si>
    <t>Sales taxes =</t>
  </si>
  <si>
    <t>Freight =</t>
  </si>
  <si>
    <t>Foundations and Supports =</t>
  </si>
  <si>
    <t>Electrical =</t>
  </si>
  <si>
    <t>Piping =</t>
  </si>
  <si>
    <t>Painting =</t>
  </si>
  <si>
    <t>Site Preparation (SP) =</t>
  </si>
  <si>
    <t>Buildings (Bldg) =</t>
  </si>
  <si>
    <t xml:space="preserve">Engineering = </t>
  </si>
  <si>
    <t xml:space="preserve">Construction and field expenses = </t>
  </si>
  <si>
    <t>Contractor fees =</t>
  </si>
  <si>
    <t>Start-up =</t>
  </si>
  <si>
    <t>Performance test =</t>
  </si>
  <si>
    <t>Total Indirect Costs (IC) =</t>
  </si>
  <si>
    <t>Air Pollution Control Cost Estimation Spreadsheet</t>
  </si>
  <si>
    <t xml:space="preserve">U.S. Environmental Protection Agency </t>
  </si>
  <si>
    <t>Air Economics Group</t>
  </si>
  <si>
    <t>Health and Environmental Impacts Division</t>
  </si>
  <si>
    <t>Office of Air Quality Planning and Standards</t>
  </si>
  <si>
    <t xml:space="preserve">Instructions </t>
  </si>
  <si>
    <t>Data Inputs</t>
  </si>
  <si>
    <t>Cost Estimate</t>
  </si>
  <si>
    <t>Cost Effectiveness</t>
  </si>
  <si>
    <t>tons/year</t>
  </si>
  <si>
    <t xml:space="preserve">Cost Effectiveness = </t>
  </si>
  <si>
    <t>Annual Interest Rate (i)</t>
  </si>
  <si>
    <t>Parameter</t>
  </si>
  <si>
    <t>Equation</t>
  </si>
  <si>
    <t>Calculated Value</t>
  </si>
  <si>
    <t>Units</t>
  </si>
  <si>
    <t>Design Parameters</t>
  </si>
  <si>
    <t>Capital Recovery Factor:</t>
  </si>
  <si>
    <t xml:space="preserve">Capital Recovery Factor (CRF) = </t>
  </si>
  <si>
    <t>Operator Labor Rate</t>
  </si>
  <si>
    <t>Supervisor = 15% of Operator</t>
  </si>
  <si>
    <t>Materials = 100% of maintenance labor</t>
  </si>
  <si>
    <t>Direct Annual Costs</t>
  </si>
  <si>
    <t>Indirect Annual Costs</t>
  </si>
  <si>
    <t>Overhead</t>
  </si>
  <si>
    <t>Administrative Charges</t>
  </si>
  <si>
    <t>= 2% of TCI</t>
  </si>
  <si>
    <t>Property Taxes</t>
  </si>
  <si>
    <t>= 1% of TCI</t>
  </si>
  <si>
    <t>Insurance</t>
  </si>
  <si>
    <t>Capital Recovery</t>
  </si>
  <si>
    <t>Total Annual Cost =</t>
  </si>
  <si>
    <t>For Refrigerated Surface Condensers</t>
  </si>
  <si>
    <t>Annual Recovery Credit for Condensate (RC)</t>
  </si>
  <si>
    <t>Re-Sale Value of Recovered VOC (Credit)</t>
  </si>
  <si>
    <t>Enter the design data for the proposed condenser:</t>
  </si>
  <si>
    <t>Tons/year</t>
  </si>
  <si>
    <t>= 60% of sum of operator, supervisor, maintenance labor Plus maintenance materials</t>
  </si>
  <si>
    <t>Costs for Refrigerated Condenser (A) =</t>
  </si>
  <si>
    <t>If known, enter any additional costs for site preparation and building construction/modification:</t>
  </si>
  <si>
    <t xml:space="preserve">Desired dollar-year </t>
  </si>
  <si>
    <t xml:space="preserve">Total Purchased Equipment Costs (B) = </t>
  </si>
  <si>
    <t>Total Capital Investment For Packaged System=</t>
  </si>
  <si>
    <t>Annual Electricity Cost =</t>
  </si>
  <si>
    <t>Operating Labor =</t>
  </si>
  <si>
    <t>Maintenance Costs =</t>
  </si>
  <si>
    <t>Enter the cost data for the condenser:</t>
  </si>
  <si>
    <t>Estimated equipment life (n)</t>
  </si>
  <si>
    <t>A</t>
  </si>
  <si>
    <t>B</t>
  </si>
  <si>
    <t>C</t>
  </si>
  <si>
    <r>
      <t>Heat Capacity (C</t>
    </r>
    <r>
      <rPr>
        <b/>
        <vertAlign val="subscript"/>
        <sz val="11"/>
        <color theme="0"/>
        <rFont val="Calibri"/>
        <family val="2"/>
        <scheme val="minor"/>
      </rPr>
      <t>p,voc</t>
    </r>
    <r>
      <rPr>
        <b/>
        <sz val="11"/>
        <color theme="0"/>
        <rFont val="Calibri"/>
        <family val="2"/>
        <scheme val="minor"/>
      </rPr>
      <t>)</t>
    </r>
  </si>
  <si>
    <r>
      <t>Logarithmic mean temperature difference (ΔT</t>
    </r>
    <r>
      <rPr>
        <vertAlign val="subscript"/>
        <sz val="12"/>
        <color theme="1"/>
        <rFont val="Calibri"/>
        <family val="2"/>
      </rPr>
      <t xml:space="preserve">lm </t>
    </r>
    <r>
      <rPr>
        <sz val="12"/>
        <color theme="1"/>
        <rFont val="Calibri"/>
        <family val="2"/>
      </rPr>
      <t>) =</t>
    </r>
  </si>
  <si>
    <t>Overall heat transfer coefficient (U)</t>
  </si>
  <si>
    <t>Btu/hour</t>
  </si>
  <si>
    <t>Refrigeration Capacity (R) =</t>
  </si>
  <si>
    <t>Tons/hour</t>
  </si>
  <si>
    <t>ECp =</t>
  </si>
  <si>
    <t xml:space="preserve">Single Stage </t>
  </si>
  <si>
    <t>Multi-Stage</t>
  </si>
  <si>
    <t>hours/day</t>
  </si>
  <si>
    <t>gallons</t>
  </si>
  <si>
    <t xml:space="preserve">Estimated Electricity Consumption (E) = </t>
  </si>
  <si>
    <t>Total Costs for Custom Condenser (A) =</t>
  </si>
  <si>
    <t>Total Capital Investment For Custom System =</t>
  </si>
  <si>
    <t>Capital Costs</t>
  </si>
  <si>
    <r>
      <t>T</t>
    </r>
    <r>
      <rPr>
        <vertAlign val="subscript"/>
        <sz val="12"/>
        <color theme="1"/>
        <rFont val="Calibri"/>
        <family val="2"/>
        <scheme val="minor"/>
      </rPr>
      <t>con</t>
    </r>
    <r>
      <rPr>
        <sz val="12"/>
        <color theme="1"/>
        <rFont val="Calibri"/>
        <family val="2"/>
        <scheme val="minor"/>
      </rPr>
      <t xml:space="preserve"> + 459.67 =</t>
    </r>
  </si>
  <si>
    <t>VOC</t>
  </si>
  <si>
    <t>Calculation of Electricity Consumption:</t>
  </si>
  <si>
    <t xml:space="preserve">Calculation of Condenser Heat Load: </t>
  </si>
  <si>
    <t xml:space="preserve">Calculation of Enthalpy of Condensation: </t>
  </si>
  <si>
    <t>Quantity of VOC Recovered:</t>
  </si>
  <si>
    <t>Quantities of VOC in Inlet and Outlet streams:</t>
  </si>
  <si>
    <t>mmHg</t>
  </si>
  <si>
    <t xml:space="preserve">Calculation of Surface Area: </t>
  </si>
  <si>
    <t xml:space="preserve">Calculation of Coolant Flow Rate and Refrigeration Capacity: </t>
  </si>
  <si>
    <t xml:space="preserve"> VOC Recovery Credit</t>
  </si>
  <si>
    <t xml:space="preserve">Cost Effectiveness </t>
  </si>
  <si>
    <t>Total Annual Cost  (TAC) =</t>
  </si>
  <si>
    <t>TAC =</t>
  </si>
  <si>
    <t>Annual Costs</t>
  </si>
  <si>
    <r>
      <t>Volumetric flow rate of the waste stream (Q</t>
    </r>
    <r>
      <rPr>
        <vertAlign val="subscript"/>
        <sz val="12"/>
        <color theme="1"/>
        <rFont val="Calibri"/>
        <family val="2"/>
        <scheme val="minor"/>
      </rPr>
      <t>in</t>
    </r>
    <r>
      <rPr>
        <sz val="12"/>
        <color theme="1"/>
        <rFont val="Calibri"/>
        <family val="2"/>
        <scheme val="minor"/>
      </rPr>
      <t>)</t>
    </r>
  </si>
  <si>
    <r>
      <t>Inlet stream temperature (T</t>
    </r>
    <r>
      <rPr>
        <vertAlign val="subscript"/>
        <sz val="12"/>
        <color theme="1"/>
        <rFont val="Calibri"/>
        <family val="2"/>
        <scheme val="minor"/>
      </rPr>
      <t>in</t>
    </r>
    <r>
      <rPr>
        <sz val="12"/>
        <color theme="1"/>
        <rFont val="Calibri"/>
        <family val="2"/>
        <scheme val="minor"/>
      </rPr>
      <t>)</t>
    </r>
  </si>
  <si>
    <r>
      <t>Required VOC removal efficiency (</t>
    </r>
    <r>
      <rPr>
        <sz val="12"/>
        <color theme="1"/>
        <rFont val="Calibri"/>
        <family val="2"/>
      </rPr>
      <t>η)</t>
    </r>
  </si>
  <si>
    <r>
      <t>Specific heat of the coolant (C</t>
    </r>
    <r>
      <rPr>
        <vertAlign val="subscript"/>
        <sz val="12"/>
        <color theme="1"/>
        <rFont val="Calibri"/>
        <family val="2"/>
        <scheme val="minor"/>
      </rPr>
      <t>p,cool</t>
    </r>
    <r>
      <rPr>
        <sz val="12"/>
        <color theme="1"/>
        <rFont val="Calibri"/>
        <family val="2"/>
        <scheme val="minor"/>
      </rPr>
      <t>)</t>
    </r>
  </si>
  <si>
    <r>
      <t>Electricity (Cost</t>
    </r>
    <r>
      <rPr>
        <vertAlign val="subscript"/>
        <sz val="12"/>
        <color theme="1"/>
        <rFont val="Calibri"/>
        <family val="2"/>
        <scheme val="minor"/>
      </rPr>
      <t>elect</t>
    </r>
    <r>
      <rPr>
        <sz val="12"/>
        <color theme="1"/>
        <rFont val="Calibri"/>
        <family val="2"/>
        <scheme val="minor"/>
      </rPr>
      <t>)</t>
    </r>
  </si>
  <si>
    <t>Is the condenser a packaged, custom or gasoline vapor recovery system?</t>
  </si>
  <si>
    <t>Packaged Condenser System</t>
  </si>
  <si>
    <t>Custom Condenser System</t>
  </si>
  <si>
    <t>Gasoline Vapor Recovery System</t>
  </si>
  <si>
    <t>Purchase Costs for a Packaged Gasoline Solvent Recovery System:</t>
  </si>
  <si>
    <t>VOC Controlled/Recovered =</t>
  </si>
  <si>
    <t>Instrumentation =</t>
  </si>
  <si>
    <t>Insulation =</t>
  </si>
  <si>
    <t>2014 CEPCI</t>
  </si>
  <si>
    <r>
      <rPr>
        <b/>
        <u/>
        <sz val="12"/>
        <color theme="8" tint="-0.499984740745262"/>
        <rFont val="Calibri"/>
        <family val="2"/>
        <scheme val="minor"/>
      </rPr>
      <t>Step 4</t>
    </r>
    <r>
      <rPr>
        <b/>
        <sz val="12"/>
        <color theme="8" tint="-0.499984740745262"/>
        <rFont val="Calibri"/>
        <family val="2"/>
        <scheme val="minor"/>
      </rPr>
      <t>:</t>
    </r>
    <r>
      <rPr>
        <sz val="12"/>
        <color theme="8" tint="-0.499984740745262"/>
        <rFont val="Calibri"/>
        <family val="2"/>
        <scheme val="minor"/>
      </rPr>
      <t xml:space="preserve"> Once all of the data fields are complete, select the </t>
    </r>
    <r>
      <rPr>
        <b/>
        <i/>
        <sz val="12"/>
        <color theme="8" tint="-0.499984740745262"/>
        <rFont val="Calibri"/>
        <family val="2"/>
        <scheme val="minor"/>
      </rPr>
      <t>Design Parameters</t>
    </r>
    <r>
      <rPr>
        <sz val="12"/>
        <color theme="8" tint="-0.499984740745262"/>
        <rFont val="Calibri"/>
        <family val="2"/>
        <scheme val="minor"/>
      </rPr>
      <t xml:space="preserve"> tab to see the calculated design parameters for your condenser. Select the </t>
    </r>
    <r>
      <rPr>
        <b/>
        <i/>
        <sz val="12"/>
        <color theme="8" tint="-0.499984740745262"/>
        <rFont val="Calibri"/>
        <family val="2"/>
        <scheme val="minor"/>
      </rPr>
      <t>Cost Estimate</t>
    </r>
    <r>
      <rPr>
        <sz val="12"/>
        <color theme="8" tint="-0.499984740745262"/>
        <rFont val="Calibri"/>
        <family val="2"/>
        <scheme val="minor"/>
      </rPr>
      <t xml:space="preserve"> tab to view the estimated installation and operation costs for the condenser. </t>
    </r>
  </si>
  <si>
    <t xml:space="preserve">Data Sources for Default Values Used in Calculations: </t>
  </si>
  <si>
    <t>Data Element</t>
  </si>
  <si>
    <t>Default Value</t>
  </si>
  <si>
    <t>Sources for Default Value</t>
  </si>
  <si>
    <t>Recommended data sources for site-specific information</t>
  </si>
  <si>
    <t xml:space="preserve"> </t>
  </si>
  <si>
    <t xml:space="preserve">Check with reagent vendors for current prices. </t>
  </si>
  <si>
    <t>Electricity Cost ($/kWh)</t>
  </si>
  <si>
    <t xml:space="preserve">Plant's utility bill or use U.S. Energy Information Administration (EIA) data for most recent year. Available at http://www.eia.gov/electricity/data.cfm#sales. </t>
  </si>
  <si>
    <t>Check with fuel supplier or use  U.S. Energy Information Administration (EIA) data for most recent year." Available at http://www.eia.gov/electricity/data/eia923/.</t>
  </si>
  <si>
    <t>Operator Labor Rate ($/hour)</t>
  </si>
  <si>
    <t>Maintenance Labor Rate ($/hour)</t>
  </si>
  <si>
    <t>Maintenance Labor Rate</t>
  </si>
  <si>
    <t xml:space="preserve">If you used your own site-specific values, please reference  the source from which the site-specific value was derived. </t>
  </si>
  <si>
    <t>R Min</t>
  </si>
  <si>
    <t>R Max</t>
  </si>
  <si>
    <t xml:space="preserve">Single </t>
  </si>
  <si>
    <t>Multi</t>
  </si>
  <si>
    <t>Tcon =</t>
  </si>
  <si>
    <t>R =</t>
  </si>
  <si>
    <t>Acetone</t>
  </si>
  <si>
    <t>°F</t>
  </si>
  <si>
    <t>°R</t>
  </si>
  <si>
    <r>
      <t>Mechanical efficiency of compressor (</t>
    </r>
    <r>
      <rPr>
        <sz val="12"/>
        <color theme="1"/>
        <rFont val="Calibri"/>
        <family val="2"/>
      </rPr>
      <t>η</t>
    </r>
    <r>
      <rPr>
        <vertAlign val="subscript"/>
        <sz val="12"/>
        <color theme="1"/>
        <rFont val="Calibri"/>
        <family val="2"/>
      </rPr>
      <t>comp</t>
    </r>
    <r>
      <rPr>
        <sz val="12"/>
        <color theme="1"/>
        <rFont val="Calibri"/>
        <family val="2"/>
      </rPr>
      <t xml:space="preserve">) </t>
    </r>
  </si>
  <si>
    <r>
      <t>Equipment Costs for auxiliary equipment for custom condenser systems (EC</t>
    </r>
    <r>
      <rPr>
        <vertAlign val="subscript"/>
        <sz val="12"/>
        <color theme="1"/>
        <rFont val="Calibri"/>
        <family val="2"/>
      </rPr>
      <t>aux</t>
    </r>
    <r>
      <rPr>
        <sz val="12"/>
        <color theme="1"/>
        <rFont val="Calibri"/>
        <family val="2"/>
        <scheme val="minor"/>
      </rPr>
      <t>) =</t>
    </r>
  </si>
  <si>
    <r>
      <t xml:space="preserve">The following design parameters for the condenser were calculated based on the values entered on the </t>
    </r>
    <r>
      <rPr>
        <b/>
        <i/>
        <sz val="12"/>
        <color theme="8" tint="-0.249977111117893"/>
        <rFont val="Calibri"/>
        <family val="2"/>
        <scheme val="minor"/>
      </rPr>
      <t xml:space="preserve">Data Inputs </t>
    </r>
    <r>
      <rPr>
        <b/>
        <sz val="12"/>
        <color theme="8" tint="-0.249977111117893"/>
        <rFont val="Calibri"/>
        <family val="2"/>
        <scheme val="minor"/>
      </rPr>
      <t xml:space="preserve">tab. These values were used to prepare the costs shown on the </t>
    </r>
    <r>
      <rPr>
        <b/>
        <i/>
        <sz val="12"/>
        <color theme="8" tint="-0.249977111117893"/>
        <rFont val="Calibri"/>
        <family val="2"/>
        <scheme val="minor"/>
      </rPr>
      <t>Cost Estimate</t>
    </r>
    <r>
      <rPr>
        <b/>
        <sz val="12"/>
        <color theme="8" tint="-0.249977111117893"/>
        <rFont val="Calibri"/>
        <family val="2"/>
        <scheme val="minor"/>
      </rPr>
      <t xml:space="preserve"> tab.</t>
    </r>
  </si>
  <si>
    <r>
      <t>M</t>
    </r>
    <r>
      <rPr>
        <vertAlign val="subscript"/>
        <sz val="12"/>
        <color theme="1"/>
        <rFont val="Calibri"/>
        <family val="2"/>
        <scheme val="minor"/>
      </rPr>
      <t>voc,in</t>
    </r>
    <r>
      <rPr>
        <sz val="12"/>
        <color theme="1"/>
        <rFont val="Calibri"/>
        <family val="2"/>
        <scheme val="minor"/>
      </rPr>
      <t xml:space="preserve"> × </t>
    </r>
    <r>
      <rPr>
        <sz val="12"/>
        <color theme="1"/>
        <rFont val="Calibri"/>
        <family val="2"/>
      </rPr>
      <t>η =</t>
    </r>
  </si>
  <si>
    <r>
      <t>M</t>
    </r>
    <r>
      <rPr>
        <vertAlign val="subscript"/>
        <sz val="12"/>
        <color theme="1"/>
        <rFont val="Calibri"/>
        <family val="2"/>
        <scheme val="minor"/>
      </rPr>
      <t>voc, recovered</t>
    </r>
    <r>
      <rPr>
        <sz val="12"/>
        <color theme="1"/>
        <rFont val="Calibri"/>
        <family val="2"/>
        <scheme val="minor"/>
      </rPr>
      <t xml:space="preserve"> × MW</t>
    </r>
    <r>
      <rPr>
        <vertAlign val="subscript"/>
        <sz val="12"/>
        <color theme="1"/>
        <rFont val="Calibri"/>
        <family val="2"/>
        <scheme val="minor"/>
      </rPr>
      <t>voc</t>
    </r>
    <r>
      <rPr>
        <sz val="12"/>
        <color theme="1"/>
        <rFont val="Calibri"/>
        <family val="2"/>
        <scheme val="minor"/>
      </rPr>
      <t xml:space="preserve"> =</t>
    </r>
  </si>
  <si>
    <r>
      <t>M</t>
    </r>
    <r>
      <rPr>
        <vertAlign val="subscript"/>
        <sz val="12"/>
        <color theme="1"/>
        <rFont val="Calibri"/>
        <family val="2"/>
        <scheme val="minor"/>
      </rPr>
      <t>voc,recovered</t>
    </r>
    <r>
      <rPr>
        <sz val="12"/>
        <color theme="1"/>
        <rFont val="Calibri"/>
        <family val="2"/>
        <scheme val="minor"/>
      </rPr>
      <t xml:space="preserve"> × [</t>
    </r>
    <r>
      <rPr>
        <sz val="12"/>
        <color theme="1"/>
        <rFont val="Calibri"/>
        <family val="2"/>
      </rPr>
      <t>ΔH</t>
    </r>
    <r>
      <rPr>
        <vertAlign val="subscript"/>
        <sz val="12"/>
        <color theme="1"/>
        <rFont val="Calibri"/>
        <family val="2"/>
      </rPr>
      <t>voc</t>
    </r>
    <r>
      <rPr>
        <sz val="12"/>
        <color theme="1"/>
        <rFont val="Calibri"/>
        <family val="2"/>
      </rPr>
      <t xml:space="preserve"> + C</t>
    </r>
    <r>
      <rPr>
        <vertAlign val="subscript"/>
        <sz val="12"/>
        <color theme="1"/>
        <rFont val="Calibri"/>
        <family val="2"/>
      </rPr>
      <t>p,voc</t>
    </r>
    <r>
      <rPr>
        <sz val="12"/>
        <color theme="1"/>
        <rFont val="Calibri"/>
        <family val="2"/>
      </rPr>
      <t xml:space="preserve"> (T</t>
    </r>
    <r>
      <rPr>
        <vertAlign val="subscript"/>
        <sz val="12"/>
        <color theme="1"/>
        <rFont val="Calibri"/>
        <family val="2"/>
      </rPr>
      <t>in</t>
    </r>
    <r>
      <rPr>
        <sz val="12"/>
        <color theme="1"/>
        <rFont val="Calibri"/>
        <family val="2"/>
      </rPr>
      <t xml:space="preserve"> - T</t>
    </r>
    <r>
      <rPr>
        <vertAlign val="subscript"/>
        <sz val="12"/>
        <color theme="1"/>
        <rFont val="Calibri"/>
        <family val="2"/>
      </rPr>
      <t>con</t>
    </r>
    <r>
      <rPr>
        <sz val="12"/>
        <color theme="1"/>
        <rFont val="Calibri"/>
        <family val="2"/>
      </rPr>
      <t xml:space="preserve">)]= </t>
    </r>
  </si>
  <si>
    <r>
      <t>M</t>
    </r>
    <r>
      <rPr>
        <vertAlign val="subscript"/>
        <sz val="12"/>
        <color theme="1"/>
        <rFont val="Calibri"/>
        <family val="2"/>
        <scheme val="minor"/>
      </rPr>
      <t>voc,out</t>
    </r>
    <r>
      <rPr>
        <sz val="12"/>
        <color theme="1"/>
        <rFont val="Calibri"/>
        <family val="2"/>
        <scheme val="minor"/>
      </rPr>
      <t xml:space="preserve"> × C</t>
    </r>
    <r>
      <rPr>
        <vertAlign val="subscript"/>
        <sz val="12"/>
        <color theme="1"/>
        <rFont val="Calibri"/>
        <family val="2"/>
        <scheme val="minor"/>
      </rPr>
      <t>p,voc</t>
    </r>
    <r>
      <rPr>
        <sz val="12"/>
        <color theme="1"/>
        <rFont val="Calibri"/>
        <family val="2"/>
        <scheme val="minor"/>
      </rPr>
      <t xml:space="preserve"> × (T</t>
    </r>
    <r>
      <rPr>
        <vertAlign val="subscript"/>
        <sz val="12"/>
        <color theme="1"/>
        <rFont val="Calibri"/>
        <family val="2"/>
        <scheme val="minor"/>
      </rPr>
      <t>in</t>
    </r>
    <r>
      <rPr>
        <sz val="12"/>
        <color theme="1"/>
        <rFont val="Calibri"/>
        <family val="2"/>
        <scheme val="minor"/>
      </rPr>
      <t xml:space="preserve"> - T</t>
    </r>
    <r>
      <rPr>
        <vertAlign val="subscript"/>
        <sz val="12"/>
        <color theme="1"/>
        <rFont val="Calibri"/>
        <family val="2"/>
        <scheme val="minor"/>
      </rPr>
      <t>con</t>
    </r>
    <r>
      <rPr>
        <sz val="12"/>
        <color theme="1"/>
        <rFont val="Calibri"/>
        <family val="2"/>
        <scheme val="minor"/>
      </rPr>
      <t>) =</t>
    </r>
  </si>
  <si>
    <r>
      <t>ΔH</t>
    </r>
    <r>
      <rPr>
        <vertAlign val="subscript"/>
        <sz val="12"/>
        <color theme="1"/>
        <rFont val="Calibri"/>
        <family val="2"/>
      </rPr>
      <t>con</t>
    </r>
    <r>
      <rPr>
        <sz val="12"/>
        <color theme="1"/>
        <rFont val="Calibri"/>
        <family val="2"/>
      </rPr>
      <t xml:space="preserve"> + ΔH</t>
    </r>
    <r>
      <rPr>
        <vertAlign val="subscript"/>
        <sz val="12"/>
        <color theme="1"/>
        <rFont val="Calibri"/>
        <family val="2"/>
      </rPr>
      <t>uncon</t>
    </r>
    <r>
      <rPr>
        <sz val="12"/>
        <color theme="1"/>
        <rFont val="Calibri"/>
        <family val="2"/>
      </rPr>
      <t xml:space="preserve"> + ΔH</t>
    </r>
    <r>
      <rPr>
        <vertAlign val="subscript"/>
        <sz val="12"/>
        <color theme="1"/>
        <rFont val="Calibri"/>
        <family val="2"/>
      </rPr>
      <t>noncon</t>
    </r>
    <r>
      <rPr>
        <sz val="12"/>
        <color theme="1"/>
        <rFont val="Calibri"/>
        <family val="2"/>
      </rPr>
      <t xml:space="preserve"> =</t>
    </r>
  </si>
  <si>
    <r>
      <t>T</t>
    </r>
    <r>
      <rPr>
        <vertAlign val="subscript"/>
        <sz val="12"/>
        <color theme="1"/>
        <rFont val="Calibri"/>
        <family val="2"/>
        <scheme val="minor"/>
      </rPr>
      <t>con</t>
    </r>
    <r>
      <rPr>
        <sz val="12"/>
        <color theme="1"/>
        <rFont val="Calibri"/>
        <family val="2"/>
        <scheme val="minor"/>
      </rPr>
      <t xml:space="preserve"> - 15</t>
    </r>
    <r>
      <rPr>
        <vertAlign val="superscript"/>
        <sz val="12"/>
        <color theme="1"/>
        <rFont val="Calibri"/>
        <family val="2"/>
        <scheme val="minor"/>
      </rPr>
      <t xml:space="preserve"> </t>
    </r>
    <r>
      <rPr>
        <sz val="12"/>
        <color theme="1"/>
        <rFont val="Calibri"/>
        <family val="2"/>
        <scheme val="minor"/>
      </rPr>
      <t>°F =</t>
    </r>
  </si>
  <si>
    <r>
      <t>T</t>
    </r>
    <r>
      <rPr>
        <vertAlign val="subscript"/>
        <sz val="12"/>
        <color theme="1"/>
        <rFont val="Calibri"/>
        <family val="2"/>
        <scheme val="minor"/>
      </rPr>
      <t>cool,in</t>
    </r>
    <r>
      <rPr>
        <sz val="12"/>
        <color theme="1"/>
        <rFont val="Calibri"/>
        <family val="2"/>
        <scheme val="minor"/>
      </rPr>
      <t xml:space="preserve"> + 25</t>
    </r>
    <r>
      <rPr>
        <vertAlign val="superscript"/>
        <sz val="12"/>
        <color theme="1"/>
        <rFont val="Calibri"/>
        <family val="2"/>
        <scheme val="minor"/>
      </rPr>
      <t xml:space="preserve"> </t>
    </r>
    <r>
      <rPr>
        <sz val="12"/>
        <color theme="1"/>
        <rFont val="Calibri"/>
        <family val="2"/>
        <scheme val="minor"/>
      </rPr>
      <t>°F =</t>
    </r>
  </si>
  <si>
    <r>
      <t>[(T</t>
    </r>
    <r>
      <rPr>
        <vertAlign val="subscript"/>
        <sz val="12"/>
        <color theme="1"/>
        <rFont val="Calibri"/>
        <family val="2"/>
        <scheme val="minor"/>
      </rPr>
      <t>in</t>
    </r>
    <r>
      <rPr>
        <sz val="12"/>
        <color theme="1"/>
        <rFont val="Calibri"/>
        <family val="2"/>
        <scheme val="minor"/>
      </rPr>
      <t xml:space="preserve"> - T</t>
    </r>
    <r>
      <rPr>
        <vertAlign val="subscript"/>
        <sz val="12"/>
        <color theme="1"/>
        <rFont val="Calibri"/>
        <family val="2"/>
        <scheme val="minor"/>
      </rPr>
      <t>cool,out</t>
    </r>
    <r>
      <rPr>
        <sz val="12"/>
        <color theme="1"/>
        <rFont val="Calibri"/>
        <family val="2"/>
        <scheme val="minor"/>
      </rPr>
      <t>) - (T</t>
    </r>
    <r>
      <rPr>
        <vertAlign val="subscript"/>
        <sz val="12"/>
        <color theme="1"/>
        <rFont val="Calibri"/>
        <family val="2"/>
        <scheme val="minor"/>
      </rPr>
      <t>con</t>
    </r>
    <r>
      <rPr>
        <sz val="12"/>
        <color theme="1"/>
        <rFont val="Calibri"/>
        <family val="2"/>
        <scheme val="minor"/>
      </rPr>
      <t xml:space="preserve"> -T</t>
    </r>
    <r>
      <rPr>
        <vertAlign val="subscript"/>
        <sz val="12"/>
        <color theme="1"/>
        <rFont val="Calibri"/>
        <family val="2"/>
        <scheme val="minor"/>
      </rPr>
      <t>cool,in</t>
    </r>
    <r>
      <rPr>
        <sz val="12"/>
        <color theme="1"/>
        <rFont val="Calibri"/>
        <family val="2"/>
        <scheme val="minor"/>
      </rPr>
      <t xml:space="preserve">)]      </t>
    </r>
  </si>
  <si>
    <r>
      <t>[ln{(T</t>
    </r>
    <r>
      <rPr>
        <vertAlign val="subscript"/>
        <sz val="12"/>
        <color theme="1"/>
        <rFont val="Calibri"/>
        <family val="2"/>
        <scheme val="minor"/>
      </rPr>
      <t>in</t>
    </r>
    <r>
      <rPr>
        <sz val="12"/>
        <color theme="1"/>
        <rFont val="Calibri"/>
        <family val="2"/>
        <scheme val="minor"/>
      </rPr>
      <t xml:space="preserve"> - T</t>
    </r>
    <r>
      <rPr>
        <vertAlign val="subscript"/>
        <sz val="12"/>
        <color theme="1"/>
        <rFont val="Calibri"/>
        <family val="2"/>
        <scheme val="minor"/>
      </rPr>
      <t>cool, out</t>
    </r>
    <r>
      <rPr>
        <sz val="12"/>
        <color theme="1"/>
        <rFont val="Calibri"/>
        <family val="2"/>
        <scheme val="minor"/>
      </rPr>
      <t>)/(T</t>
    </r>
    <r>
      <rPr>
        <vertAlign val="subscript"/>
        <sz val="12"/>
        <color theme="1"/>
        <rFont val="Calibri"/>
        <family val="2"/>
        <scheme val="minor"/>
      </rPr>
      <t>con</t>
    </r>
    <r>
      <rPr>
        <sz val="12"/>
        <color theme="1"/>
        <rFont val="Calibri"/>
        <family val="2"/>
        <scheme val="minor"/>
      </rPr>
      <t xml:space="preserve"> - T</t>
    </r>
    <r>
      <rPr>
        <vertAlign val="subscript"/>
        <sz val="12"/>
        <color theme="1"/>
        <rFont val="Calibri"/>
        <family val="2"/>
        <scheme val="minor"/>
      </rPr>
      <t>cool,in</t>
    </r>
    <r>
      <rPr>
        <sz val="12"/>
        <color theme="1"/>
        <rFont val="Calibri"/>
        <family val="2"/>
        <scheme val="minor"/>
      </rPr>
      <t>)}]</t>
    </r>
  </si>
  <si>
    <r>
      <t>H</t>
    </r>
    <r>
      <rPr>
        <vertAlign val="subscript"/>
        <sz val="12"/>
        <color theme="1"/>
        <rFont val="Calibri"/>
        <family val="2"/>
        <scheme val="minor"/>
      </rPr>
      <t>load</t>
    </r>
    <r>
      <rPr>
        <sz val="12"/>
        <color theme="1"/>
        <rFont val="Calibri"/>
        <family val="2"/>
        <scheme val="minor"/>
      </rPr>
      <t xml:space="preserve"> / (U × </t>
    </r>
    <r>
      <rPr>
        <sz val="12"/>
        <color theme="1"/>
        <rFont val="Calibri"/>
        <family val="2"/>
      </rPr>
      <t>ΔT</t>
    </r>
    <r>
      <rPr>
        <vertAlign val="subscript"/>
        <sz val="12"/>
        <color theme="1"/>
        <rFont val="Calibri"/>
        <family val="2"/>
      </rPr>
      <t>lm</t>
    </r>
    <r>
      <rPr>
        <sz val="12"/>
        <color theme="1"/>
        <rFont val="Calibri"/>
        <family val="2"/>
      </rPr>
      <t xml:space="preserve">) = </t>
    </r>
  </si>
  <si>
    <r>
      <t>[((Q</t>
    </r>
    <r>
      <rPr>
        <vertAlign val="subscript"/>
        <sz val="12"/>
        <color theme="1"/>
        <rFont val="Calibri"/>
        <family val="2"/>
        <scheme val="minor"/>
      </rPr>
      <t>in</t>
    </r>
    <r>
      <rPr>
        <sz val="12"/>
        <color theme="1"/>
        <rFont val="Calibri"/>
        <family val="2"/>
        <scheme val="minor"/>
      </rPr>
      <t xml:space="preserve"> / 392) × 60) - M</t>
    </r>
    <r>
      <rPr>
        <vertAlign val="subscript"/>
        <sz val="12"/>
        <color theme="1"/>
        <rFont val="Calibri"/>
        <family val="2"/>
        <scheme val="minor"/>
      </rPr>
      <t>voc,in</t>
    </r>
    <r>
      <rPr>
        <sz val="12"/>
        <color theme="1"/>
        <rFont val="Calibri"/>
        <family val="2"/>
        <scheme val="minor"/>
      </rPr>
      <t>] × C</t>
    </r>
    <r>
      <rPr>
        <vertAlign val="subscript"/>
        <sz val="12"/>
        <color theme="1"/>
        <rFont val="Calibri"/>
        <family val="2"/>
        <scheme val="minor"/>
      </rPr>
      <t>p,air</t>
    </r>
    <r>
      <rPr>
        <sz val="12"/>
        <color theme="1"/>
        <rFont val="Calibri"/>
        <family val="2"/>
        <scheme val="minor"/>
      </rPr>
      <t xml:space="preserve"> × (T</t>
    </r>
    <r>
      <rPr>
        <vertAlign val="subscript"/>
        <sz val="12"/>
        <color theme="1"/>
        <rFont val="Calibri"/>
        <family val="2"/>
        <scheme val="minor"/>
      </rPr>
      <t>in</t>
    </r>
    <r>
      <rPr>
        <sz val="12"/>
        <color theme="1"/>
        <rFont val="Calibri"/>
        <family val="2"/>
        <scheme val="minor"/>
      </rPr>
      <t xml:space="preserve"> - T</t>
    </r>
    <r>
      <rPr>
        <vertAlign val="subscript"/>
        <sz val="12"/>
        <color theme="1"/>
        <rFont val="Calibri"/>
        <family val="2"/>
        <scheme val="minor"/>
      </rPr>
      <t>con</t>
    </r>
    <r>
      <rPr>
        <sz val="12"/>
        <color theme="1"/>
        <rFont val="Calibri"/>
        <family val="2"/>
        <scheme val="minor"/>
      </rPr>
      <t>) =</t>
    </r>
  </si>
  <si>
    <r>
      <t>(T</t>
    </r>
    <r>
      <rPr>
        <vertAlign val="subscript"/>
        <sz val="12"/>
        <color theme="1"/>
        <rFont val="Calibri"/>
        <family val="2"/>
        <scheme val="minor"/>
      </rPr>
      <t>in</t>
    </r>
    <r>
      <rPr>
        <sz val="12"/>
        <color theme="1"/>
        <rFont val="Calibri"/>
        <family val="2"/>
        <scheme val="minor"/>
      </rPr>
      <t xml:space="preserve"> + T</t>
    </r>
    <r>
      <rPr>
        <vertAlign val="subscript"/>
        <sz val="12"/>
        <color theme="1"/>
        <rFont val="Calibri"/>
        <family val="2"/>
        <scheme val="minor"/>
      </rPr>
      <t>con</t>
    </r>
    <r>
      <rPr>
        <sz val="12"/>
        <color theme="1"/>
        <rFont val="Calibri"/>
        <family val="2"/>
        <scheme val="minor"/>
      </rPr>
      <t>) / 2 =</t>
    </r>
  </si>
  <si>
    <r>
      <t>ΔH</t>
    </r>
    <r>
      <rPr>
        <vertAlign val="subscript"/>
        <sz val="12"/>
        <color theme="1"/>
        <rFont val="Calibri"/>
        <family val="2"/>
      </rPr>
      <t>ref</t>
    </r>
    <r>
      <rPr>
        <sz val="12"/>
        <color theme="1"/>
        <rFont val="Calibri"/>
        <family val="2"/>
      </rPr>
      <t xml:space="preserve"> × [(1 - T</t>
    </r>
    <r>
      <rPr>
        <vertAlign val="subscript"/>
        <sz val="12"/>
        <color theme="1"/>
        <rFont val="Calibri"/>
        <family val="2"/>
      </rPr>
      <t>2</t>
    </r>
    <r>
      <rPr>
        <sz val="12"/>
        <color theme="1"/>
        <rFont val="Calibri"/>
        <family val="2"/>
      </rPr>
      <t xml:space="preserve"> / T</t>
    </r>
    <r>
      <rPr>
        <vertAlign val="subscript"/>
        <sz val="12"/>
        <color theme="1"/>
        <rFont val="Calibri"/>
        <family val="2"/>
      </rPr>
      <t>c</t>
    </r>
    <r>
      <rPr>
        <sz val="12"/>
        <color theme="1"/>
        <rFont val="Calibri"/>
        <family val="2"/>
      </rPr>
      <t>) / (1 - T</t>
    </r>
    <r>
      <rPr>
        <vertAlign val="subscript"/>
        <sz val="12"/>
        <color theme="1"/>
        <rFont val="Calibri"/>
        <family val="2"/>
      </rPr>
      <t>1</t>
    </r>
    <r>
      <rPr>
        <sz val="12"/>
        <color theme="1"/>
        <rFont val="Calibri"/>
        <family val="2"/>
      </rPr>
      <t xml:space="preserve"> / T</t>
    </r>
    <r>
      <rPr>
        <vertAlign val="subscript"/>
        <sz val="12"/>
        <color theme="1"/>
        <rFont val="Calibri"/>
        <family val="2"/>
      </rPr>
      <t>c</t>
    </r>
    <r>
      <rPr>
        <sz val="12"/>
        <color theme="1"/>
        <rFont val="Calibri"/>
        <family val="2"/>
      </rPr>
      <t>)]</t>
    </r>
    <r>
      <rPr>
        <vertAlign val="superscript"/>
        <sz val="12"/>
        <color theme="1"/>
        <rFont val="Calibri"/>
        <family val="2"/>
      </rPr>
      <t>0.38</t>
    </r>
    <r>
      <rPr>
        <sz val="12"/>
        <color theme="1"/>
        <rFont val="Calibri"/>
        <family val="2"/>
      </rPr>
      <t xml:space="preserve"> =</t>
    </r>
  </si>
  <si>
    <r>
      <t>(W</t>
    </r>
    <r>
      <rPr>
        <vertAlign val="subscript"/>
        <sz val="12"/>
        <color theme="1"/>
        <rFont val="Calibri"/>
        <family val="2"/>
        <scheme val="minor"/>
      </rPr>
      <t>voc</t>
    </r>
    <r>
      <rPr>
        <sz val="12"/>
        <color theme="1"/>
        <rFont val="Calibri"/>
        <family val="2"/>
        <scheme val="minor"/>
      </rPr>
      <t xml:space="preserve"> / </t>
    </r>
    <r>
      <rPr>
        <sz val="12"/>
        <color theme="1"/>
        <rFont val="Calibri"/>
        <family val="2"/>
      </rPr>
      <t>ρ</t>
    </r>
    <r>
      <rPr>
        <vertAlign val="subscript"/>
        <sz val="12"/>
        <color theme="1"/>
        <rFont val="Calibri"/>
        <family val="2"/>
      </rPr>
      <t>voc</t>
    </r>
    <r>
      <rPr>
        <sz val="12"/>
        <color theme="1"/>
        <rFont val="Calibri"/>
        <family val="2"/>
      </rPr>
      <t>) × Operating Hours Per Day =</t>
    </r>
  </si>
  <si>
    <r>
      <t>M</t>
    </r>
    <r>
      <rPr>
        <vertAlign val="subscript"/>
        <sz val="12"/>
        <rFont val="Calibri"/>
        <family val="2"/>
        <scheme val="minor"/>
      </rPr>
      <t>voc,in</t>
    </r>
    <r>
      <rPr>
        <sz val="12"/>
        <rFont val="Calibri"/>
        <family val="2"/>
        <scheme val="minor"/>
      </rPr>
      <t xml:space="preserve"> × (1 - η) =</t>
    </r>
  </si>
  <si>
    <r>
      <t>(Q</t>
    </r>
    <r>
      <rPr>
        <vertAlign val="subscript"/>
        <sz val="12"/>
        <rFont val="Calibri"/>
        <family val="2"/>
        <scheme val="minor"/>
      </rPr>
      <t>in</t>
    </r>
    <r>
      <rPr>
        <sz val="12"/>
        <rFont val="Calibri"/>
        <family val="2"/>
        <scheme val="minor"/>
      </rPr>
      <t xml:space="preserve"> / 392) × (Y</t>
    </r>
    <r>
      <rPr>
        <vertAlign val="subscript"/>
        <sz val="12"/>
        <rFont val="Calibri"/>
        <family val="2"/>
        <scheme val="minor"/>
      </rPr>
      <t>voc,in</t>
    </r>
    <r>
      <rPr>
        <sz val="12"/>
        <rFont val="Calibri"/>
        <family val="2"/>
        <scheme val="minor"/>
      </rPr>
      <t>) × 60 =</t>
    </r>
  </si>
  <si>
    <r>
      <t>760 × (M</t>
    </r>
    <r>
      <rPr>
        <vertAlign val="subscript"/>
        <sz val="12"/>
        <color theme="1"/>
        <rFont val="Calibri"/>
        <family val="2"/>
        <scheme val="minor"/>
      </rPr>
      <t>voc,out</t>
    </r>
    <r>
      <rPr>
        <sz val="12"/>
        <color theme="1"/>
        <rFont val="Calibri"/>
        <family val="2"/>
        <scheme val="minor"/>
      </rPr>
      <t xml:space="preserve"> / (M</t>
    </r>
    <r>
      <rPr>
        <vertAlign val="subscript"/>
        <sz val="12"/>
        <color theme="1"/>
        <rFont val="Calibri"/>
        <family val="2"/>
        <scheme val="minor"/>
      </rPr>
      <t>in</t>
    </r>
    <r>
      <rPr>
        <sz val="12"/>
        <color theme="1"/>
        <rFont val="Calibri"/>
        <family val="2"/>
        <scheme val="minor"/>
      </rPr>
      <t xml:space="preserve"> - M</t>
    </r>
    <r>
      <rPr>
        <vertAlign val="subscript"/>
        <sz val="12"/>
        <color theme="1"/>
        <rFont val="Calibri"/>
        <family val="2"/>
        <scheme val="minor"/>
      </rPr>
      <t>voc, recovered</t>
    </r>
    <r>
      <rPr>
        <sz val="12"/>
        <color theme="1"/>
        <rFont val="Calibri"/>
        <family val="2"/>
        <scheme val="minor"/>
      </rPr>
      <t>)) =</t>
    </r>
  </si>
  <si>
    <r>
      <t>((B / (A - log (P</t>
    </r>
    <r>
      <rPr>
        <vertAlign val="subscript"/>
        <sz val="12"/>
        <color theme="1"/>
        <rFont val="Calibri"/>
        <family val="2"/>
      </rPr>
      <t>voc</t>
    </r>
    <r>
      <rPr>
        <sz val="12"/>
        <color theme="1"/>
        <rFont val="Calibri"/>
        <family val="2"/>
        <scheme val="minor"/>
      </rPr>
      <t>))) - C) × 1.8 + 32 =</t>
    </r>
  </si>
  <si>
    <r>
      <t>760 × [Y</t>
    </r>
    <r>
      <rPr>
        <vertAlign val="subscript"/>
        <sz val="12"/>
        <rFont val="Calibri"/>
        <family val="2"/>
        <scheme val="minor"/>
      </rPr>
      <t>voc,in</t>
    </r>
    <r>
      <rPr>
        <sz val="12"/>
        <rFont val="Calibri"/>
        <family val="2"/>
        <scheme val="minor"/>
      </rPr>
      <t xml:space="preserve"> × (1 - </t>
    </r>
    <r>
      <rPr>
        <sz val="12"/>
        <rFont val="Calibri"/>
        <family val="2"/>
      </rPr>
      <t>η</t>
    </r>
    <r>
      <rPr>
        <sz val="12"/>
        <rFont val="Calibri"/>
        <family val="2"/>
        <scheme val="minor"/>
      </rPr>
      <t>)] / [1 - (</t>
    </r>
    <r>
      <rPr>
        <sz val="12"/>
        <rFont val="Calibri"/>
        <family val="2"/>
      </rPr>
      <t>η</t>
    </r>
    <r>
      <rPr>
        <sz val="12"/>
        <rFont val="Calibri"/>
        <family val="2"/>
        <scheme val="minor"/>
      </rPr>
      <t xml:space="preserve"> × Y</t>
    </r>
    <r>
      <rPr>
        <vertAlign val="subscript"/>
        <sz val="12"/>
        <rFont val="Calibri"/>
        <family val="2"/>
        <scheme val="minor"/>
      </rPr>
      <t>voc,in</t>
    </r>
    <r>
      <rPr>
        <sz val="12"/>
        <rFont val="Calibri"/>
        <family val="2"/>
        <scheme val="minor"/>
      </rPr>
      <t>)] =</t>
    </r>
  </si>
  <si>
    <r>
      <t>VOC volume Fraction of waste stream entering the condenser (Y</t>
    </r>
    <r>
      <rPr>
        <b/>
        <vertAlign val="subscript"/>
        <sz val="11"/>
        <color theme="0"/>
        <rFont val="Calibri"/>
        <family val="2"/>
      </rPr>
      <t>voc,in</t>
    </r>
    <r>
      <rPr>
        <b/>
        <sz val="11"/>
        <color theme="0"/>
        <rFont val="Calibri"/>
        <family val="2"/>
        <scheme val="minor"/>
      </rPr>
      <t xml:space="preserve">) </t>
    </r>
  </si>
  <si>
    <r>
      <t>Heat of Condensation (</t>
    </r>
    <r>
      <rPr>
        <b/>
        <sz val="11"/>
        <color theme="0"/>
        <rFont val="Calibri"/>
        <family val="2"/>
      </rPr>
      <t>ΔH</t>
    </r>
    <r>
      <rPr>
        <b/>
        <vertAlign val="subscript"/>
        <sz val="11"/>
        <color theme="0"/>
        <rFont val="Calibri"/>
        <family val="2"/>
      </rPr>
      <t>ref</t>
    </r>
    <r>
      <rPr>
        <b/>
        <sz val="11"/>
        <color theme="0"/>
        <rFont val="Calibri"/>
        <family val="2"/>
      </rPr>
      <t xml:space="preserve">) </t>
    </r>
  </si>
  <si>
    <r>
      <t>Mean Temperature (T</t>
    </r>
    <r>
      <rPr>
        <vertAlign val="subscript"/>
        <sz val="12"/>
        <color theme="1"/>
        <rFont val="Calibri"/>
        <family val="2"/>
        <scheme val="minor"/>
      </rPr>
      <t>mean</t>
    </r>
    <r>
      <rPr>
        <sz val="12"/>
        <color theme="1"/>
        <rFont val="Calibri"/>
        <family val="2"/>
        <scheme val="minor"/>
      </rPr>
      <t xml:space="preserve">) = </t>
    </r>
  </si>
  <si>
    <r>
      <t>Enthalpy change associated with the condensed VOC (</t>
    </r>
    <r>
      <rPr>
        <sz val="12"/>
        <color theme="1"/>
        <rFont val="Calibri"/>
        <family val="2"/>
      </rPr>
      <t>Δ</t>
    </r>
    <r>
      <rPr>
        <sz val="12"/>
        <color theme="1"/>
        <rFont val="Calibri"/>
        <family val="2"/>
        <scheme val="minor"/>
      </rPr>
      <t>H</t>
    </r>
    <r>
      <rPr>
        <vertAlign val="subscript"/>
        <sz val="12"/>
        <color theme="1"/>
        <rFont val="Calibri"/>
        <family val="2"/>
        <scheme val="minor"/>
      </rPr>
      <t>con</t>
    </r>
    <r>
      <rPr>
        <sz val="12"/>
        <color theme="1"/>
        <rFont val="Calibri"/>
        <family val="2"/>
        <scheme val="minor"/>
      </rPr>
      <t>) =</t>
    </r>
  </si>
  <si>
    <r>
      <t>Enthalpy change associated with the uncondensed VOC (</t>
    </r>
    <r>
      <rPr>
        <sz val="12"/>
        <color theme="1"/>
        <rFont val="Calibri"/>
        <family val="2"/>
      </rPr>
      <t>Δ</t>
    </r>
    <r>
      <rPr>
        <sz val="12"/>
        <color theme="1"/>
        <rFont val="Calibri"/>
        <family val="2"/>
        <scheme val="minor"/>
      </rPr>
      <t>H</t>
    </r>
    <r>
      <rPr>
        <vertAlign val="subscript"/>
        <sz val="12"/>
        <color theme="1"/>
        <rFont val="Calibri"/>
        <family val="2"/>
        <scheme val="minor"/>
      </rPr>
      <t>uncon</t>
    </r>
    <r>
      <rPr>
        <sz val="12"/>
        <color theme="1"/>
        <rFont val="Calibri"/>
        <family val="2"/>
        <scheme val="minor"/>
      </rPr>
      <t>) =</t>
    </r>
  </si>
  <si>
    <r>
      <t>Condenser Heat Load (H</t>
    </r>
    <r>
      <rPr>
        <vertAlign val="subscript"/>
        <sz val="12"/>
        <color theme="1"/>
        <rFont val="Calibri"/>
        <family val="2"/>
        <scheme val="minor"/>
      </rPr>
      <t>load</t>
    </r>
    <r>
      <rPr>
        <sz val="12"/>
        <color theme="1"/>
        <rFont val="Calibri"/>
        <family val="2"/>
        <scheme val="minor"/>
      </rPr>
      <t xml:space="preserve">) = </t>
    </r>
  </si>
  <si>
    <r>
      <t>Heat capacity of air (C</t>
    </r>
    <r>
      <rPr>
        <vertAlign val="subscript"/>
        <sz val="12"/>
        <color theme="1"/>
        <rFont val="Calibri"/>
        <family val="2"/>
      </rPr>
      <t>p, air</t>
    </r>
    <r>
      <rPr>
        <sz val="12"/>
        <color theme="1"/>
        <rFont val="Calibri"/>
        <family val="2"/>
        <scheme val="minor"/>
      </rPr>
      <t>) =</t>
    </r>
  </si>
  <si>
    <r>
      <t>Condensation Temperature (T</t>
    </r>
    <r>
      <rPr>
        <vertAlign val="subscript"/>
        <sz val="12"/>
        <color theme="1"/>
        <rFont val="Calibri"/>
        <family val="2"/>
      </rPr>
      <t>2</t>
    </r>
    <r>
      <rPr>
        <sz val="12"/>
        <color theme="1"/>
        <rFont val="Calibri"/>
        <family val="2"/>
        <scheme val="minor"/>
      </rPr>
      <t>) =</t>
    </r>
  </si>
  <si>
    <r>
      <t>Critical Temperature for VOC (T</t>
    </r>
    <r>
      <rPr>
        <vertAlign val="subscript"/>
        <sz val="12"/>
        <color theme="1"/>
        <rFont val="Calibri"/>
        <family val="2"/>
      </rPr>
      <t>c</t>
    </r>
    <r>
      <rPr>
        <sz val="12"/>
        <color theme="1"/>
        <rFont val="Calibri"/>
        <family val="2"/>
        <scheme val="minor"/>
      </rPr>
      <t>) =</t>
    </r>
  </si>
  <si>
    <r>
      <t>Temperature of coolant entering the condenser (T</t>
    </r>
    <r>
      <rPr>
        <vertAlign val="subscript"/>
        <sz val="12"/>
        <color theme="1"/>
        <rFont val="Calibri"/>
        <family val="2"/>
        <scheme val="minor"/>
      </rPr>
      <t>cool,in</t>
    </r>
    <r>
      <rPr>
        <sz val="12"/>
        <color theme="1"/>
        <rFont val="Calibri"/>
        <family val="2"/>
        <scheme val="minor"/>
      </rPr>
      <t>) =</t>
    </r>
  </si>
  <si>
    <r>
      <t>Temperature of coolant exiting the condenser (T</t>
    </r>
    <r>
      <rPr>
        <vertAlign val="subscript"/>
        <sz val="12"/>
        <color theme="1"/>
        <rFont val="Calibri"/>
        <family val="2"/>
        <scheme val="minor"/>
      </rPr>
      <t>cool,out</t>
    </r>
    <r>
      <rPr>
        <sz val="12"/>
        <color theme="1"/>
        <rFont val="Calibri"/>
        <family val="2"/>
        <scheme val="minor"/>
      </rPr>
      <t>) =</t>
    </r>
  </si>
  <si>
    <r>
      <t>Condenser Surface Area (A</t>
    </r>
    <r>
      <rPr>
        <vertAlign val="subscript"/>
        <sz val="12"/>
        <color theme="1"/>
        <rFont val="Calibri"/>
        <family val="2"/>
        <scheme val="minor"/>
      </rPr>
      <t>con</t>
    </r>
    <r>
      <rPr>
        <sz val="12"/>
        <color theme="1"/>
        <rFont val="Calibri"/>
        <family val="2"/>
        <scheme val="minor"/>
      </rPr>
      <t xml:space="preserve">) = </t>
    </r>
  </si>
  <si>
    <t>ft²</t>
  </si>
  <si>
    <r>
      <t>H</t>
    </r>
    <r>
      <rPr>
        <vertAlign val="subscript"/>
        <sz val="12"/>
        <color theme="1"/>
        <rFont val="Calibri"/>
        <family val="2"/>
        <scheme val="minor"/>
      </rPr>
      <t>load</t>
    </r>
    <r>
      <rPr>
        <sz val="12"/>
        <color theme="1"/>
        <rFont val="Calibri"/>
        <family val="2"/>
        <scheme val="minor"/>
      </rPr>
      <t xml:space="preserve"> / (C</t>
    </r>
    <r>
      <rPr>
        <vertAlign val="subscript"/>
        <sz val="12"/>
        <color theme="1"/>
        <rFont val="Calibri"/>
        <family val="2"/>
        <scheme val="minor"/>
      </rPr>
      <t>p,cool</t>
    </r>
    <r>
      <rPr>
        <sz val="12"/>
        <color theme="1"/>
        <rFont val="Calibri"/>
        <family val="2"/>
        <scheme val="minor"/>
      </rPr>
      <t xml:space="preserve"> × (T</t>
    </r>
    <r>
      <rPr>
        <vertAlign val="subscript"/>
        <sz val="12"/>
        <color theme="1"/>
        <rFont val="Calibri"/>
        <family val="2"/>
        <scheme val="minor"/>
      </rPr>
      <t>cool,out</t>
    </r>
    <r>
      <rPr>
        <sz val="12"/>
        <color theme="1"/>
        <rFont val="Calibri"/>
        <family val="2"/>
        <scheme val="minor"/>
      </rPr>
      <t xml:space="preserve"> - T</t>
    </r>
    <r>
      <rPr>
        <vertAlign val="subscript"/>
        <sz val="12"/>
        <color theme="1"/>
        <rFont val="Calibri"/>
        <family val="2"/>
        <scheme val="minor"/>
      </rPr>
      <t>cool,in</t>
    </r>
    <r>
      <rPr>
        <sz val="12"/>
        <color theme="1"/>
        <rFont val="Calibri"/>
        <family val="2"/>
        <scheme val="minor"/>
      </rPr>
      <t xml:space="preserve">)) = </t>
    </r>
  </si>
  <si>
    <r>
      <t>H</t>
    </r>
    <r>
      <rPr>
        <vertAlign val="subscript"/>
        <sz val="12"/>
        <color theme="1"/>
        <rFont val="Calibri"/>
        <family val="2"/>
        <scheme val="minor"/>
      </rPr>
      <t>load</t>
    </r>
    <r>
      <rPr>
        <sz val="12"/>
        <color theme="1"/>
        <rFont val="Calibri"/>
        <family val="2"/>
        <scheme val="minor"/>
      </rPr>
      <t xml:space="preserve"> / 12,000 Btu/ton =</t>
    </r>
  </si>
  <si>
    <r>
      <t>[i × (1 + i)</t>
    </r>
    <r>
      <rPr>
        <vertAlign val="superscript"/>
        <sz val="12"/>
        <color theme="1"/>
        <rFont val="Calibri"/>
        <family val="2"/>
        <scheme val="minor"/>
      </rPr>
      <t>n</t>
    </r>
    <r>
      <rPr>
        <sz val="12"/>
        <color theme="1"/>
        <rFont val="Calibri"/>
        <family val="2"/>
        <scheme val="minor"/>
      </rPr>
      <t>] / [(1 + i)</t>
    </r>
    <r>
      <rPr>
        <vertAlign val="superscript"/>
        <sz val="12"/>
        <color theme="1"/>
        <rFont val="Calibri"/>
        <family val="2"/>
        <scheme val="minor"/>
      </rPr>
      <t>n</t>
    </r>
    <r>
      <rPr>
        <sz val="12"/>
        <color theme="1"/>
        <rFont val="Calibri"/>
        <family val="2"/>
        <scheme val="minor"/>
      </rPr>
      <t xml:space="preserve"> - 1] =</t>
    </r>
  </si>
  <si>
    <t>Where n = Equipment Life and i = Interest Rate</t>
  </si>
  <si>
    <t>kW/ton</t>
  </si>
  <si>
    <r>
      <t>Coolant Flow Rate (W</t>
    </r>
    <r>
      <rPr>
        <vertAlign val="subscript"/>
        <sz val="12"/>
        <color theme="1"/>
        <rFont val="Calibri"/>
        <family val="2"/>
        <scheme val="minor"/>
      </rPr>
      <t>cool</t>
    </r>
    <r>
      <rPr>
        <sz val="12"/>
        <color theme="1"/>
        <rFont val="Calibri"/>
        <family val="2"/>
        <scheme val="minor"/>
      </rPr>
      <t>) =</t>
    </r>
  </si>
  <si>
    <r>
      <t>Moles of VOC in the inlet stream (M</t>
    </r>
    <r>
      <rPr>
        <vertAlign val="subscript"/>
        <sz val="11"/>
        <rFont val="Calibri"/>
        <family val="2"/>
        <scheme val="minor"/>
      </rPr>
      <t>voc,in</t>
    </r>
    <r>
      <rPr>
        <sz val="11"/>
        <rFont val="Calibri"/>
        <family val="2"/>
        <scheme val="minor"/>
      </rPr>
      <t xml:space="preserve">) = </t>
    </r>
  </si>
  <si>
    <r>
      <t>Moles of VOC in the outlet stream (M</t>
    </r>
    <r>
      <rPr>
        <vertAlign val="subscript"/>
        <sz val="11"/>
        <rFont val="Calibri"/>
        <family val="2"/>
        <scheme val="minor"/>
      </rPr>
      <t>voc,out</t>
    </r>
    <r>
      <rPr>
        <sz val="11"/>
        <rFont val="Calibri"/>
        <family val="2"/>
        <scheme val="minor"/>
      </rPr>
      <t xml:space="preserve">) = </t>
    </r>
  </si>
  <si>
    <r>
      <t>Moles of VOC Recovered (M</t>
    </r>
    <r>
      <rPr>
        <vertAlign val="subscript"/>
        <sz val="12"/>
        <color theme="1"/>
        <rFont val="Calibri"/>
        <family val="2"/>
        <scheme val="minor"/>
      </rPr>
      <t>voc, recovered</t>
    </r>
    <r>
      <rPr>
        <sz val="12"/>
        <color theme="1"/>
        <rFont val="Calibri"/>
        <family val="2"/>
        <scheme val="minor"/>
      </rPr>
      <t>) =</t>
    </r>
  </si>
  <si>
    <r>
      <t>Quantity of VOC Recovered (W</t>
    </r>
    <r>
      <rPr>
        <vertAlign val="subscript"/>
        <sz val="12"/>
        <color theme="1"/>
        <rFont val="Calibri"/>
        <family val="2"/>
        <scheme val="minor"/>
      </rPr>
      <t>voc</t>
    </r>
    <r>
      <rPr>
        <sz val="12"/>
        <color theme="1"/>
        <rFont val="Calibri"/>
        <family val="2"/>
        <scheme val="minor"/>
      </rPr>
      <t>) =</t>
    </r>
  </si>
  <si>
    <r>
      <t>Storage Tank Volume (V</t>
    </r>
    <r>
      <rPr>
        <vertAlign val="subscript"/>
        <sz val="12"/>
        <color theme="1"/>
        <rFont val="Calibri"/>
        <family val="2"/>
        <scheme val="minor"/>
      </rPr>
      <t>tank</t>
    </r>
    <r>
      <rPr>
        <sz val="12"/>
        <color theme="1"/>
        <rFont val="Calibri"/>
        <family val="2"/>
        <scheme val="minor"/>
      </rPr>
      <t>) =</t>
    </r>
  </si>
  <si>
    <r>
      <t>Condensation Temperature for Waste Stream  (T</t>
    </r>
    <r>
      <rPr>
        <vertAlign val="subscript"/>
        <sz val="12"/>
        <rFont val="Calibri"/>
        <family val="2"/>
        <scheme val="minor"/>
      </rPr>
      <t>con</t>
    </r>
    <r>
      <rPr>
        <sz val="12"/>
        <rFont val="Calibri"/>
        <family val="2"/>
        <scheme val="minor"/>
      </rPr>
      <t>) =</t>
    </r>
  </si>
  <si>
    <r>
      <t>2.7411 × exp(-0.015 × T</t>
    </r>
    <r>
      <rPr>
        <vertAlign val="subscript"/>
        <sz val="12"/>
        <color theme="1"/>
        <rFont val="Calibri"/>
        <family val="2"/>
        <scheme val="minor"/>
      </rPr>
      <t>con</t>
    </r>
    <r>
      <rPr>
        <sz val="12"/>
        <color theme="1"/>
        <rFont val="Calibri"/>
        <family val="2"/>
        <scheme val="minor"/>
      </rPr>
      <t xml:space="preserve">) = </t>
    </r>
  </si>
  <si>
    <r>
      <t>Purchase Costs for a Custom Condenser (EC</t>
    </r>
    <r>
      <rPr>
        <vertAlign val="subscript"/>
        <sz val="12"/>
        <rFont val="Calibri"/>
        <family val="2"/>
        <scheme val="minor"/>
      </rPr>
      <t>con</t>
    </r>
    <r>
      <rPr>
        <sz val="12"/>
        <rFont val="Calibri"/>
        <family val="2"/>
        <scheme val="minor"/>
      </rPr>
      <t>) =</t>
    </r>
  </si>
  <si>
    <r>
      <t>Purchase Costs for Storage Tanks for a Custom Condenser (EC</t>
    </r>
    <r>
      <rPr>
        <vertAlign val="subscript"/>
        <sz val="12"/>
        <color theme="1"/>
        <rFont val="Calibri"/>
        <family val="2"/>
        <scheme val="minor"/>
      </rPr>
      <t>tank</t>
    </r>
    <r>
      <rPr>
        <sz val="12"/>
        <color theme="1"/>
        <rFont val="Calibri"/>
        <family val="2"/>
        <scheme val="minor"/>
      </rPr>
      <t>) =</t>
    </r>
  </si>
  <si>
    <r>
      <t>Purchase Costs for Pre-Cooler for Custom Condenser (EC</t>
    </r>
    <r>
      <rPr>
        <vertAlign val="subscript"/>
        <sz val="12"/>
        <color theme="1"/>
        <rFont val="Calibri"/>
        <family val="2"/>
        <scheme val="minor"/>
      </rPr>
      <t>pre</t>
    </r>
    <r>
      <rPr>
        <sz val="12"/>
        <color theme="1"/>
        <rFont val="Calibri"/>
        <family val="2"/>
        <scheme val="minor"/>
      </rPr>
      <t>) =</t>
    </r>
  </si>
  <si>
    <t>0.10 × A =</t>
  </si>
  <si>
    <t>0.03 × A =</t>
  </si>
  <si>
    <t>0.05 × A =</t>
  </si>
  <si>
    <t>0.14 × B =</t>
  </si>
  <si>
    <t>0.08 × B =</t>
  </si>
  <si>
    <t>0.02 × B =</t>
  </si>
  <si>
    <t>0.10 × B =</t>
  </si>
  <si>
    <t>0.01 × B =</t>
  </si>
  <si>
    <t xml:space="preserve">Total Direct Costs (DC) =  B + (0.43 × B) + SP + Bldg = </t>
  </si>
  <si>
    <t>0.05 × B =</t>
  </si>
  <si>
    <t>Operator = 0.5 hours/shift × Labor Rate × (Operating hours/8 hours/shift)</t>
  </si>
  <si>
    <t>Labor = 0.5 hours/shift × Labor Rate × (Operating Hours/8 hours/shift)</t>
  </si>
  <si>
    <t>= CRF × TCI</t>
  </si>
  <si>
    <r>
      <t>= W</t>
    </r>
    <r>
      <rPr>
        <vertAlign val="subscript"/>
        <sz val="12"/>
        <rFont val="Calibri"/>
        <family val="2"/>
        <scheme val="minor"/>
      </rPr>
      <t>voc</t>
    </r>
    <r>
      <rPr>
        <sz val="12"/>
        <rFont val="Calibri"/>
        <family val="2"/>
        <scheme val="minor"/>
      </rPr>
      <t xml:space="preserve"> × Credit × </t>
    </r>
    <r>
      <rPr>
        <sz val="12"/>
        <rFont val="Calibri"/>
        <family val="2"/>
      </rPr>
      <t>Ɵ</t>
    </r>
    <r>
      <rPr>
        <vertAlign val="subscript"/>
        <sz val="12"/>
        <rFont val="Calibri"/>
        <family val="2"/>
      </rPr>
      <t>s</t>
    </r>
    <r>
      <rPr>
        <sz val="12"/>
        <rFont val="Calibri"/>
        <family val="2"/>
      </rPr>
      <t xml:space="preserve"> =</t>
    </r>
  </si>
  <si>
    <r>
      <t>W</t>
    </r>
    <r>
      <rPr>
        <vertAlign val="subscript"/>
        <sz val="12"/>
        <color theme="1"/>
        <rFont val="Calibri"/>
        <family val="2"/>
        <scheme val="minor"/>
      </rPr>
      <t>voc</t>
    </r>
    <r>
      <rPr>
        <sz val="12"/>
        <color theme="1"/>
        <rFont val="Calibri"/>
        <family val="2"/>
        <scheme val="minor"/>
      </rPr>
      <t xml:space="preserve"> =</t>
    </r>
  </si>
  <si>
    <r>
      <t>EC</t>
    </r>
    <r>
      <rPr>
        <vertAlign val="subscript"/>
        <sz val="12"/>
        <color theme="1"/>
        <rFont val="Calibri"/>
        <family val="2"/>
      </rPr>
      <t>r</t>
    </r>
    <r>
      <rPr>
        <sz val="12"/>
        <color theme="1"/>
        <rFont val="Calibri"/>
        <family val="2"/>
        <scheme val="minor"/>
      </rPr>
      <t xml:space="preserve"> + EC</t>
    </r>
    <r>
      <rPr>
        <vertAlign val="subscript"/>
        <sz val="12"/>
        <color theme="1"/>
        <rFont val="Calibri"/>
        <family val="2"/>
        <scheme val="minor"/>
      </rPr>
      <t>con</t>
    </r>
    <r>
      <rPr>
        <sz val="12"/>
        <color theme="1"/>
        <rFont val="Calibri"/>
        <family val="2"/>
        <scheme val="minor"/>
      </rPr>
      <t xml:space="preserve"> + EC</t>
    </r>
    <r>
      <rPr>
        <vertAlign val="subscript"/>
        <sz val="12"/>
        <color theme="1"/>
        <rFont val="Calibri"/>
        <family val="2"/>
        <scheme val="minor"/>
      </rPr>
      <t>tank</t>
    </r>
    <r>
      <rPr>
        <sz val="12"/>
        <color theme="1"/>
        <rFont val="Calibri"/>
        <family val="2"/>
        <scheme val="minor"/>
      </rPr>
      <t xml:space="preserve"> +EC</t>
    </r>
    <r>
      <rPr>
        <vertAlign val="subscript"/>
        <sz val="12"/>
        <color theme="1"/>
        <rFont val="Calibri"/>
        <family val="2"/>
        <scheme val="minor"/>
      </rPr>
      <t>pre</t>
    </r>
    <r>
      <rPr>
        <sz val="12"/>
        <color theme="1"/>
        <rFont val="Calibri"/>
        <family val="2"/>
        <scheme val="minor"/>
      </rPr>
      <t xml:space="preserve"> + EC</t>
    </r>
    <r>
      <rPr>
        <vertAlign val="subscript"/>
        <sz val="12"/>
        <color theme="1"/>
        <rFont val="Calibri"/>
        <family val="2"/>
        <scheme val="minor"/>
      </rPr>
      <t>aux</t>
    </r>
    <r>
      <rPr>
        <sz val="12"/>
        <color theme="1"/>
        <rFont val="Calibri"/>
        <family val="2"/>
        <scheme val="minor"/>
      </rPr>
      <t xml:space="preserve"> =</t>
    </r>
  </si>
  <si>
    <r>
      <t xml:space="preserve">(R / </t>
    </r>
    <r>
      <rPr>
        <sz val="12"/>
        <color theme="1"/>
        <rFont val="Calibri"/>
        <family val="2"/>
      </rPr>
      <t>η</t>
    </r>
    <r>
      <rPr>
        <vertAlign val="subscript"/>
        <sz val="12"/>
        <color theme="1"/>
        <rFont val="Calibri"/>
        <family val="2"/>
      </rPr>
      <t>Comp</t>
    </r>
    <r>
      <rPr>
        <sz val="12"/>
        <color theme="1"/>
        <rFont val="Calibri"/>
        <family val="2"/>
        <scheme val="minor"/>
      </rPr>
      <t xml:space="preserve">) × E × </t>
    </r>
    <r>
      <rPr>
        <sz val="12"/>
        <color theme="1"/>
        <rFont val="Calibri"/>
        <family val="2"/>
      </rPr>
      <t>Ɵ</t>
    </r>
    <r>
      <rPr>
        <vertAlign val="subscript"/>
        <sz val="12"/>
        <color theme="1"/>
        <rFont val="Calibri"/>
        <family val="2"/>
      </rPr>
      <t>s</t>
    </r>
    <r>
      <rPr>
        <sz val="12"/>
        <color theme="1"/>
        <rFont val="Calibri"/>
        <family val="2"/>
        <scheme val="minor"/>
      </rPr>
      <t xml:space="preserve">  × p</t>
    </r>
    <r>
      <rPr>
        <vertAlign val="subscript"/>
        <sz val="12"/>
        <color theme="1"/>
        <rFont val="Calibri"/>
        <family val="2"/>
        <scheme val="minor"/>
      </rPr>
      <t>e</t>
    </r>
    <r>
      <rPr>
        <sz val="12"/>
        <color theme="1"/>
        <rFont val="Calibri"/>
        <family val="2"/>
        <scheme val="minor"/>
      </rPr>
      <t xml:space="preserve"> =</t>
    </r>
  </si>
  <si>
    <t>0.25 × ECr =</t>
  </si>
  <si>
    <t>Not applicable</t>
  </si>
  <si>
    <t>Annual Quantity of VOC Removed/Recovered =</t>
  </si>
  <si>
    <t>Total Annual Cost/Annual Quantity of VOC Removed/Recovered =</t>
  </si>
  <si>
    <t>IF value is 1, then ECR equation is applicable</t>
  </si>
  <si>
    <r>
      <rPr>
        <b/>
        <u/>
        <sz val="12"/>
        <color theme="8" tint="-0.499984740745262"/>
        <rFont val="Calibri"/>
        <family val="2"/>
        <scheme val="minor"/>
      </rPr>
      <t>Step 2</t>
    </r>
    <r>
      <rPr>
        <b/>
        <sz val="12"/>
        <color theme="8" tint="-0.499984740745262"/>
        <rFont val="Calibri"/>
        <family val="2"/>
        <scheme val="minor"/>
      </rPr>
      <t xml:space="preserve">: </t>
    </r>
    <r>
      <rPr>
        <sz val="12"/>
        <color theme="8" tint="-0.499984740745262"/>
        <rFont val="Calibri"/>
        <family val="2"/>
        <scheme val="minor"/>
      </rPr>
      <t xml:space="preserve"> Use the drop down menu on the </t>
    </r>
    <r>
      <rPr>
        <b/>
        <i/>
        <sz val="12"/>
        <color theme="8" tint="-0.499984740745262"/>
        <rFont val="Calibri"/>
        <family val="2"/>
        <scheme val="minor"/>
      </rPr>
      <t xml:space="preserve">Data Inputs </t>
    </r>
    <r>
      <rPr>
        <sz val="12"/>
        <color theme="8" tint="-0.499984740745262"/>
        <rFont val="Calibri"/>
        <family val="2"/>
        <scheme val="minor"/>
      </rPr>
      <t xml:space="preserve">tab to select the condenser type from the drop-down list: packaged condenser, custom condenser, or gasoline vapor recovery system. </t>
    </r>
  </si>
  <si>
    <t xml:space="preserve">This spreadsheet allows users to estimate the capital and annualized costs for installing and operating refrigerated surface condensers used to control emissions of volatile organic compounds (VOCs) and hazardous air pollutants (HAP) from industrial waste gas streams. Refrigerated condensers lower the temperature of the waste stream to the temperature at which the volatile components of a vapor mixture change from the gas to liquid phase. The basic equipment required for a refrigerated condenser system includes a condenser, a single or multi-stage refrigeration unit, and auxiliary equipment, such as pre-coolers, storage tanks for recovered condensate, blowers and piping. Pre-coolers are used where the waste stream contains a water vapor or a VOC that has a high freezing point. Refrigerated condensers are typically used to control waste streams with VOC concentrations above 5,000 ppmv. The condensate can be collected for reuse or sale. </t>
  </si>
  <si>
    <t>lb./mole</t>
  </si>
  <si>
    <t>lb./gallon</t>
  </si>
  <si>
    <t>Btu/lb.-mole-°F</t>
  </si>
  <si>
    <t>Btu/lb.-mole</t>
  </si>
  <si>
    <t>Value of Recovered VOC ($/lb.)</t>
  </si>
  <si>
    <r>
      <t>Reference Temperature for Heat of Condensation (T</t>
    </r>
    <r>
      <rPr>
        <vertAlign val="subscript"/>
        <sz val="12"/>
        <color theme="1"/>
        <rFont val="Calibri"/>
        <family val="2"/>
      </rPr>
      <t>1</t>
    </r>
    <r>
      <rPr>
        <sz val="12"/>
        <color theme="1"/>
        <rFont val="Calibri"/>
        <family val="2"/>
        <scheme val="minor"/>
      </rPr>
      <t xml:space="preserve">) = </t>
    </r>
  </si>
  <si>
    <t>Btu/lb.-mole-°F @ 77 °F and 1 atm.</t>
  </si>
  <si>
    <t>Enthalpy change associated with the non-condensable air (ΔHnoncon) =</t>
  </si>
  <si>
    <t>lb./hour</t>
  </si>
  <si>
    <t>(Btu/lb.-mole-°F)</t>
  </si>
  <si>
    <t>(Btu/lb.-mole)</t>
  </si>
  <si>
    <t>lb.-moles/hour</t>
  </si>
  <si>
    <t>lb./operating hour</t>
  </si>
  <si>
    <t>Estimated Storage Tank Capacity for Custom Condenser Systems:</t>
  </si>
  <si>
    <t xml:space="preserve">Temperature </t>
  </si>
  <si>
    <t>Handling and Erection =</t>
  </si>
  <si>
    <r>
      <t>Number of operating hours per year and per day (</t>
    </r>
    <r>
      <rPr>
        <sz val="12"/>
        <color theme="1"/>
        <rFont val="Calibri"/>
        <family val="2"/>
      </rPr>
      <t>Ɵ</t>
    </r>
    <r>
      <rPr>
        <vertAlign val="subscript"/>
        <sz val="12"/>
        <color theme="1"/>
        <rFont val="Calibri"/>
        <family val="2"/>
      </rPr>
      <t>s</t>
    </r>
    <r>
      <rPr>
        <sz val="12"/>
        <color theme="1"/>
        <rFont val="Calibri"/>
        <family val="2"/>
      </rPr>
      <t>)</t>
    </r>
  </si>
  <si>
    <t>Table A: Physical Properties for Selected Compounds</t>
  </si>
  <si>
    <t>Compound</t>
  </si>
  <si>
    <t>Boiling Point (°F)</t>
  </si>
  <si>
    <t>Molecular Weight</t>
  </si>
  <si>
    <t>(lb/lb-mole)</t>
  </si>
  <si>
    <t>(Btu/lb-mole-°F)</t>
  </si>
  <si>
    <t>State</t>
  </si>
  <si>
    <t>Liquid</t>
  </si>
  <si>
    <t>Gas</t>
  </si>
  <si>
    <t>Acetylene</t>
  </si>
  <si>
    <t>Acrylonitrile</t>
  </si>
  <si>
    <t>Aniline</t>
  </si>
  <si>
    <t>Benzene</t>
  </si>
  <si>
    <t>Benzonitrile</t>
  </si>
  <si>
    <t>Butane</t>
  </si>
  <si>
    <t>Chloroethane</t>
  </si>
  <si>
    <t>Chloroform</t>
  </si>
  <si>
    <t>Chloromethane</t>
  </si>
  <si>
    <t>Cyclobutane</t>
  </si>
  <si>
    <t>Cyclohexane</t>
  </si>
  <si>
    <t>Cyclopentane</t>
  </si>
  <si>
    <t>Cyclopropane</t>
  </si>
  <si>
    <t>Diethyl ether</t>
  </si>
  <si>
    <t>Dimethylamine</t>
  </si>
  <si>
    <t>Ethylbenzene</t>
  </si>
  <si>
    <t>Ethylene oxide</t>
  </si>
  <si>
    <t>Heptane</t>
  </si>
  <si>
    <t>Hexane</t>
  </si>
  <si>
    <t>Methanol</t>
  </si>
  <si>
    <t>Octane</t>
  </si>
  <si>
    <t>Pentane</t>
  </si>
  <si>
    <t>Toluene</t>
  </si>
  <si>
    <r>
      <t xml:space="preserve"> a</t>
    </r>
    <r>
      <rPr>
        <sz val="12"/>
        <color theme="1"/>
        <rFont val="Times New Roman"/>
        <family val="1"/>
      </rPr>
      <t xml:space="preserve"> Reprinted with permission from the 16th edition of </t>
    </r>
    <r>
      <rPr>
        <i/>
        <sz val="12"/>
        <color theme="1"/>
        <rFont val="Times New Roman"/>
        <family val="1"/>
      </rPr>
      <t>Lange's Handbook of Chemistry</t>
    </r>
    <r>
      <rPr>
        <sz val="12"/>
        <color theme="1"/>
        <rFont val="Times New Roman"/>
        <family val="1"/>
      </rPr>
      <t>, Table 2.55 (Speight, 2005).</t>
    </r>
  </si>
  <si>
    <t>Antoine Equation Constants</t>
  </si>
  <si>
    <t>-202 to -117</t>
  </si>
  <si>
    <t>-116 to -98</t>
  </si>
  <si>
    <t>-4 to 284</t>
  </si>
  <si>
    <t>216 to 365</t>
  </si>
  <si>
    <t>10 to 37</t>
  </si>
  <si>
    <t>46 to 217</t>
  </si>
  <si>
    <t>-107 to 66</t>
  </si>
  <si>
    <t>-69 to 54</t>
  </si>
  <si>
    <t>Chloroethylene</t>
  </si>
  <si>
    <t>-85 to 9</t>
  </si>
  <si>
    <t>-31 to 142</t>
  </si>
  <si>
    <t>-103 to 23</t>
  </si>
  <si>
    <t>Cyanic acid</t>
  </si>
  <si>
    <t>-105 to 21</t>
  </si>
  <si>
    <t>-76 to 54</t>
  </si>
  <si>
    <t>68 to 178</t>
  </si>
  <si>
    <t>-40 to 162</t>
  </si>
  <si>
    <t>-130 to -26</t>
  </si>
  <si>
    <t>-78 to 68</t>
  </si>
  <si>
    <t>Diethylamine</t>
  </si>
  <si>
    <t>88 to 142</t>
  </si>
  <si>
    <t>-98 to 44</t>
  </si>
  <si>
    <t>1,4-Dioxane</t>
  </si>
  <si>
    <t>68 to 221</t>
  </si>
  <si>
    <t>79 to 327</t>
  </si>
  <si>
    <t>-56 to 54</t>
  </si>
  <si>
    <t>28 to 255</t>
  </si>
  <si>
    <t>-13 to 198</t>
  </si>
  <si>
    <t>7 to 149</t>
  </si>
  <si>
    <t>147 to 230</t>
  </si>
  <si>
    <t>66 to 306</t>
  </si>
  <si>
    <t>-58 to 136</t>
  </si>
  <si>
    <t>43 to 279</t>
  </si>
  <si>
    <t>Vinyl acetate</t>
  </si>
  <si>
    <t>72 to 162</t>
  </si>
  <si>
    <t>90 to 342</t>
  </si>
  <si>
    <t>82 to 331</t>
  </si>
  <si>
    <t>81 to 331</t>
  </si>
  <si>
    <t xml:space="preserve">                     </t>
  </si>
  <si>
    <r>
      <t>Valid Temperature Range (</t>
    </r>
    <r>
      <rPr>
        <b/>
        <sz val="12"/>
        <color rgb="FF000000"/>
        <rFont val="Tahoma"/>
        <family val="2"/>
      </rPr>
      <t>°</t>
    </r>
    <r>
      <rPr>
        <b/>
        <sz val="12"/>
        <color rgb="FF000000"/>
        <rFont val="Arial"/>
        <family val="2"/>
      </rPr>
      <t>F)</t>
    </r>
  </si>
  <si>
    <r>
      <t>n</t>
    </r>
    <r>
      <rPr>
        <sz val="12"/>
        <color rgb="FF292425"/>
        <rFont val="Arial"/>
        <family val="2"/>
      </rPr>
      <t>-Butane</t>
    </r>
  </si>
  <si>
    <r>
      <t>o</t>
    </r>
    <r>
      <rPr>
        <sz val="12"/>
        <color rgb="FF292425"/>
        <rFont val="Arial"/>
        <family val="2"/>
      </rPr>
      <t>-Xylene</t>
    </r>
  </si>
  <si>
    <r>
      <t>m</t>
    </r>
    <r>
      <rPr>
        <sz val="12"/>
        <color rgb="FF292425"/>
        <rFont val="Arial"/>
        <family val="2"/>
      </rPr>
      <t>-Xylene</t>
    </r>
  </si>
  <si>
    <r>
      <t>p</t>
    </r>
    <r>
      <rPr>
        <sz val="12"/>
        <color rgb="FF292425"/>
        <rFont val="Arial"/>
        <family val="2"/>
      </rPr>
      <t>-Xylene</t>
    </r>
  </si>
  <si>
    <r>
      <t xml:space="preserve">a Reprinted with permission from the 16th edition of </t>
    </r>
    <r>
      <rPr>
        <i/>
        <sz val="12"/>
        <color theme="1"/>
        <rFont val="Times New Roman"/>
        <family val="1"/>
      </rPr>
      <t>Lange's Handbook of Chemistry</t>
    </r>
    <r>
      <rPr>
        <sz val="12"/>
        <color theme="1"/>
        <rFont val="Times New Roman"/>
        <family val="1"/>
      </rPr>
      <t>, Table 2.36 (Speight, 2005).</t>
    </r>
  </si>
  <si>
    <r>
      <t>Critical Temp.</t>
    </r>
    <r>
      <rPr>
        <b/>
        <vertAlign val="superscript"/>
        <sz val="12"/>
        <color rgb="FF000000"/>
        <rFont val="Arial"/>
        <family val="2"/>
      </rPr>
      <t>a</t>
    </r>
    <r>
      <rPr>
        <b/>
        <sz val="12"/>
        <color rgb="FF000000"/>
        <rFont val="Arial"/>
        <family val="2"/>
      </rPr>
      <t xml:space="preserve"> (°R)</t>
    </r>
  </si>
  <si>
    <r>
      <t>Heat of Condensation</t>
    </r>
    <r>
      <rPr>
        <b/>
        <vertAlign val="superscript"/>
        <sz val="12"/>
        <color rgb="FF000000"/>
        <rFont val="Arial"/>
        <family val="2"/>
      </rPr>
      <t>b</t>
    </r>
    <r>
      <rPr>
        <b/>
        <sz val="12"/>
        <color rgb="FF000000"/>
        <rFont val="Arial"/>
        <family val="2"/>
      </rPr>
      <t xml:space="preserve"> (Btu/lb-mole)</t>
    </r>
  </si>
  <si>
    <r>
      <t>Heat Capacity</t>
    </r>
    <r>
      <rPr>
        <b/>
        <vertAlign val="superscript"/>
        <sz val="12"/>
        <color rgb="FF000000"/>
        <rFont val="Arial"/>
        <family val="2"/>
      </rPr>
      <t>c</t>
    </r>
  </si>
  <si>
    <r>
      <t xml:space="preserve">375 </t>
    </r>
    <r>
      <rPr>
        <vertAlign val="superscript"/>
        <sz val="12"/>
        <color rgb="FF292425"/>
        <rFont val="Arial"/>
        <family val="2"/>
      </rPr>
      <t>d</t>
    </r>
  </si>
  <si>
    <r>
      <t xml:space="preserve">30.69 </t>
    </r>
    <r>
      <rPr>
        <vertAlign val="superscript"/>
        <sz val="12"/>
        <color rgb="FF292425"/>
        <rFont val="Arial"/>
        <family val="2"/>
      </rPr>
      <t>d</t>
    </r>
  </si>
  <si>
    <r>
      <t xml:space="preserve">845 </t>
    </r>
    <r>
      <rPr>
        <vertAlign val="superscript"/>
        <sz val="12"/>
        <color rgb="FF292425"/>
        <rFont val="Arial"/>
        <family val="2"/>
      </rPr>
      <t>d</t>
    </r>
  </si>
  <si>
    <r>
      <t xml:space="preserve">o </t>
    </r>
    <r>
      <rPr>
        <sz val="12"/>
        <color rgb="FF292425"/>
        <rFont val="Arial"/>
        <family val="2"/>
      </rPr>
      <t>- Xylene</t>
    </r>
  </si>
  <si>
    <r>
      <t xml:space="preserve">m </t>
    </r>
    <r>
      <rPr>
        <sz val="12"/>
        <color rgb="FF292425"/>
        <rFont val="Arial"/>
        <family val="2"/>
      </rPr>
      <t>- Xylene</t>
    </r>
  </si>
  <si>
    <r>
      <t xml:space="preserve">p </t>
    </r>
    <r>
      <rPr>
        <sz val="12"/>
        <color rgb="FF292425"/>
        <rFont val="Arial"/>
        <family val="2"/>
      </rPr>
      <t>- Xylene</t>
    </r>
  </si>
  <si>
    <r>
      <t>b</t>
    </r>
    <r>
      <rPr>
        <sz val="12"/>
        <color rgb="FF000000"/>
        <rFont val="Times New Roman"/>
        <family val="1"/>
      </rPr>
      <t xml:space="preserve"> Reprinted with permission from the 16th edition of </t>
    </r>
    <r>
      <rPr>
        <i/>
        <sz val="12"/>
        <color rgb="FF000000"/>
        <rFont val="Times New Roman"/>
        <family val="1"/>
      </rPr>
      <t>Lange's Handbook of Chemistry</t>
    </r>
    <r>
      <rPr>
        <sz val="12"/>
        <color rgb="FF000000"/>
        <rFont val="Times New Roman"/>
        <family val="1"/>
      </rPr>
      <t>, Table 2.54 (Speight, 2005). (Measured at boiling point).</t>
    </r>
  </si>
  <si>
    <r>
      <t>c</t>
    </r>
    <r>
      <rPr>
        <sz val="12"/>
        <color rgb="FF000000"/>
        <rFont val="Times New Roman"/>
        <family val="1"/>
      </rPr>
      <t xml:space="preserve"> Reprinted with permission from the 16th edition of </t>
    </r>
    <r>
      <rPr>
        <i/>
        <sz val="12"/>
        <color rgb="FF000000"/>
        <rFont val="Times New Roman"/>
        <family val="1"/>
      </rPr>
      <t>Lange's Handbook of Chemistry</t>
    </r>
    <r>
      <rPr>
        <sz val="12"/>
        <color rgb="FF000000"/>
        <rFont val="Times New Roman"/>
        <family val="1"/>
      </rPr>
      <t>, Table 2.53 (Speight, 2005). (Measured at 77 °F).</t>
    </r>
  </si>
  <si>
    <r>
      <t>d</t>
    </r>
    <r>
      <rPr>
        <sz val="12"/>
        <color rgb="FF000000"/>
        <rFont val="Times New Roman"/>
        <family val="1"/>
      </rPr>
      <t xml:space="preserve"> These values are taken from the 14th edition of </t>
    </r>
    <r>
      <rPr>
        <i/>
        <sz val="12"/>
        <color rgb="FF000000"/>
        <rFont val="Times New Roman"/>
        <family val="1"/>
      </rPr>
      <t>Lange's Handbook of Chemistry</t>
    </r>
    <r>
      <rPr>
        <sz val="12"/>
        <color rgb="FF000000"/>
        <rFont val="Times New Roman"/>
        <family val="1"/>
      </rPr>
      <t xml:space="preserve"> (Dean, 1992).</t>
    </r>
  </si>
  <si>
    <r>
      <t>Table B: Antoine Equation Constants for Selected Compounds</t>
    </r>
    <r>
      <rPr>
        <b/>
        <vertAlign val="superscript"/>
        <sz val="18"/>
        <color theme="0" tint="-4.9989318521683403E-2"/>
        <rFont val="Times New Roman"/>
        <family val="1"/>
      </rPr>
      <t>a</t>
    </r>
  </si>
  <si>
    <t>Note:</t>
  </si>
  <si>
    <t xml:space="preserve">Values for several common compounds are included on the Table A (Physical Properties) and Table B (Antoine Constants) tabs. </t>
  </si>
  <si>
    <r>
      <rPr>
        <b/>
        <u/>
        <sz val="12"/>
        <color theme="8" tint="-0.499984740745262"/>
        <rFont val="Calibri"/>
        <family val="2"/>
        <scheme val="minor"/>
      </rPr>
      <t>Step 1</t>
    </r>
    <r>
      <rPr>
        <b/>
        <sz val="12"/>
        <color theme="8" tint="-0.499984740745262"/>
        <rFont val="Calibri"/>
        <family val="2"/>
        <scheme val="minor"/>
      </rPr>
      <t xml:space="preserve">: </t>
    </r>
    <r>
      <rPr>
        <sz val="12"/>
        <color theme="8" tint="-0.499984740745262"/>
        <rFont val="Calibri"/>
        <family val="2"/>
        <scheme val="minor"/>
      </rPr>
      <t xml:space="preserve">Please select the </t>
    </r>
    <r>
      <rPr>
        <b/>
        <i/>
        <sz val="12"/>
        <color theme="8" tint="-0.499984740745262"/>
        <rFont val="Calibri"/>
        <family val="2"/>
        <scheme val="minor"/>
      </rPr>
      <t>Data Inputs</t>
    </r>
    <r>
      <rPr>
        <sz val="12"/>
        <color theme="8" tint="-0.499984740745262"/>
        <rFont val="Calibri"/>
        <family val="2"/>
        <scheme val="minor"/>
      </rPr>
      <t xml:space="preserve"> tab and click on the </t>
    </r>
    <r>
      <rPr>
        <b/>
        <i/>
        <sz val="12"/>
        <color theme="8" tint="-0.499984740745262"/>
        <rFont val="Calibri"/>
        <family val="2"/>
        <scheme val="minor"/>
      </rPr>
      <t>Reset Form</t>
    </r>
    <r>
      <rPr>
        <sz val="12"/>
        <color theme="8" tint="-0.499984740745262"/>
        <rFont val="Calibri"/>
        <family val="2"/>
        <scheme val="minor"/>
      </rPr>
      <t xml:space="preserve"> button. This will reset the values on the Data Inputs tab.  </t>
    </r>
    <r>
      <rPr>
        <sz val="12"/>
        <color rgb="FFFF0000"/>
        <rFont val="Calibri"/>
        <family val="2"/>
        <scheme val="minor"/>
      </rPr>
      <t/>
    </r>
  </si>
  <si>
    <t>Enter the Characteristics of the VOC/HAP:</t>
  </si>
  <si>
    <t>Name of VOC/HAP</t>
  </si>
  <si>
    <r>
      <t xml:space="preserve">Use payroll data, if available, or check current edition of the  Bureau of Labor </t>
    </r>
    <r>
      <rPr>
        <sz val="11"/>
        <color rgb="FFFF0000"/>
        <rFont val="Calibri"/>
        <family val="2"/>
        <scheme val="minor"/>
      </rPr>
      <t>Statistic</t>
    </r>
    <r>
      <rPr>
        <sz val="11"/>
        <color theme="8" tint="-0.249977111117893"/>
        <rFont val="Calibri"/>
        <family val="2"/>
        <scheme val="minor"/>
      </rPr>
      <t xml:space="preserve">'s labor costs reports available from </t>
    </r>
  </si>
  <si>
    <t>Bureau of Labor Statistics, May 2016 National Occupational Employment and Wage Estimates – United States, May 2016 (https://www.bls.gov/oes/current/oes_nat.htm). Hourly rates for operators based on data for plant and System Operators – other (51-8099).</t>
  </si>
  <si>
    <t>Bureau of Labor Statistics, May 2015 National Occupational Employment and Wage Estimates – United States, May 2016 (https://www.bls.gov/oes/current/oes_nat.htm). Hourly rates for maintenance workers based on electrical and electronics commercial and industrial equipment repairers (49-2094).</t>
  </si>
  <si>
    <t>Average annual electricity cost for industrial plants is based on 2016 price data compiled by the U.S. Energy Information Administration from data reported on Form EIA-861 and 861S, (http://www.eia.gov/electricity/data.cfm#sales).  </t>
  </si>
  <si>
    <t>* CEPCI is the Chemical Engineering Plant Cost Index. The use of CEPCI in this spreadsheet is not an endorsement of the index for purpose of cost escalation or de-escalation, but is there merely to allow for availability of a well-known cost index to spreadsheet users. Use of other well-known cost indexes (e.g., M&amp;S) is acceptable.</t>
  </si>
  <si>
    <t>per lb</t>
  </si>
  <si>
    <t xml:space="preserve">The calculation methodologies used in this spreadsheet are those presented in the U.S. EPA's Air Pollution Control Cost Manual.  This spreadsheet is intended to be used in combination with the Control Cost Manual. For a detailed description of the technology and cost methodology, see Section 3.1 (VOC Recapture Controls), Chapter 2 (Refrigerated Condensers) of the Air Pollution Control Cost Manual (as updated in 2017). Additional control technologies may be necessary for some industrial waste gas streams.  Costs for additional control technologies can be estimated using the methods provided in other chapters of the cost manual.  A copy of the Control Cost Manual is available on the U.S. EPA's "Technology Transfer Network" website at: https://www.epa.gov/economic-and-cost-analysis-air-pollution-regulations/cost-reports-and-guidance-air-pollution.  </t>
  </si>
  <si>
    <t xml:space="preserve">The spreadsheet can be used to estimate capital and annualized costs for refrigerated surface condensers only. The methodology assumes a two-component mixture of VOC and air, where the emission stream is free of moisture. The methodology is designed to provide study-level cost estimates.  Actual costs, particularly those for installation, can deviate significantly from the costs generated using this spreadsheet due to site conditions. Units of measures in this spreadsheet are English.  </t>
  </si>
  <si>
    <r>
      <rPr>
        <b/>
        <u/>
        <sz val="12"/>
        <color theme="8" tint="-0.499984740745262"/>
        <rFont val="Calibri"/>
        <family val="2"/>
        <scheme val="minor"/>
      </rPr>
      <t>Step 3</t>
    </r>
    <r>
      <rPr>
        <b/>
        <sz val="12"/>
        <color theme="8" tint="-0.499984740745262"/>
        <rFont val="Calibri"/>
        <family val="2"/>
        <scheme val="minor"/>
      </rPr>
      <t xml:space="preserve">:  </t>
    </r>
    <r>
      <rPr>
        <sz val="12"/>
        <color theme="8" tint="-0.499984740745262"/>
        <rFont val="Calibri"/>
        <family val="2"/>
        <scheme val="minor"/>
      </rPr>
      <t xml:space="preserve">Complete all of the yellow data entry cells on the </t>
    </r>
    <r>
      <rPr>
        <b/>
        <i/>
        <sz val="12"/>
        <color theme="8" tint="-0.499984740745262"/>
        <rFont val="Calibri"/>
        <family val="2"/>
        <scheme val="minor"/>
      </rPr>
      <t>Data Inputs</t>
    </r>
    <r>
      <rPr>
        <sz val="12"/>
        <color theme="8" tint="-0.499984740745262"/>
        <rFont val="Calibri"/>
        <family val="2"/>
        <scheme val="minor"/>
      </rPr>
      <t xml:space="preserve"> tab. Many of the fields are pre-populated with default values.  Where possible, replace default values provided with site-specific values in accordance with the recommendations provided in the Control Cost Manual. Use of actual values other than the default values in this spreadsheet is recommended; however, sources for all values used should be appropriately documented. The molecular weight, heat capacity, enthalpy of condensation, boiling point and Antonine constants for many commonly used VOCs are provided in Appendix A of Section 3.1 (VOC Recapture Controls), Chapter 2 (Refrigerated Condensers) of the Air Pollution Control Cost Manual (as updated in 2017).</t>
    </r>
  </si>
  <si>
    <t>Contingency Factor (CF)</t>
  </si>
  <si>
    <t>Continency Cost (C ) =</t>
  </si>
  <si>
    <t>CF(IC+DC)=</t>
  </si>
  <si>
    <t>DC + IC + C = (1.74 × B) + SP + Bldg. + C =</t>
  </si>
  <si>
    <t>Equipment Costs for Single Stage Refrigeration Unit:</t>
  </si>
  <si>
    <t>Equipment Costs for Multistage Refrigeration Unit:</t>
  </si>
  <si>
    <t>Other Equipment Costs for a Packaged Solvent Recovery System:</t>
  </si>
  <si>
    <t>Direct Ccsts + Indirect Costs + Contingency = (1.15 × B)  =</t>
  </si>
  <si>
    <t>Direct Annual Costs (DAC) =</t>
  </si>
  <si>
    <t>Indirect Annual Costs (IAC) =</t>
  </si>
  <si>
    <t>DAC + IAC - RC =</t>
  </si>
  <si>
    <t>(November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</si>
</sst>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5" formatCode="&quot;$&quot;#,##0_);\(&quot;$&quot;#,##0\)"/>
    <numFmt numFmtId="7" formatCode="&quot;$&quot;#,##0.00_);\(&quot;$&quot;#,##0.00\)"/>
    <numFmt numFmtId="44" formatCode="_(&quot;$&quot;* #,##0.00_);_(&quot;$&quot;* \(#,##0.00\);_(&quot;$&quot;* &quot;-&quot;??_);_(@_)"/>
    <numFmt numFmtId="164" formatCode="0.0"/>
    <numFmt numFmtId="165" formatCode="&quot;$&quot;#,##0"/>
    <numFmt numFmtId="166" formatCode="0.0000"/>
    <numFmt numFmtId="167" formatCode="&quot;$&quot;#,##0.00"/>
    <numFmt numFmtId="168" formatCode="#,##0.0"/>
    <numFmt numFmtId="169" formatCode="0.000"/>
    <numFmt numFmtId="170" formatCode="&quot;$&quot;#,##0.0000"/>
  </numFmts>
  <fonts count="65" x14ac:knownFonts="1">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sz val="11"/>
      <color theme="0"/>
      <name val="Calibri"/>
      <family val="2"/>
      <scheme val="minor"/>
    </font>
    <font>
      <sz val="18"/>
      <color theme="0"/>
      <name val="Calibri"/>
      <family val="2"/>
      <scheme val="minor"/>
    </font>
    <font>
      <sz val="12"/>
      <color theme="8" tint="-0.249977111117893"/>
      <name val="Calibri"/>
      <family val="2"/>
      <scheme val="minor"/>
    </font>
    <font>
      <sz val="12"/>
      <color theme="1"/>
      <name val="Calibri"/>
      <family val="2"/>
      <scheme val="minor"/>
    </font>
    <font>
      <sz val="12"/>
      <color theme="8" tint="-0.499984740745262"/>
      <name val="Calibri"/>
      <family val="2"/>
      <scheme val="minor"/>
    </font>
    <font>
      <b/>
      <sz val="16"/>
      <color theme="0"/>
      <name val="Calibri"/>
      <family val="2"/>
      <scheme val="minor"/>
    </font>
    <font>
      <b/>
      <u/>
      <sz val="12"/>
      <color theme="8" tint="-0.499984740745262"/>
      <name val="Calibri"/>
      <family val="2"/>
      <scheme val="minor"/>
    </font>
    <font>
      <b/>
      <sz val="12"/>
      <color theme="8" tint="-0.499984740745262"/>
      <name val="Calibri"/>
      <family val="2"/>
      <scheme val="minor"/>
    </font>
    <font>
      <b/>
      <i/>
      <sz val="12"/>
      <color theme="8" tint="-0.499984740745262"/>
      <name val="Calibri"/>
      <family val="2"/>
      <scheme val="minor"/>
    </font>
    <font>
      <sz val="12"/>
      <color theme="8" tint="-0.499984740745262"/>
      <name val="Times New Roman"/>
      <family val="1"/>
    </font>
    <font>
      <b/>
      <sz val="18"/>
      <color theme="0"/>
      <name val="Calibri"/>
      <family val="2"/>
      <scheme val="minor"/>
    </font>
    <font>
      <b/>
      <sz val="14"/>
      <color theme="0"/>
      <name val="Calibri"/>
      <family val="2"/>
      <scheme val="minor"/>
    </font>
    <font>
      <sz val="14"/>
      <color theme="1"/>
      <name val="Calibri"/>
      <family val="2"/>
      <scheme val="minor"/>
    </font>
    <font>
      <sz val="12"/>
      <name val="Calibri"/>
      <family val="2"/>
      <scheme val="minor"/>
    </font>
    <font>
      <sz val="14"/>
      <color rgb="FFFF0000"/>
      <name val="Calibri"/>
      <family val="2"/>
      <scheme val="minor"/>
    </font>
    <font>
      <sz val="12"/>
      <color rgb="FFFF0000"/>
      <name val="Calibri"/>
      <family val="2"/>
      <scheme val="minor"/>
    </font>
    <font>
      <b/>
      <sz val="12"/>
      <color theme="8" tint="-0.249977111117893"/>
      <name val="Calibri"/>
      <family val="2"/>
      <scheme val="minor"/>
    </font>
    <font>
      <b/>
      <i/>
      <sz val="12"/>
      <color theme="8" tint="-0.249977111117893"/>
      <name val="Calibri"/>
      <family val="2"/>
      <scheme val="minor"/>
    </font>
    <font>
      <sz val="9"/>
      <color rgb="FFC00000"/>
      <name val="Calibri"/>
      <family val="2"/>
      <scheme val="minor"/>
    </font>
    <font>
      <sz val="11"/>
      <color rgb="FF000000"/>
      <name val="Calibri"/>
      <family val="2"/>
    </font>
    <font>
      <b/>
      <sz val="12"/>
      <color theme="0"/>
      <name val="Calibri"/>
      <family val="2"/>
      <scheme val="minor"/>
    </font>
    <font>
      <sz val="11"/>
      <color rgb="FFC00000"/>
      <name val="Calibri"/>
      <family val="2"/>
      <scheme val="minor"/>
    </font>
    <font>
      <vertAlign val="superscript"/>
      <sz val="12"/>
      <color theme="1"/>
      <name val="Calibri"/>
      <family val="2"/>
      <scheme val="minor"/>
    </font>
    <font>
      <vertAlign val="subscript"/>
      <sz val="12"/>
      <color theme="1"/>
      <name val="Calibri"/>
      <family val="2"/>
      <scheme val="minor"/>
    </font>
    <font>
      <sz val="12"/>
      <color theme="1"/>
      <name val="Calibri"/>
      <family val="2"/>
    </font>
    <font>
      <vertAlign val="subscript"/>
      <sz val="12"/>
      <color theme="1"/>
      <name val="Calibri"/>
      <family val="2"/>
    </font>
    <font>
      <b/>
      <sz val="18"/>
      <color rgb="FFFF0000"/>
      <name val="Calibri"/>
      <family val="2"/>
      <scheme val="minor"/>
    </font>
    <font>
      <b/>
      <sz val="14"/>
      <color rgb="FFFF0000"/>
      <name val="Calibri"/>
      <family val="2"/>
      <scheme val="minor"/>
    </font>
    <font>
      <sz val="11"/>
      <color theme="1"/>
      <name val="Calibri"/>
      <family val="2"/>
      <scheme val="minor"/>
    </font>
    <font>
      <b/>
      <vertAlign val="subscript"/>
      <sz val="11"/>
      <color theme="0"/>
      <name val="Calibri"/>
      <family val="2"/>
      <scheme val="minor"/>
    </font>
    <font>
      <b/>
      <sz val="11"/>
      <color theme="0"/>
      <name val="Calibri"/>
      <family val="2"/>
    </font>
    <font>
      <sz val="14"/>
      <color rgb="FFC00000"/>
      <name val="Calibri"/>
      <family val="2"/>
      <scheme val="minor"/>
    </font>
    <font>
      <b/>
      <sz val="12"/>
      <name val="Calibri"/>
      <family val="2"/>
      <scheme val="minor"/>
    </font>
    <font>
      <vertAlign val="superscript"/>
      <sz val="12"/>
      <color theme="1"/>
      <name val="Calibri"/>
      <family val="2"/>
    </font>
    <font>
      <b/>
      <sz val="12"/>
      <color theme="8" tint="-0.249977111117893"/>
      <name val="Calibri"/>
      <family val="2"/>
    </font>
    <font>
      <b/>
      <sz val="11"/>
      <color theme="8" tint="-0.249977111117893"/>
      <name val="Calibri"/>
      <family val="2"/>
      <scheme val="minor"/>
    </font>
    <font>
      <b/>
      <sz val="12"/>
      <color theme="1"/>
      <name val="Calibri"/>
      <family val="2"/>
      <scheme val="minor"/>
    </font>
    <font>
      <b/>
      <sz val="12"/>
      <color theme="0" tint="-4.9989318521683403E-2"/>
      <name val="Calibri"/>
      <family val="2"/>
      <scheme val="minor"/>
    </font>
    <font>
      <sz val="12"/>
      <color rgb="FFC00000"/>
      <name val="Calibri"/>
      <family val="2"/>
      <scheme val="minor"/>
    </font>
    <font>
      <sz val="11"/>
      <color theme="8" tint="-0.249977111117893"/>
      <name val="Calibri"/>
      <family val="2"/>
      <scheme val="minor"/>
    </font>
    <font>
      <vertAlign val="subscript"/>
      <sz val="12"/>
      <name val="Calibri"/>
      <family val="2"/>
      <scheme val="minor"/>
    </font>
    <font>
      <sz val="12"/>
      <name val="Calibri"/>
      <family val="2"/>
    </font>
    <font>
      <vertAlign val="subscript"/>
      <sz val="12"/>
      <name val="Calibri"/>
      <family val="2"/>
    </font>
    <font>
      <b/>
      <vertAlign val="subscript"/>
      <sz val="11"/>
      <color theme="0"/>
      <name val="Calibri"/>
      <family val="2"/>
    </font>
    <font>
      <vertAlign val="subscript"/>
      <sz val="11"/>
      <name val="Calibri"/>
      <family val="2"/>
      <scheme val="minor"/>
    </font>
    <font>
      <vertAlign val="superscript"/>
      <sz val="12"/>
      <color theme="1"/>
      <name val="Times New Roman"/>
      <family val="1"/>
    </font>
    <font>
      <sz val="12"/>
      <color theme="1"/>
      <name val="Times New Roman"/>
      <family val="1"/>
    </font>
    <font>
      <i/>
      <sz val="12"/>
      <color theme="1"/>
      <name val="Times New Roman"/>
      <family val="1"/>
    </font>
    <font>
      <b/>
      <sz val="12"/>
      <color rgb="FF000000"/>
      <name val="Arial"/>
      <family val="2"/>
    </font>
    <font>
      <b/>
      <sz val="12"/>
      <color rgb="FF000000"/>
      <name val="Tahoma"/>
      <family val="2"/>
    </font>
    <font>
      <sz val="12"/>
      <color rgb="FF292425"/>
      <name val="Arial"/>
      <family val="2"/>
    </font>
    <font>
      <i/>
      <sz val="12"/>
      <color rgb="FF292425"/>
      <name val="Arial"/>
      <family val="2"/>
    </font>
    <font>
      <b/>
      <vertAlign val="superscript"/>
      <sz val="12"/>
      <color rgb="FF000000"/>
      <name val="Arial"/>
      <family val="2"/>
    </font>
    <font>
      <vertAlign val="superscript"/>
      <sz val="12"/>
      <color rgb="FF292425"/>
      <name val="Arial"/>
      <family val="2"/>
    </font>
    <font>
      <vertAlign val="superscript"/>
      <sz val="12"/>
      <color rgb="FF000000"/>
      <name val="Times New Roman"/>
      <family val="1"/>
    </font>
    <font>
      <sz val="12"/>
      <color rgb="FF000000"/>
      <name val="Times New Roman"/>
      <family val="1"/>
    </font>
    <font>
      <i/>
      <sz val="12"/>
      <color rgb="FF000000"/>
      <name val="Times New Roman"/>
      <family val="1"/>
    </font>
    <font>
      <b/>
      <sz val="18"/>
      <color theme="0" tint="-4.9989318521683403E-2"/>
      <name val="Calibri"/>
      <family val="2"/>
      <scheme val="minor"/>
    </font>
    <font>
      <b/>
      <sz val="18"/>
      <color theme="0" tint="-4.9989318521683403E-2"/>
      <name val="Times New Roman"/>
      <family val="1"/>
    </font>
    <font>
      <b/>
      <vertAlign val="superscript"/>
      <sz val="18"/>
      <color theme="0" tint="-4.9989318521683403E-2"/>
      <name val="Times New Roman"/>
      <family val="1"/>
    </font>
    <font>
      <b/>
      <u/>
      <sz val="11"/>
      <color theme="1"/>
      <name val="Calibri"/>
      <family val="2"/>
      <scheme val="minor"/>
    </font>
  </fonts>
  <fills count="12">
    <fill>
      <patternFill patternType="none"/>
    </fill>
    <fill>
      <patternFill patternType="gray125"/>
    </fill>
    <fill>
      <patternFill patternType="solid">
        <fgColor theme="8" tint="-0.249977111117893"/>
        <bgColor indexed="64"/>
      </patternFill>
    </fill>
    <fill>
      <patternFill patternType="solid">
        <fgColor theme="2"/>
        <bgColor indexed="64"/>
      </patternFill>
    </fill>
    <fill>
      <patternFill patternType="solid">
        <fgColor theme="2" tint="-9.9978637043366805E-2"/>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rgb="FFBDD6EE"/>
        <bgColor indexed="64"/>
      </patternFill>
    </fill>
    <fill>
      <patternFill patternType="solid">
        <fgColor theme="7" tint="0.39997558519241921"/>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8" tint="-0.24994659260841701"/>
      </left>
      <right style="thin">
        <color theme="8" tint="-0.24994659260841701"/>
      </right>
      <top style="thin">
        <color theme="8" tint="-0.24994659260841701"/>
      </top>
      <bottom style="thin">
        <color theme="8" tint="-0.24994659260841701"/>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top style="medium">
        <color rgb="FF000000"/>
      </top>
      <bottom style="medium">
        <color rgb="FF000000"/>
      </bottom>
      <diagonal/>
    </border>
    <border>
      <left style="thin">
        <color indexed="64"/>
      </left>
      <right style="thin">
        <color indexed="64"/>
      </right>
      <top/>
      <bottom/>
      <diagonal/>
    </border>
  </borders>
  <cellStyleXfs count="2">
    <xf numFmtId="0" fontId="0" fillId="0" borderId="0"/>
    <xf numFmtId="44" fontId="32" fillId="0" borderId="0" applyFont="0" applyFill="0" applyBorder="0" applyAlignment="0" applyProtection="0"/>
  </cellStyleXfs>
  <cellXfs count="375">
    <xf numFmtId="0" fontId="0" fillId="0" borderId="0" xfId="0"/>
    <xf numFmtId="3" fontId="0" fillId="0" borderId="0" xfId="0" applyNumberFormat="1"/>
    <xf numFmtId="0" fontId="0" fillId="0" borderId="0" xfId="0" applyAlignment="1">
      <alignment horizontal="right"/>
    </xf>
    <xf numFmtId="0" fontId="0" fillId="0" borderId="0" xfId="0" applyFill="1"/>
    <xf numFmtId="0" fontId="7" fillId="0" borderId="0" xfId="0" applyFont="1"/>
    <xf numFmtId="0" fontId="7" fillId="0" borderId="0" xfId="0" applyFont="1" applyAlignment="1">
      <alignment wrapText="1"/>
    </xf>
    <xf numFmtId="0" fontId="8" fillId="0" borderId="0" xfId="0" applyFont="1" applyAlignment="1">
      <alignment horizontal="left" vertical="top" wrapText="1"/>
    </xf>
    <xf numFmtId="0" fontId="8" fillId="0" borderId="0" xfId="0" applyFont="1" applyAlignment="1">
      <alignment horizontal="left" wrapText="1"/>
    </xf>
    <xf numFmtId="0" fontId="0" fillId="0" borderId="0" xfId="0" applyAlignment="1">
      <alignment vertical="center"/>
    </xf>
    <xf numFmtId="0" fontId="13" fillId="0" borderId="0" xfId="0" applyFont="1" applyAlignment="1">
      <alignment horizontal="left" wrapText="1"/>
    </xf>
    <xf numFmtId="0" fontId="17" fillId="5" borderId="0" xfId="0" applyFont="1" applyFill="1"/>
    <xf numFmtId="0" fontId="17" fillId="0" borderId="0" xfId="0" applyFont="1"/>
    <xf numFmtId="0" fontId="18" fillId="5" borderId="0" xfId="0" applyFont="1" applyFill="1"/>
    <xf numFmtId="0" fontId="2" fillId="5" borderId="0" xfId="0" applyFont="1" applyFill="1"/>
    <xf numFmtId="0" fontId="7" fillId="0" borderId="4" xfId="0" applyFont="1" applyBorder="1"/>
    <xf numFmtId="0" fontId="0" fillId="5" borderId="0" xfId="0" applyFill="1" applyBorder="1" applyProtection="1">
      <protection hidden="1"/>
    </xf>
    <xf numFmtId="0" fontId="0" fillId="0" borderId="0" xfId="0" applyBorder="1" applyProtection="1">
      <protection hidden="1"/>
    </xf>
    <xf numFmtId="0" fontId="7" fillId="0" borderId="0" xfId="0" applyFont="1" applyBorder="1" applyProtection="1">
      <protection hidden="1"/>
    </xf>
    <xf numFmtId="0" fontId="7" fillId="5" borderId="0" xfId="0" applyFont="1" applyFill="1" applyBorder="1" applyProtection="1">
      <protection hidden="1"/>
    </xf>
    <xf numFmtId="0" fontId="8" fillId="0" borderId="0" xfId="0" applyFont="1" applyAlignment="1">
      <alignment horizontal="left" vertical="top" wrapText="1"/>
    </xf>
    <xf numFmtId="0" fontId="7" fillId="0" borderId="0" xfId="0" applyFont="1" applyBorder="1"/>
    <xf numFmtId="0" fontId="7" fillId="5" borderId="0" xfId="0" applyFont="1" applyFill="1" applyBorder="1"/>
    <xf numFmtId="0" fontId="0" fillId="5" borderId="0" xfId="0" applyFill="1"/>
    <xf numFmtId="0" fontId="30" fillId="5" borderId="0" xfId="0" applyFont="1" applyFill="1" applyAlignment="1"/>
    <xf numFmtId="0" fontId="31" fillId="5" borderId="0" xfId="0" applyFont="1" applyFill="1" applyAlignment="1"/>
    <xf numFmtId="0" fontId="16" fillId="5" borderId="0" xfId="0" applyFont="1" applyFill="1"/>
    <xf numFmtId="0" fontId="18" fillId="5" borderId="0" xfId="0" applyFont="1" applyFill="1" applyBorder="1" applyAlignment="1">
      <alignment wrapText="1"/>
    </xf>
    <xf numFmtId="0" fontId="7" fillId="5" borderId="0" xfId="0" applyFont="1" applyFill="1" applyBorder="1" applyAlignment="1" applyProtection="1">
      <alignment wrapText="1"/>
      <protection hidden="1"/>
    </xf>
    <xf numFmtId="0" fontId="16" fillId="9" borderId="0" xfId="0" applyFont="1" applyFill="1"/>
    <xf numFmtId="0" fontId="24" fillId="2" borderId="0" xfId="0" applyFont="1" applyFill="1" applyBorder="1" applyAlignment="1" applyProtection="1">
      <alignment horizontal="left" wrapText="1"/>
      <protection hidden="1"/>
    </xf>
    <xf numFmtId="0" fontId="14" fillId="7" borderId="0" xfId="0" applyFont="1" applyFill="1" applyAlignment="1">
      <alignment horizontal="center"/>
    </xf>
    <xf numFmtId="0" fontId="18" fillId="5" borderId="0" xfId="0" applyFont="1" applyFill="1" applyAlignment="1"/>
    <xf numFmtId="0" fontId="0" fillId="5" borderId="0" xfId="0" applyFont="1" applyFill="1" applyBorder="1" applyAlignment="1">
      <alignment vertical="center" wrapText="1"/>
    </xf>
    <xf numFmtId="0" fontId="1" fillId="2" borderId="14" xfId="0" applyFont="1" applyFill="1" applyBorder="1" applyAlignment="1">
      <alignment horizontal="center"/>
    </xf>
    <xf numFmtId="0" fontId="1" fillId="2" borderId="13" xfId="0" applyFont="1" applyFill="1" applyBorder="1" applyAlignment="1">
      <alignment horizontal="center"/>
    </xf>
    <xf numFmtId="0" fontId="7" fillId="5" borderId="0" xfId="0" applyFont="1" applyFill="1"/>
    <xf numFmtId="0" fontId="4" fillId="9" borderId="0" xfId="0" applyFont="1" applyFill="1" applyBorder="1"/>
    <xf numFmtId="0" fontId="7" fillId="9" borderId="0" xfId="0" applyFont="1" applyFill="1"/>
    <xf numFmtId="0" fontId="0" fillId="9" borderId="0" xfId="0" applyFill="1" applyBorder="1"/>
    <xf numFmtId="2" fontId="7" fillId="6" borderId="0" xfId="0" applyNumberFormat="1" applyFont="1" applyFill="1"/>
    <xf numFmtId="0" fontId="3" fillId="9" borderId="0" xfId="0" applyFont="1" applyFill="1" applyBorder="1"/>
    <xf numFmtId="169" fontId="7" fillId="6" borderId="0" xfId="0" applyNumberFormat="1" applyFont="1" applyFill="1"/>
    <xf numFmtId="164" fontId="7" fillId="6" borderId="0" xfId="0" applyNumberFormat="1" applyFont="1" applyFill="1"/>
    <xf numFmtId="3" fontId="7" fillId="6" borderId="0" xfId="0" applyNumberFormat="1" applyFont="1" applyFill="1"/>
    <xf numFmtId="0" fontId="24" fillId="2" borderId="0" xfId="0" applyFont="1" applyFill="1" applyBorder="1" applyAlignment="1" applyProtection="1">
      <alignment horizontal="left" wrapText="1"/>
      <protection hidden="1"/>
    </xf>
    <xf numFmtId="0" fontId="24" fillId="2" borderId="0" xfId="0" applyFont="1" applyFill="1" applyBorder="1" applyAlignment="1" applyProtection="1">
      <alignment wrapText="1"/>
      <protection hidden="1"/>
    </xf>
    <xf numFmtId="0" fontId="1" fillId="2" borderId="3" xfId="0" applyFont="1" applyFill="1" applyBorder="1" applyAlignment="1">
      <alignment horizontal="center" wrapText="1"/>
    </xf>
    <xf numFmtId="0" fontId="1" fillId="2" borderId="8" xfId="0" applyFont="1" applyFill="1" applyBorder="1" applyAlignment="1">
      <alignment horizontal="center"/>
    </xf>
    <xf numFmtId="0" fontId="7" fillId="6" borderId="0" xfId="0" applyFont="1" applyFill="1"/>
    <xf numFmtId="1" fontId="7" fillId="6" borderId="0" xfId="0" applyNumberFormat="1" applyFont="1" applyFill="1"/>
    <xf numFmtId="0" fontId="0" fillId="9" borderId="0" xfId="0" applyFill="1"/>
    <xf numFmtId="0" fontId="7" fillId="0" borderId="3" xfId="0" applyFont="1" applyBorder="1"/>
    <xf numFmtId="0" fontId="7" fillId="0" borderId="8" xfId="0" applyFont="1" applyBorder="1"/>
    <xf numFmtId="0" fontId="17" fillId="6" borderId="0" xfId="0" applyFont="1" applyFill="1" applyBorder="1" applyAlignment="1">
      <alignment horizontal="right"/>
    </xf>
    <xf numFmtId="0" fontId="3" fillId="6" borderId="0" xfId="0" applyFont="1" applyFill="1" applyBorder="1" applyAlignment="1">
      <alignment horizontal="right"/>
    </xf>
    <xf numFmtId="0" fontId="36" fillId="6" borderId="0" xfId="0" applyFont="1" applyFill="1" applyAlignment="1">
      <alignment horizontal="left"/>
    </xf>
    <xf numFmtId="0" fontId="36" fillId="6" borderId="0" xfId="0" applyFont="1" applyFill="1" applyAlignment="1">
      <alignment horizontal="center"/>
    </xf>
    <xf numFmtId="0" fontId="7" fillId="0" borderId="0" xfId="0" applyFont="1" applyAlignment="1">
      <alignment horizontal="right"/>
    </xf>
    <xf numFmtId="0" fontId="14" fillId="0" borderId="0" xfId="0" applyFont="1" applyFill="1" applyAlignment="1">
      <alignment horizontal="center"/>
    </xf>
    <xf numFmtId="0" fontId="28" fillId="9" borderId="0" xfId="0" applyFont="1" applyFill="1"/>
    <xf numFmtId="2" fontId="7" fillId="0" borderId="0" xfId="0" applyNumberFormat="1" applyFont="1" applyFill="1"/>
    <xf numFmtId="0" fontId="7" fillId="9" borderId="0" xfId="0" applyFont="1" applyFill="1" applyBorder="1"/>
    <xf numFmtId="3" fontId="0" fillId="9" borderId="0" xfId="0" applyNumberFormat="1" applyFill="1" applyBorder="1"/>
    <xf numFmtId="0" fontId="7" fillId="9" borderId="0" xfId="0" applyFont="1" applyFill="1" applyBorder="1" applyProtection="1">
      <protection hidden="1"/>
    </xf>
    <xf numFmtId="0" fontId="17" fillId="9" borderId="0" xfId="0" applyFont="1" applyFill="1" applyBorder="1"/>
    <xf numFmtId="0" fontId="6" fillId="2" borderId="0" xfId="0" applyFont="1" applyFill="1" applyBorder="1" applyProtection="1">
      <protection hidden="1"/>
    </xf>
    <xf numFmtId="0" fontId="41" fillId="2" borderId="0" xfId="0" applyFont="1" applyFill="1" applyBorder="1" applyAlignment="1" applyProtection="1">
      <alignment wrapText="1"/>
      <protection hidden="1"/>
    </xf>
    <xf numFmtId="0" fontId="17" fillId="6" borderId="0" xfId="0" applyFont="1" applyFill="1" applyAlignment="1">
      <alignment vertical="top"/>
    </xf>
    <xf numFmtId="0" fontId="7" fillId="0" borderId="12" xfId="0" applyFont="1" applyBorder="1"/>
    <xf numFmtId="0" fontId="7" fillId="5" borderId="11" xfId="0" applyFont="1" applyFill="1" applyBorder="1"/>
    <xf numFmtId="0" fontId="7" fillId="5" borderId="0" xfId="0" applyFont="1" applyFill="1" applyAlignment="1">
      <alignment wrapText="1"/>
    </xf>
    <xf numFmtId="0" fontId="7" fillId="5" borderId="12" xfId="0" applyFont="1" applyFill="1" applyBorder="1"/>
    <xf numFmtId="0" fontId="7" fillId="5" borderId="9" xfId="0" applyFont="1" applyFill="1" applyBorder="1" applyAlignment="1">
      <alignment horizontal="right"/>
    </xf>
    <xf numFmtId="0" fontId="17" fillId="5" borderId="9" xfId="0" applyFont="1" applyFill="1" applyBorder="1"/>
    <xf numFmtId="0" fontId="22" fillId="9" borderId="0" xfId="0" applyFont="1" applyFill="1" applyBorder="1" applyAlignment="1">
      <alignment horizontal="left" wrapText="1"/>
    </xf>
    <xf numFmtId="0" fontId="7" fillId="9" borderId="0" xfId="0" applyFont="1" applyFill="1" applyBorder="1" applyAlignment="1">
      <alignment wrapText="1"/>
    </xf>
    <xf numFmtId="165" fontId="7" fillId="9" borderId="0" xfId="0" applyNumberFormat="1" applyFont="1" applyFill="1" applyBorder="1"/>
    <xf numFmtId="0" fontId="19" fillId="5" borderId="10" xfId="0" applyFont="1" applyFill="1" applyBorder="1"/>
    <xf numFmtId="0" fontId="17" fillId="7" borderId="0" xfId="0" applyFont="1" applyFill="1" applyAlignment="1">
      <alignment horizontal="left"/>
    </xf>
    <xf numFmtId="0" fontId="17" fillId="9" borderId="0" xfId="0" applyFont="1" applyFill="1" applyBorder="1" applyAlignment="1">
      <alignment horizontal="left"/>
    </xf>
    <xf numFmtId="0" fontId="17" fillId="9" borderId="0" xfId="0" applyFont="1" applyFill="1" applyBorder="1" applyAlignment="1">
      <alignment horizontal="left" wrapText="1"/>
    </xf>
    <xf numFmtId="0" fontId="17" fillId="9" borderId="0" xfId="0" applyFont="1" applyFill="1" applyBorder="1" applyAlignment="1">
      <alignment wrapText="1"/>
    </xf>
    <xf numFmtId="0" fontId="20" fillId="8" borderId="0" xfId="0" applyFont="1" applyFill="1" applyBorder="1" applyAlignment="1" applyProtection="1">
      <alignment wrapText="1"/>
      <protection hidden="1"/>
    </xf>
    <xf numFmtId="0" fontId="7" fillId="8" borderId="13" xfId="0" applyFont="1" applyFill="1" applyBorder="1"/>
    <xf numFmtId="0" fontId="20" fillId="8" borderId="0" xfId="0" applyFont="1" applyFill="1"/>
    <xf numFmtId="1" fontId="20" fillId="8" borderId="0" xfId="0" applyNumberFormat="1" applyFont="1" applyFill="1"/>
    <xf numFmtId="2" fontId="20" fillId="8" borderId="0" xfId="0" applyNumberFormat="1" applyFont="1" applyFill="1"/>
    <xf numFmtId="0" fontId="7" fillId="8" borderId="0" xfId="0" applyFont="1" applyFill="1"/>
    <xf numFmtId="0" fontId="38" fillId="8" borderId="0" xfId="0" applyFont="1" applyFill="1"/>
    <xf numFmtId="3" fontId="20" fillId="8" borderId="0" xfId="0" applyNumberFormat="1" applyFont="1" applyFill="1"/>
    <xf numFmtId="0" fontId="7" fillId="8" borderId="0" xfId="0" applyFont="1" applyFill="1" applyBorder="1"/>
    <xf numFmtId="0" fontId="0" fillId="7" borderId="0" xfId="0" applyFill="1"/>
    <xf numFmtId="0" fontId="42" fillId="5" borderId="0" xfId="0" applyFont="1" applyFill="1"/>
    <xf numFmtId="0" fontId="42" fillId="5" borderId="0" xfId="0" applyFont="1" applyFill="1" applyAlignment="1"/>
    <xf numFmtId="0" fontId="17" fillId="7" borderId="0" xfId="0" applyFont="1" applyFill="1" applyAlignment="1">
      <alignment horizontal="left" wrapText="1"/>
    </xf>
    <xf numFmtId="0" fontId="7" fillId="6" borderId="0" xfId="0" applyFont="1" applyFill="1" applyBorder="1" applyAlignment="1">
      <alignment horizontal="left"/>
    </xf>
    <xf numFmtId="0" fontId="14" fillId="2" borderId="0" xfId="0" applyFont="1" applyFill="1" applyAlignment="1"/>
    <xf numFmtId="0" fontId="15" fillId="2" borderId="0" xfId="0" applyFont="1" applyFill="1" applyAlignment="1"/>
    <xf numFmtId="0" fontId="40" fillId="8" borderId="0" xfId="0" applyFont="1" applyFill="1" applyAlignment="1"/>
    <xf numFmtId="0" fontId="36" fillId="8" borderId="0" xfId="0" applyFont="1" applyFill="1" applyAlignment="1"/>
    <xf numFmtId="0" fontId="40" fillId="8" borderId="0" xfId="0" applyFont="1" applyFill="1" applyBorder="1" applyAlignment="1"/>
    <xf numFmtId="2" fontId="17" fillId="6" borderId="0" xfId="0" applyNumberFormat="1" applyFont="1" applyFill="1" applyBorder="1" applyAlignment="1">
      <alignment horizontal="left"/>
    </xf>
    <xf numFmtId="0" fontId="17" fillId="6" borderId="0" xfId="0" applyFont="1" applyFill="1" applyBorder="1" applyAlignment="1">
      <alignment horizontal="left"/>
    </xf>
    <xf numFmtId="0" fontId="36" fillId="8" borderId="0" xfId="0" applyFont="1" applyFill="1" applyAlignment="1">
      <alignment horizontal="center"/>
    </xf>
    <xf numFmtId="168" fontId="7" fillId="6" borderId="0" xfId="0" applyNumberFormat="1" applyFont="1" applyFill="1" applyBorder="1" applyAlignment="1" applyProtection="1">
      <alignment horizontal="center"/>
      <protection hidden="1"/>
    </xf>
    <xf numFmtId="0" fontId="40" fillId="6" borderId="0" xfId="0" applyFont="1" applyFill="1" applyAlignment="1">
      <alignment horizontal="center"/>
    </xf>
    <xf numFmtId="9" fontId="7" fillId="6" borderId="0" xfId="0" applyNumberFormat="1" applyFont="1" applyFill="1"/>
    <xf numFmtId="3" fontId="7" fillId="0" borderId="0" xfId="0" applyNumberFormat="1" applyFont="1"/>
    <xf numFmtId="0" fontId="17" fillId="6" borderId="0" xfId="0" applyFont="1" applyFill="1" applyAlignment="1">
      <alignment horizontal="right"/>
    </xf>
    <xf numFmtId="0" fontId="17" fillId="6" borderId="0" xfId="0" applyFont="1" applyFill="1" applyAlignment="1">
      <alignment horizontal="left"/>
    </xf>
    <xf numFmtId="0" fontId="36" fillId="6" borderId="0" xfId="0" applyFont="1" applyFill="1" applyBorder="1" applyAlignment="1">
      <alignment horizontal="left"/>
    </xf>
    <xf numFmtId="0" fontId="36" fillId="6" borderId="0" xfId="0" applyFont="1" applyFill="1" applyBorder="1" applyAlignment="1">
      <alignment horizontal="center"/>
    </xf>
    <xf numFmtId="0" fontId="36" fillId="6" borderId="0" xfId="0" applyFont="1" applyFill="1" applyAlignment="1">
      <alignment horizontal="center" wrapText="1"/>
    </xf>
    <xf numFmtId="9" fontId="17" fillId="6" borderId="0" xfId="0" applyNumberFormat="1" applyFont="1" applyFill="1"/>
    <xf numFmtId="0" fontId="36" fillId="5" borderId="0" xfId="0" applyFont="1" applyFill="1" applyAlignment="1">
      <alignment horizontal="left"/>
    </xf>
    <xf numFmtId="0" fontId="17" fillId="5" borderId="0" xfId="0" applyFont="1" applyFill="1" applyAlignment="1">
      <alignment horizontal="center"/>
    </xf>
    <xf numFmtId="0" fontId="17" fillId="5" borderId="0" xfId="0" applyFont="1" applyFill="1" applyAlignment="1">
      <alignment horizontal="right"/>
    </xf>
    <xf numFmtId="0" fontId="17" fillId="5" borderId="0" xfId="0" applyFont="1" applyFill="1" applyAlignment="1">
      <alignment horizontal="left"/>
    </xf>
    <xf numFmtId="165" fontId="17" fillId="6" borderId="0" xfId="0" applyNumberFormat="1" applyFont="1" applyFill="1" applyAlignment="1">
      <alignment horizontal="center"/>
    </xf>
    <xf numFmtId="0" fontId="7" fillId="5" borderId="0" xfId="0" applyFont="1" applyFill="1" applyAlignment="1">
      <alignment horizontal="center"/>
    </xf>
    <xf numFmtId="165" fontId="17" fillId="0" borderId="0" xfId="0" applyNumberFormat="1" applyFont="1" applyFill="1" applyAlignment="1">
      <alignment horizontal="center"/>
    </xf>
    <xf numFmtId="0" fontId="7" fillId="0" borderId="0" xfId="0" applyFont="1" applyFill="1" applyAlignment="1">
      <alignment horizontal="center"/>
    </xf>
    <xf numFmtId="165" fontId="7" fillId="6" borderId="0" xfId="0" applyNumberFormat="1" applyFont="1" applyFill="1" applyAlignment="1">
      <alignment horizontal="center"/>
    </xf>
    <xf numFmtId="0" fontId="7" fillId="0" borderId="0" xfId="0" applyFont="1" applyAlignment="1">
      <alignment horizontal="center"/>
    </xf>
    <xf numFmtId="9" fontId="7" fillId="0" borderId="0" xfId="0" applyNumberFormat="1" applyFont="1" applyFill="1"/>
    <xf numFmtId="3" fontId="7" fillId="0" borderId="0" xfId="0" applyNumberFormat="1" applyFont="1" applyFill="1"/>
    <xf numFmtId="0" fontId="7" fillId="0" borderId="0" xfId="0" applyFont="1" applyFill="1"/>
    <xf numFmtId="0" fontId="40" fillId="0" borderId="0" xfId="0" applyFont="1"/>
    <xf numFmtId="0" fontId="40" fillId="0" borderId="0" xfId="0" applyFont="1" applyAlignment="1">
      <alignment horizontal="center"/>
    </xf>
    <xf numFmtId="9" fontId="40" fillId="0" borderId="0" xfId="0" applyNumberFormat="1" applyFont="1" applyFill="1"/>
    <xf numFmtId="3" fontId="40" fillId="0" borderId="0" xfId="0" applyNumberFormat="1" applyFont="1" applyFill="1"/>
    <xf numFmtId="0" fontId="40" fillId="0" borderId="0" xfId="0" applyFont="1" applyFill="1"/>
    <xf numFmtId="0" fontId="7" fillId="6" borderId="0" xfId="0" applyFont="1" applyFill="1" applyAlignment="1">
      <alignment horizontal="center"/>
    </xf>
    <xf numFmtId="165" fontId="7" fillId="0" borderId="0" xfId="0" applyNumberFormat="1" applyFont="1" applyFill="1" applyAlignment="1">
      <alignment horizontal="center"/>
    </xf>
    <xf numFmtId="0" fontId="7" fillId="0" borderId="0" xfId="0" applyFont="1" applyAlignment="1">
      <alignment horizontal="left"/>
    </xf>
    <xf numFmtId="3" fontId="7" fillId="0" borderId="0" xfId="0" applyNumberFormat="1" applyFont="1" applyAlignment="1">
      <alignment horizontal="center"/>
    </xf>
    <xf numFmtId="0" fontId="7" fillId="0" borderId="0" xfId="0" applyFont="1" applyAlignment="1"/>
    <xf numFmtId="0" fontId="7" fillId="0" borderId="0" xfId="0" applyFont="1" applyFill="1" applyAlignment="1">
      <alignment horizontal="left"/>
    </xf>
    <xf numFmtId="0" fontId="7" fillId="0" borderId="0" xfId="0" applyFont="1" applyFill="1" applyAlignment="1"/>
    <xf numFmtId="0" fontId="7" fillId="0" borderId="0" xfId="0" applyFont="1" applyFill="1" applyAlignment="1">
      <alignment horizontal="right"/>
    </xf>
    <xf numFmtId="0" fontId="24" fillId="2" borderId="0" xfId="0" applyFont="1" applyFill="1" applyAlignment="1">
      <alignment horizontal="left"/>
    </xf>
    <xf numFmtId="0" fontId="24" fillId="2" borderId="0" xfId="0" applyFont="1" applyFill="1" applyAlignment="1"/>
    <xf numFmtId="165" fontId="24" fillId="2" borderId="0" xfId="0" applyNumberFormat="1" applyFont="1" applyFill="1"/>
    <xf numFmtId="0" fontId="7" fillId="2" borderId="0" xfId="0" applyFont="1" applyFill="1"/>
    <xf numFmtId="0" fontId="24" fillId="2" borderId="0" xfId="0" applyFont="1" applyFill="1"/>
    <xf numFmtId="0" fontId="24" fillId="0" borderId="0" xfId="0" applyFont="1" applyFill="1" applyAlignment="1">
      <alignment horizontal="left"/>
    </xf>
    <xf numFmtId="0" fontId="24" fillId="0" borderId="0" xfId="0" applyFont="1" applyFill="1" applyAlignment="1"/>
    <xf numFmtId="167" fontId="24" fillId="0" borderId="0" xfId="0" applyNumberFormat="1" applyFont="1" applyFill="1" applyAlignment="1">
      <alignment horizontal="right"/>
    </xf>
    <xf numFmtId="0" fontId="7" fillId="0" borderId="0" xfId="0" quotePrefix="1" applyFont="1"/>
    <xf numFmtId="0" fontId="7" fillId="0" borderId="0" xfId="0" quotePrefix="1" applyFont="1" applyAlignment="1">
      <alignment wrapText="1"/>
    </xf>
    <xf numFmtId="165" fontId="19" fillId="0" borderId="0" xfId="0" applyNumberFormat="1" applyFont="1"/>
    <xf numFmtId="165" fontId="7" fillId="0" borderId="0" xfId="0" applyNumberFormat="1" applyFont="1" applyAlignment="1">
      <alignment horizontal="right"/>
    </xf>
    <xf numFmtId="0" fontId="19" fillId="0" borderId="0" xfId="0" applyFont="1"/>
    <xf numFmtId="165" fontId="24" fillId="2" borderId="0" xfId="0" applyNumberFormat="1" applyFont="1" applyFill="1" applyAlignment="1">
      <alignment horizontal="center"/>
    </xf>
    <xf numFmtId="0" fontId="17" fillId="0" borderId="0" xfId="0" applyFont="1" applyFill="1" applyAlignment="1">
      <alignment horizontal="left"/>
    </xf>
    <xf numFmtId="0" fontId="17" fillId="0" borderId="0" xfId="0" quotePrefix="1" applyFont="1" applyFill="1" applyAlignment="1">
      <alignment horizontal="left" wrapText="1"/>
    </xf>
    <xf numFmtId="167" fontId="17" fillId="6" borderId="0" xfId="0" applyNumberFormat="1" applyFont="1" applyFill="1" applyAlignment="1">
      <alignment horizontal="center"/>
    </xf>
    <xf numFmtId="165" fontId="17" fillId="0" borderId="0" xfId="0" applyNumberFormat="1" applyFont="1" applyFill="1" applyAlignment="1">
      <alignment horizontal="left"/>
    </xf>
    <xf numFmtId="167" fontId="7" fillId="6" borderId="0" xfId="0" applyNumberFormat="1" applyFont="1" applyFill="1" applyAlignment="1">
      <alignment horizontal="center"/>
    </xf>
    <xf numFmtId="165" fontId="7" fillId="0" borderId="0" xfId="0" applyNumberFormat="1" applyFont="1" applyFill="1" applyAlignment="1">
      <alignment horizontal="right"/>
    </xf>
    <xf numFmtId="5" fontId="7" fillId="6" borderId="0" xfId="1" applyNumberFormat="1" applyFont="1" applyFill="1" applyAlignment="1">
      <alignment horizontal="center"/>
    </xf>
    <xf numFmtId="167" fontId="7" fillId="0" borderId="0" xfId="0" applyNumberFormat="1" applyFont="1" applyAlignment="1">
      <alignment horizontal="right"/>
    </xf>
    <xf numFmtId="166" fontId="7" fillId="6" borderId="0" xfId="0" applyNumberFormat="1" applyFont="1" applyFill="1" applyBorder="1" applyAlignment="1">
      <alignment horizontal="right"/>
    </xf>
    <xf numFmtId="0" fontId="17" fillId="9" borderId="0" xfId="0" quotePrefix="1" applyFont="1" applyFill="1" applyBorder="1"/>
    <xf numFmtId="165" fontId="7" fillId="6" borderId="0" xfId="0" applyNumberFormat="1" applyFont="1" applyFill="1" applyBorder="1" applyAlignment="1" applyProtection="1">
      <alignment horizontal="center"/>
      <protection hidden="1"/>
    </xf>
    <xf numFmtId="7" fontId="7" fillId="6" borderId="0" xfId="0" applyNumberFormat="1" applyFont="1" applyFill="1" applyBorder="1" applyAlignment="1">
      <alignment horizontal="left"/>
    </xf>
    <xf numFmtId="0" fontId="36" fillId="6" borderId="0" xfId="0" applyFont="1" applyFill="1" applyBorder="1" applyAlignment="1">
      <alignment horizontal="center" wrapText="1"/>
    </xf>
    <xf numFmtId="9" fontId="17" fillId="6" borderId="0" xfId="0" applyNumberFormat="1" applyFont="1" applyFill="1" applyBorder="1"/>
    <xf numFmtId="0" fontId="39" fillId="4" borderId="9" xfId="0" applyFont="1" applyFill="1" applyBorder="1"/>
    <xf numFmtId="0" fontId="39" fillId="4" borderId="9" xfId="0" applyFont="1" applyFill="1" applyBorder="1" applyAlignment="1">
      <alignment horizontal="center"/>
    </xf>
    <xf numFmtId="0" fontId="39" fillId="4" borderId="9" xfId="0" applyFont="1" applyFill="1" applyBorder="1" applyAlignment="1">
      <alignment horizontal="left" vertical="top" wrapText="1"/>
    </xf>
    <xf numFmtId="0" fontId="0" fillId="0" borderId="9" xfId="0" applyBorder="1" applyAlignment="1" applyProtection="1">
      <alignment vertical="top"/>
      <protection hidden="1"/>
    </xf>
    <xf numFmtId="0" fontId="43" fillId="4" borderId="9" xfId="0" applyFont="1" applyFill="1" applyBorder="1" applyAlignment="1">
      <alignment horizontal="left" vertical="top"/>
    </xf>
    <xf numFmtId="0" fontId="43" fillId="4" borderId="9" xfId="0" applyFont="1" applyFill="1" applyBorder="1" applyAlignment="1">
      <alignment horizontal="left" vertical="top" wrapText="1"/>
    </xf>
    <xf numFmtId="0" fontId="0" fillId="0" borderId="9" xfId="0" applyBorder="1" applyAlignment="1" applyProtection="1">
      <alignment vertical="top" wrapText="1"/>
      <protection hidden="1"/>
    </xf>
    <xf numFmtId="0" fontId="7" fillId="5" borderId="0" xfId="0" applyFont="1" applyFill="1" applyAlignment="1">
      <alignment vertical="top"/>
    </xf>
    <xf numFmtId="0" fontId="7" fillId="5" borderId="12" xfId="0" applyFont="1" applyFill="1" applyBorder="1" applyAlignment="1">
      <alignment vertical="top"/>
    </xf>
    <xf numFmtId="0" fontId="9" fillId="2" borderId="0" xfId="0" applyFont="1" applyFill="1" applyAlignment="1">
      <alignment horizontal="right"/>
    </xf>
    <xf numFmtId="0" fontId="14" fillId="2" borderId="0" xfId="0" applyFont="1" applyFill="1" applyAlignment="1">
      <alignment horizontal="right"/>
    </xf>
    <xf numFmtId="2" fontId="0" fillId="0" borderId="0" xfId="0" applyNumberFormat="1"/>
    <xf numFmtId="0" fontId="0" fillId="0" borderId="7" xfId="0" applyBorder="1"/>
    <xf numFmtId="0" fontId="7" fillId="5" borderId="11" xfId="0" applyFont="1" applyFill="1" applyBorder="1" applyAlignment="1">
      <alignment vertical="center"/>
    </xf>
    <xf numFmtId="0" fontId="15" fillId="5" borderId="0" xfId="0" applyFont="1" applyFill="1" applyAlignment="1"/>
    <xf numFmtId="0" fontId="24" fillId="2" borderId="15" xfId="0" applyFont="1" applyFill="1" applyBorder="1" applyAlignment="1">
      <alignment horizontal="center"/>
    </xf>
    <xf numFmtId="0" fontId="41" fillId="2" borderId="15" xfId="0" applyFont="1" applyFill="1" applyBorder="1" applyAlignment="1">
      <alignment horizontal="center"/>
    </xf>
    <xf numFmtId="0" fontId="30" fillId="2" borderId="0" xfId="0" applyFont="1" applyFill="1" applyAlignment="1"/>
    <xf numFmtId="0" fontId="30" fillId="7" borderId="0" xfId="0" applyFont="1" applyFill="1" applyAlignment="1"/>
    <xf numFmtId="0" fontId="16" fillId="5" borderId="0" xfId="0" applyFont="1" applyFill="1" applyBorder="1"/>
    <xf numFmtId="0" fontId="15" fillId="9" borderId="0" xfId="0" applyFont="1" applyFill="1" applyAlignment="1">
      <alignment horizontal="left"/>
    </xf>
    <xf numFmtId="0" fontId="31" fillId="9" borderId="0" xfId="0" applyFont="1" applyFill="1" applyAlignment="1"/>
    <xf numFmtId="0" fontId="2" fillId="9" borderId="0" xfId="0" applyFont="1" applyFill="1"/>
    <xf numFmtId="0" fontId="25" fillId="9" borderId="0" xfId="0" applyFont="1" applyFill="1"/>
    <xf numFmtId="0" fontId="17" fillId="5" borderId="12" xfId="0" applyFont="1" applyFill="1" applyBorder="1" applyAlignment="1">
      <alignment horizontal="left"/>
    </xf>
    <xf numFmtId="0" fontId="17" fillId="5" borderId="3" xfId="0" applyFont="1" applyFill="1" applyBorder="1" applyAlignment="1">
      <alignment horizontal="left"/>
    </xf>
    <xf numFmtId="0" fontId="35" fillId="5" borderId="0" xfId="0" applyFont="1" applyFill="1" applyBorder="1"/>
    <xf numFmtId="0" fontId="0" fillId="5" borderId="0" xfId="0" applyFill="1" applyBorder="1"/>
    <xf numFmtId="0" fontId="0" fillId="0" borderId="0" xfId="0" applyFill="1" applyBorder="1"/>
    <xf numFmtId="0" fontId="7" fillId="5" borderId="10" xfId="0" applyFont="1" applyFill="1" applyBorder="1" applyAlignment="1">
      <alignment horizontal="center" vertical="top"/>
    </xf>
    <xf numFmtId="0" fontId="25" fillId="9" borderId="4" xfId="0" applyFont="1" applyFill="1" applyBorder="1" applyAlignment="1"/>
    <xf numFmtId="0" fontId="22" fillId="9" borderId="0" xfId="0" applyFont="1" applyFill="1" applyBorder="1" applyAlignment="1">
      <alignment wrapText="1"/>
    </xf>
    <xf numFmtId="0" fontId="7" fillId="9" borderId="0" xfId="0" applyFont="1" applyFill="1" applyAlignment="1">
      <alignment horizontal="left"/>
    </xf>
    <xf numFmtId="0" fontId="7" fillId="9" borderId="0" xfId="0" applyFont="1" applyFill="1" applyAlignment="1">
      <alignment wrapText="1"/>
    </xf>
    <xf numFmtId="0" fontId="25" fillId="9" borderId="0" xfId="0" applyFont="1" applyFill="1" applyBorder="1" applyAlignment="1"/>
    <xf numFmtId="0" fontId="0" fillId="9" borderId="4" xfId="0" applyFont="1" applyFill="1" applyBorder="1" applyAlignment="1">
      <alignment vertical="center" wrapText="1"/>
    </xf>
    <xf numFmtId="0" fontId="0" fillId="9" borderId="0" xfId="0" applyFont="1" applyFill="1" applyBorder="1" applyAlignment="1">
      <alignment vertical="center" wrapText="1"/>
    </xf>
    <xf numFmtId="0" fontId="18" fillId="9" borderId="0" xfId="0" applyFont="1" applyFill="1" applyBorder="1" applyAlignment="1">
      <alignment wrapText="1"/>
    </xf>
    <xf numFmtId="2" fontId="3" fillId="5" borderId="0" xfId="0" applyNumberFormat="1" applyFont="1" applyFill="1" applyBorder="1"/>
    <xf numFmtId="164" fontId="3" fillId="5" borderId="0" xfId="0" applyNumberFormat="1" applyFont="1" applyFill="1" applyBorder="1"/>
    <xf numFmtId="164" fontId="7" fillId="5" borderId="0" xfId="0" applyNumberFormat="1" applyFont="1" applyFill="1" applyBorder="1"/>
    <xf numFmtId="0" fontId="4" fillId="5" borderId="0" xfId="0" applyFont="1" applyFill="1" applyBorder="1"/>
    <xf numFmtId="0" fontId="7" fillId="8" borderId="9" xfId="0" applyFont="1" applyFill="1" applyBorder="1"/>
    <xf numFmtId="0" fontId="7" fillId="9" borderId="0" xfId="0" applyFont="1" applyFill="1" applyBorder="1" applyAlignment="1" applyProtection="1">
      <alignment wrapText="1"/>
      <protection hidden="1"/>
    </xf>
    <xf numFmtId="0" fontId="7" fillId="9" borderId="0" xfId="0" quotePrefix="1" applyFont="1" applyFill="1" applyBorder="1" applyAlignment="1" applyProtection="1">
      <alignment wrapText="1"/>
      <protection hidden="1"/>
    </xf>
    <xf numFmtId="0" fontId="7" fillId="9" borderId="0" xfId="0" applyFont="1" applyFill="1" applyBorder="1" applyAlignment="1" applyProtection="1">
      <protection hidden="1"/>
    </xf>
    <xf numFmtId="0" fontId="7" fillId="9" borderId="7" xfId="0" applyFont="1" applyFill="1" applyBorder="1"/>
    <xf numFmtId="0" fontId="9" fillId="2" borderId="0" xfId="0" applyFont="1" applyFill="1" applyAlignment="1"/>
    <xf numFmtId="0" fontId="0" fillId="2" borderId="0" xfId="0" applyFill="1"/>
    <xf numFmtId="3" fontId="0" fillId="2" borderId="0" xfId="0" applyNumberFormat="1" applyFill="1"/>
    <xf numFmtId="0" fontId="17" fillId="2" borderId="0" xfId="0" applyFont="1" applyFill="1"/>
    <xf numFmtId="0" fontId="17" fillId="6" borderId="0" xfId="0" applyFont="1" applyFill="1"/>
    <xf numFmtId="0" fontId="17" fillId="8" borderId="0" xfId="0" applyFont="1" applyFill="1"/>
    <xf numFmtId="3" fontId="7" fillId="8" borderId="0" xfId="0" applyNumberFormat="1" applyFont="1" applyFill="1"/>
    <xf numFmtId="0" fontId="3" fillId="5" borderId="0" xfId="0" applyFont="1" applyFill="1" applyBorder="1" applyAlignment="1">
      <alignment horizontal="right"/>
    </xf>
    <xf numFmtId="0" fontId="17" fillId="5" borderId="0" xfId="0" applyFont="1" applyFill="1" applyBorder="1" applyAlignment="1">
      <alignment horizontal="right"/>
    </xf>
    <xf numFmtId="0" fontId="42" fillId="5" borderId="0" xfId="0" applyFont="1" applyFill="1" applyAlignment="1">
      <alignment vertical="top"/>
    </xf>
    <xf numFmtId="0" fontId="17" fillId="5" borderId="0" xfId="0" applyFont="1" applyFill="1" applyAlignment="1">
      <alignment vertical="top"/>
    </xf>
    <xf numFmtId="0" fontId="24" fillId="5" borderId="0" xfId="0" applyFont="1" applyFill="1" applyAlignment="1">
      <alignment horizontal="left"/>
    </xf>
    <xf numFmtId="0" fontId="24" fillId="5" borderId="0" xfId="0" applyFont="1" applyFill="1" applyAlignment="1"/>
    <xf numFmtId="165" fontId="24" fillId="5" borderId="0" xfId="0" applyNumberFormat="1" applyFont="1" applyFill="1" applyAlignment="1">
      <alignment horizontal="right"/>
    </xf>
    <xf numFmtId="0" fontId="24" fillId="5" borderId="0" xfId="0" applyFont="1" applyFill="1"/>
    <xf numFmtId="165" fontId="17" fillId="5" borderId="0" xfId="0" applyNumberFormat="1" applyFont="1" applyFill="1" applyAlignment="1">
      <alignment horizontal="center"/>
    </xf>
    <xf numFmtId="165" fontId="40" fillId="5" borderId="0" xfId="0" applyNumberFormat="1" applyFont="1" applyFill="1" applyAlignment="1">
      <alignment horizontal="center"/>
    </xf>
    <xf numFmtId="0" fontId="42" fillId="5" borderId="0" xfId="0" applyFont="1" applyFill="1" applyAlignment="1">
      <alignment wrapText="1"/>
    </xf>
    <xf numFmtId="0" fontId="7" fillId="0" borderId="0" xfId="0" applyFont="1" applyFill="1" applyBorder="1"/>
    <xf numFmtId="165" fontId="7" fillId="5" borderId="0" xfId="0" applyNumberFormat="1" applyFont="1" applyFill="1" applyAlignment="1">
      <alignment horizontal="right"/>
    </xf>
    <xf numFmtId="0" fontId="17" fillId="6" borderId="0" xfId="0" applyFont="1" applyFill="1" applyBorder="1"/>
    <xf numFmtId="0" fontId="17" fillId="5" borderId="0" xfId="0" applyFont="1" applyFill="1" applyBorder="1"/>
    <xf numFmtId="0" fontId="7" fillId="5" borderId="10" xfId="0" applyFont="1" applyFill="1" applyBorder="1"/>
    <xf numFmtId="167" fontId="7" fillId="4" borderId="10" xfId="0" applyNumberFormat="1" applyFont="1" applyFill="1" applyBorder="1" applyAlignment="1">
      <alignment horizontal="center" vertical="top"/>
    </xf>
    <xf numFmtId="0" fontId="49" fillId="0" borderId="0" xfId="0" applyFont="1"/>
    <xf numFmtId="0" fontId="50" fillId="0" borderId="0" xfId="0" applyFont="1"/>
    <xf numFmtId="0" fontId="52" fillId="10" borderId="20" xfId="0" applyFont="1" applyFill="1" applyBorder="1" applyAlignment="1">
      <alignment horizontal="center" vertical="center" wrapText="1"/>
    </xf>
    <xf numFmtId="0" fontId="54" fillId="0" borderId="21" xfId="0" applyFont="1" applyBorder="1" applyAlignment="1">
      <alignment vertical="center" wrapText="1"/>
    </xf>
    <xf numFmtId="0" fontId="54" fillId="0" borderId="22" xfId="0" applyFont="1" applyBorder="1" applyAlignment="1">
      <alignment horizontal="right" vertical="center" wrapText="1"/>
    </xf>
    <xf numFmtId="0" fontId="55" fillId="0" borderId="21" xfId="0" applyFont="1" applyBorder="1" applyAlignment="1">
      <alignment vertical="center" wrapText="1"/>
    </xf>
    <xf numFmtId="0" fontId="55" fillId="0" borderId="17" xfId="0" applyFont="1" applyBorder="1" applyAlignment="1">
      <alignment vertical="center" wrapText="1"/>
    </xf>
    <xf numFmtId="0" fontId="54" fillId="0" borderId="20" xfId="0" applyFont="1" applyBorder="1" applyAlignment="1">
      <alignment horizontal="right" vertical="center" wrapText="1"/>
    </xf>
    <xf numFmtId="0" fontId="50" fillId="0" borderId="0" xfId="0" applyFont="1" applyAlignment="1"/>
    <xf numFmtId="0" fontId="58" fillId="0" borderId="0" xfId="0" applyFont="1" applyAlignment="1">
      <alignment vertical="center"/>
    </xf>
    <xf numFmtId="0" fontId="52" fillId="10" borderId="3" xfId="0" applyFont="1" applyFill="1" applyBorder="1" applyAlignment="1">
      <alignment horizontal="center" vertical="center" wrapText="1"/>
    </xf>
    <xf numFmtId="0" fontId="54" fillId="0" borderId="6" xfId="0" applyFont="1" applyBorder="1" applyAlignment="1">
      <alignment horizontal="right" vertical="center" wrapText="1"/>
    </xf>
    <xf numFmtId="0" fontId="54" fillId="0" borderId="8" xfId="0" applyFont="1" applyBorder="1" applyAlignment="1">
      <alignment horizontal="right" vertical="center" wrapText="1"/>
    </xf>
    <xf numFmtId="0" fontId="54" fillId="0" borderId="4" xfId="0" applyFont="1" applyBorder="1" applyAlignment="1">
      <alignment horizontal="right" vertical="center" wrapText="1"/>
    </xf>
    <xf numFmtId="0" fontId="54" fillId="0" borderId="5" xfId="0" applyFont="1" applyBorder="1" applyAlignment="1">
      <alignment horizontal="right" vertical="center" wrapText="1"/>
    </xf>
    <xf numFmtId="0" fontId="54" fillId="0" borderId="13" xfId="0" applyFont="1" applyBorder="1" applyAlignment="1">
      <alignment horizontal="right" vertical="center" wrapText="1"/>
    </xf>
    <xf numFmtId="3" fontId="54" fillId="0" borderId="24" xfId="0" applyNumberFormat="1" applyFont="1" applyBorder="1" applyAlignment="1">
      <alignment horizontal="right" vertical="center" wrapText="1"/>
    </xf>
    <xf numFmtId="0" fontId="54" fillId="0" borderId="24" xfId="0" applyFont="1" applyBorder="1" applyAlignment="1">
      <alignment horizontal="right" vertical="center" wrapText="1"/>
    </xf>
    <xf numFmtId="0" fontId="52" fillId="10" borderId="14" xfId="0" applyFont="1" applyFill="1" applyBorder="1" applyAlignment="1">
      <alignment horizontal="center" vertical="center" wrapText="1"/>
    </xf>
    <xf numFmtId="0" fontId="54" fillId="0" borderId="10" xfId="0" applyFont="1" applyBorder="1" applyAlignment="1">
      <alignment vertical="center" wrapText="1"/>
    </xf>
    <xf numFmtId="0" fontId="54" fillId="0" borderId="10" xfId="0" applyFont="1" applyBorder="1" applyAlignment="1">
      <alignment horizontal="right" vertical="center" wrapText="1"/>
    </xf>
    <xf numFmtId="0" fontId="54" fillId="0" borderId="9" xfId="0" applyFont="1" applyBorder="1" applyAlignment="1">
      <alignment horizontal="right" vertical="center" wrapText="1"/>
    </xf>
    <xf numFmtId="3" fontId="54" fillId="0" borderId="9" xfId="0" applyNumberFormat="1" applyFont="1" applyBorder="1" applyAlignment="1">
      <alignment horizontal="right" vertical="center" wrapText="1"/>
    </xf>
    <xf numFmtId="0" fontId="54" fillId="0" borderId="12" xfId="0" applyFont="1" applyBorder="1" applyAlignment="1">
      <alignment horizontal="right" vertical="center" wrapText="1"/>
    </xf>
    <xf numFmtId="0" fontId="54" fillId="0" borderId="1" xfId="0" applyFont="1" applyBorder="1" applyAlignment="1">
      <alignment vertical="center" wrapText="1"/>
    </xf>
    <xf numFmtId="0" fontId="54" fillId="0" borderId="1" xfId="0" applyFont="1" applyBorder="1" applyAlignment="1">
      <alignment horizontal="right" vertical="center" wrapText="1"/>
    </xf>
    <xf numFmtId="0" fontId="54" fillId="0" borderId="14" xfId="0" applyFont="1" applyBorder="1" applyAlignment="1">
      <alignment horizontal="right" vertical="center" wrapText="1"/>
    </xf>
    <xf numFmtId="3" fontId="54" fillId="0" borderId="14" xfId="0" applyNumberFormat="1" applyFont="1" applyBorder="1" applyAlignment="1">
      <alignment horizontal="right" vertical="center" wrapText="1"/>
    </xf>
    <xf numFmtId="0" fontId="54" fillId="0" borderId="3" xfId="0" applyFont="1" applyBorder="1" applyAlignment="1">
      <alignment horizontal="right" vertical="center" wrapText="1"/>
    </xf>
    <xf numFmtId="0" fontId="54" fillId="0" borderId="6" xfId="0" applyFont="1" applyBorder="1" applyAlignment="1">
      <alignment vertical="center" wrapText="1"/>
    </xf>
    <xf numFmtId="0" fontId="55" fillId="0" borderId="1" xfId="0" applyFont="1" applyBorder="1" applyAlignment="1">
      <alignment vertical="center" wrapText="1"/>
    </xf>
    <xf numFmtId="0" fontId="52" fillId="10" borderId="13" xfId="0" applyFont="1" applyFill="1" applyBorder="1" applyAlignment="1">
      <alignment horizontal="center" vertical="center" wrapText="1"/>
    </xf>
    <xf numFmtId="0" fontId="52" fillId="10" borderId="8" xfId="0" applyFont="1" applyFill="1" applyBorder="1" applyAlignment="1">
      <alignment horizontal="center" vertical="center" wrapText="1"/>
    </xf>
    <xf numFmtId="0" fontId="54" fillId="0" borderId="4" xfId="0" applyFont="1" applyBorder="1" applyAlignment="1">
      <alignment vertical="center" wrapText="1"/>
    </xf>
    <xf numFmtId="0" fontId="55" fillId="0" borderId="6" xfId="0" applyFont="1" applyBorder="1" applyAlignment="1">
      <alignment vertical="center" wrapText="1"/>
    </xf>
    <xf numFmtId="0" fontId="54" fillId="0" borderId="22" xfId="0" applyNumberFormat="1" applyFont="1" applyBorder="1" applyAlignment="1">
      <alignment horizontal="right" vertical="center" wrapText="1"/>
    </xf>
    <xf numFmtId="0" fontId="0" fillId="9" borderId="0" xfId="0" applyFill="1" applyBorder="1" applyAlignment="1">
      <alignment wrapText="1"/>
    </xf>
    <xf numFmtId="0" fontId="17" fillId="5" borderId="0" xfId="0" applyFont="1" applyFill="1" applyAlignment="1">
      <alignment horizontal="right" vertical="center"/>
    </xf>
    <xf numFmtId="0" fontId="17" fillId="5" borderId="0" xfId="0" applyFont="1" applyFill="1" applyAlignment="1">
      <alignment horizontal="left" vertical="center"/>
    </xf>
    <xf numFmtId="165" fontId="17" fillId="6" borderId="0" xfId="0" applyNumberFormat="1" applyFont="1" applyFill="1" applyAlignment="1">
      <alignment horizontal="center" vertical="center"/>
    </xf>
    <xf numFmtId="0" fontId="17" fillId="0" borderId="0" xfId="0" applyFont="1" applyFill="1" applyAlignment="1">
      <alignment horizontal="center" vertical="center"/>
    </xf>
    <xf numFmtId="0" fontId="42" fillId="5" borderId="0" xfId="0" applyFont="1" applyFill="1" applyAlignment="1">
      <alignment vertical="center" wrapText="1"/>
    </xf>
    <xf numFmtId="0" fontId="7" fillId="5" borderId="0" xfId="0" applyFont="1" applyFill="1" applyAlignment="1">
      <alignment vertical="center"/>
    </xf>
    <xf numFmtId="0" fontId="7" fillId="0" borderId="0" xfId="0" applyFont="1" applyFill="1" applyAlignment="1">
      <alignment horizontal="center" vertical="center"/>
    </xf>
    <xf numFmtId="0" fontId="17" fillId="6" borderId="0" xfId="0" applyFont="1" applyFill="1" applyAlignment="1">
      <alignment horizontal="center" vertical="center"/>
    </xf>
    <xf numFmtId="0" fontId="0" fillId="0" borderId="0" xfId="0" applyAlignment="1">
      <alignment horizontal="right" vertical="center"/>
    </xf>
    <xf numFmtId="2" fontId="0" fillId="0" borderId="9" xfId="0" applyNumberFormat="1" applyBorder="1" applyAlignment="1">
      <alignment horizontal="center" vertical="top"/>
    </xf>
    <xf numFmtId="3" fontId="7" fillId="11" borderId="10" xfId="0" applyNumberFormat="1" applyFont="1" applyFill="1" applyBorder="1"/>
    <xf numFmtId="0" fontId="7" fillId="11" borderId="10" xfId="0" applyFont="1" applyFill="1" applyBorder="1"/>
    <xf numFmtId="4" fontId="7" fillId="11" borderId="6" xfId="0" applyNumberFormat="1" applyFont="1" applyFill="1" applyBorder="1"/>
    <xf numFmtId="0" fontId="7" fillId="11" borderId="1" xfId="0" applyFont="1" applyFill="1" applyBorder="1"/>
    <xf numFmtId="0" fontId="7" fillId="11" borderId="14" xfId="0" applyFont="1" applyFill="1" applyBorder="1"/>
    <xf numFmtId="0" fontId="7" fillId="11" borderId="13" xfId="0" applyFont="1" applyFill="1" applyBorder="1"/>
    <xf numFmtId="170" fontId="7" fillId="11" borderId="10" xfId="0" applyNumberFormat="1" applyFont="1" applyFill="1" applyBorder="1" applyAlignment="1">
      <alignment vertical="center"/>
    </xf>
    <xf numFmtId="167" fontId="7" fillId="11" borderId="10" xfId="0" applyNumberFormat="1" applyFont="1" applyFill="1" applyBorder="1"/>
    <xf numFmtId="165" fontId="7" fillId="11" borderId="9" xfId="0" applyNumberFormat="1" applyFont="1" applyFill="1" applyBorder="1"/>
    <xf numFmtId="165" fontId="17" fillId="11" borderId="9" xfId="0" applyNumberFormat="1" applyFont="1" applyFill="1" applyBorder="1" applyAlignment="1">
      <alignment horizontal="right"/>
    </xf>
    <xf numFmtId="0" fontId="7" fillId="11" borderId="9" xfId="0" applyFont="1" applyFill="1" applyBorder="1" applyProtection="1">
      <protection locked="0"/>
    </xf>
    <xf numFmtId="0" fontId="64" fillId="9" borderId="0" xfId="0" applyFont="1" applyFill="1"/>
    <xf numFmtId="168" fontId="7" fillId="11" borderId="10" xfId="0" applyNumberFormat="1" applyFont="1" applyFill="1" applyBorder="1"/>
    <xf numFmtId="0" fontId="0" fillId="0" borderId="0" xfId="0" applyAlignment="1">
      <alignment horizontal="left"/>
    </xf>
    <xf numFmtId="165" fontId="41" fillId="2" borderId="0" xfId="0" applyNumberFormat="1" applyFont="1" applyFill="1" applyAlignment="1">
      <alignment horizontal="center"/>
    </xf>
    <xf numFmtId="0" fontId="42" fillId="6" borderId="0" xfId="0" applyFont="1" applyFill="1" applyAlignment="1">
      <alignment vertical="center" wrapText="1"/>
    </xf>
    <xf numFmtId="165" fontId="7" fillId="0" borderId="0" xfId="0" applyNumberFormat="1" applyFont="1" applyFill="1" applyAlignment="1">
      <alignment horizontal="left"/>
    </xf>
    <xf numFmtId="0" fontId="6" fillId="3" borderId="4" xfId="0" applyFont="1" applyFill="1" applyBorder="1" applyAlignment="1">
      <alignment horizontal="center" vertical="top" wrapText="1"/>
    </xf>
    <xf numFmtId="0" fontId="6" fillId="3" borderId="0" xfId="0" applyFont="1" applyFill="1" applyBorder="1" applyAlignment="1">
      <alignment horizontal="center" vertical="top" wrapText="1"/>
    </xf>
    <xf numFmtId="0" fontId="6" fillId="3" borderId="5" xfId="0" applyFont="1" applyFill="1" applyBorder="1" applyAlignment="1">
      <alignment horizontal="center" vertical="top" wrapText="1"/>
    </xf>
    <xf numFmtId="0" fontId="6" fillId="3" borderId="6" xfId="0" applyFont="1" applyFill="1" applyBorder="1" applyAlignment="1">
      <alignment horizontal="center" wrapText="1"/>
    </xf>
    <xf numFmtId="0" fontId="6" fillId="3" borderId="7" xfId="0" applyFont="1" applyFill="1" applyBorder="1" applyAlignment="1">
      <alignment horizontal="center" wrapText="1"/>
    </xf>
    <xf numFmtId="0" fontId="6" fillId="3" borderId="8" xfId="0" applyFont="1" applyFill="1" applyBorder="1" applyAlignment="1">
      <alignment horizontal="center" wrapText="1"/>
    </xf>
    <xf numFmtId="0" fontId="8" fillId="0" borderId="0" xfId="0" applyFont="1" applyFill="1" applyAlignment="1">
      <alignment horizontal="left" wrapText="1"/>
    </xf>
    <xf numFmtId="0" fontId="8" fillId="0" borderId="0" xfId="0" applyFont="1" applyAlignment="1">
      <alignment horizontal="left" vertical="top" wrapText="1"/>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2" borderId="0" xfId="0" applyFont="1" applyFill="1" applyBorder="1" applyAlignment="1">
      <alignment horizontal="center"/>
    </xf>
    <xf numFmtId="0" fontId="5" fillId="2" borderId="5" xfId="0" applyFont="1" applyFill="1" applyBorder="1" applyAlignment="1">
      <alignment horizontal="center"/>
    </xf>
    <xf numFmtId="0" fontId="6" fillId="3" borderId="4" xfId="0" applyFont="1" applyFill="1" applyBorder="1" applyAlignment="1">
      <alignment horizontal="center" wrapText="1"/>
    </xf>
    <xf numFmtId="0" fontId="6" fillId="3" borderId="0" xfId="0" applyFont="1" applyFill="1" applyBorder="1" applyAlignment="1">
      <alignment horizontal="center" wrapText="1"/>
    </xf>
    <xf numFmtId="0" fontId="6" fillId="3" borderId="5" xfId="0" applyFont="1" applyFill="1" applyBorder="1" applyAlignment="1">
      <alignment horizontal="center" wrapText="1"/>
    </xf>
    <xf numFmtId="0" fontId="6" fillId="3" borderId="4" xfId="0" applyFont="1" applyFill="1" applyBorder="1" applyAlignment="1">
      <alignment horizontal="center"/>
    </xf>
    <xf numFmtId="0" fontId="6" fillId="3" borderId="0" xfId="0" applyFont="1" applyFill="1" applyBorder="1" applyAlignment="1">
      <alignment horizontal="center"/>
    </xf>
    <xf numFmtId="0" fontId="6" fillId="3" borderId="5" xfId="0" applyFont="1" applyFill="1" applyBorder="1" applyAlignment="1">
      <alignment horizontal="center"/>
    </xf>
    <xf numFmtId="0" fontId="11" fillId="4" borderId="4" xfId="0" applyFont="1" applyFill="1" applyBorder="1" applyAlignment="1">
      <alignment horizontal="left" vertical="center" wrapText="1"/>
    </xf>
    <xf numFmtId="0" fontId="8" fillId="4" borderId="0" xfId="0" applyFont="1" applyFill="1" applyBorder="1" applyAlignment="1">
      <alignment horizontal="left" vertical="center" wrapText="1"/>
    </xf>
    <xf numFmtId="0" fontId="8" fillId="4" borderId="5" xfId="0" applyFont="1" applyFill="1" applyBorder="1" applyAlignment="1">
      <alignment horizontal="left" vertical="center" wrapText="1"/>
    </xf>
    <xf numFmtId="0" fontId="8" fillId="4" borderId="6" xfId="0" applyFont="1" applyFill="1" applyBorder="1" applyAlignment="1">
      <alignment horizontal="left" vertical="center" wrapText="1"/>
    </xf>
    <xf numFmtId="0" fontId="8" fillId="4" borderId="7" xfId="0" applyFont="1" applyFill="1" applyBorder="1" applyAlignment="1">
      <alignment horizontal="left" vertical="center" wrapText="1"/>
    </xf>
    <xf numFmtId="0" fontId="8" fillId="4" borderId="8" xfId="0" applyFont="1" applyFill="1" applyBorder="1" applyAlignment="1">
      <alignment horizontal="left" vertical="center" wrapText="1"/>
    </xf>
    <xf numFmtId="0" fontId="9" fillId="2" borderId="9" xfId="0" applyFont="1" applyFill="1" applyBorder="1" applyAlignment="1">
      <alignment horizontal="center" vertical="top" wrapText="1"/>
    </xf>
    <xf numFmtId="0" fontId="8" fillId="4" borderId="4" xfId="0" applyFont="1" applyFill="1" applyBorder="1" applyAlignment="1">
      <alignment horizontal="left" vertical="center" wrapText="1"/>
    </xf>
    <xf numFmtId="0" fontId="0" fillId="9" borderId="0" xfId="0" applyFill="1" applyBorder="1" applyAlignment="1">
      <alignment horizontal="left" wrapText="1"/>
    </xf>
    <xf numFmtId="0" fontId="0" fillId="0" borderId="10" xfId="0" applyBorder="1" applyAlignment="1" applyProtection="1">
      <alignment horizontal="left" vertical="top" wrapText="1"/>
      <protection locked="0" hidden="1"/>
    </xf>
    <xf numFmtId="0" fontId="0" fillId="0" borderId="12" xfId="0" applyBorder="1" applyAlignment="1" applyProtection="1">
      <alignment horizontal="left" vertical="top" wrapText="1"/>
      <protection locked="0" hidden="1"/>
    </xf>
    <xf numFmtId="0" fontId="0" fillId="4" borderId="10" xfId="0" applyFill="1" applyBorder="1" applyAlignment="1" applyProtection="1">
      <alignment horizontal="center" vertical="top" wrapText="1"/>
      <protection locked="0" hidden="1"/>
    </xf>
    <xf numFmtId="0" fontId="0" fillId="4" borderId="12" xfId="0" applyFill="1" applyBorder="1" applyAlignment="1" applyProtection="1">
      <alignment horizontal="center" vertical="top" wrapText="1"/>
      <protection locked="0" hidden="1"/>
    </xf>
    <xf numFmtId="0" fontId="0" fillId="0" borderId="10"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39" fillId="4" borderId="10" xfId="0" applyFont="1" applyFill="1" applyBorder="1" applyAlignment="1">
      <alignment horizontal="left" wrapText="1"/>
    </xf>
    <xf numFmtId="0" fontId="39" fillId="4" borderId="11" xfId="0" applyFont="1" applyFill="1" applyBorder="1" applyAlignment="1">
      <alignment horizontal="left" wrapText="1"/>
    </xf>
    <xf numFmtId="0" fontId="39" fillId="4" borderId="12" xfId="0" applyFont="1" applyFill="1" applyBorder="1" applyAlignment="1">
      <alignment horizontal="left" wrapText="1"/>
    </xf>
    <xf numFmtId="0" fontId="39" fillId="4" borderId="10" xfId="0" applyFont="1" applyFill="1" applyBorder="1" applyAlignment="1">
      <alignment horizontal="center"/>
    </xf>
    <xf numFmtId="0" fontId="39" fillId="4" borderId="12" xfId="0" applyFont="1" applyFill="1" applyBorder="1" applyAlignment="1">
      <alignment horizontal="center"/>
    </xf>
    <xf numFmtId="0" fontId="3" fillId="5" borderId="0" xfId="0" applyFont="1" applyFill="1" applyBorder="1" applyAlignment="1">
      <alignment horizontal="left" vertical="center" wrapText="1"/>
    </xf>
    <xf numFmtId="0" fontId="3" fillId="5" borderId="4" xfId="0" applyFont="1" applyFill="1" applyBorder="1" applyAlignment="1">
      <alignment horizontal="left" vertical="center" wrapText="1"/>
    </xf>
    <xf numFmtId="0" fontId="0" fillId="0" borderId="10" xfId="0" applyBorder="1" applyAlignment="1" applyProtection="1">
      <alignment horizontal="left" vertical="top" wrapText="1"/>
      <protection hidden="1"/>
    </xf>
    <xf numFmtId="0" fontId="0" fillId="0" borderId="12" xfId="0" applyBorder="1" applyAlignment="1" applyProtection="1">
      <alignment horizontal="left" vertical="top" wrapText="1"/>
      <protection hidden="1"/>
    </xf>
    <xf numFmtId="0" fontId="28" fillId="9" borderId="0" xfId="0" applyFont="1" applyFill="1" applyAlignment="1">
      <alignment horizontal="left"/>
    </xf>
    <xf numFmtId="164" fontId="7" fillId="6" borderId="0" xfId="0" applyNumberFormat="1" applyFont="1" applyFill="1" applyAlignment="1">
      <alignment horizontal="right"/>
    </xf>
    <xf numFmtId="0" fontId="7" fillId="9" borderId="0" xfId="0" applyFont="1" applyFill="1" applyAlignment="1">
      <alignment horizontal="left"/>
    </xf>
    <xf numFmtId="0" fontId="14" fillId="2" borderId="0" xfId="0" applyFont="1" applyFill="1" applyBorder="1" applyAlignment="1" applyProtection="1">
      <alignment horizontal="center"/>
      <protection hidden="1"/>
    </xf>
    <xf numFmtId="0" fontId="20" fillId="5" borderId="0" xfId="0" applyFont="1" applyFill="1" applyBorder="1" applyAlignment="1" applyProtection="1">
      <alignment horizontal="left" wrapText="1"/>
      <protection hidden="1"/>
    </xf>
    <xf numFmtId="0" fontId="1" fillId="2" borderId="14" xfId="0" applyFont="1" applyFill="1" applyBorder="1" applyAlignment="1">
      <alignment horizontal="left"/>
    </xf>
    <xf numFmtId="0" fontId="1" fillId="2" borderId="13" xfId="0" applyFont="1" applyFill="1" applyBorder="1" applyAlignment="1">
      <alignment horizontal="left"/>
    </xf>
    <xf numFmtId="0" fontId="1" fillId="2" borderId="9" xfId="0" applyFont="1" applyFill="1" applyBorder="1" applyAlignment="1">
      <alignment horizontal="center" wrapText="1"/>
    </xf>
    <xf numFmtId="0" fontId="42" fillId="5" borderId="0" xfId="0" applyFont="1" applyFill="1" applyAlignment="1">
      <alignment horizontal="left" wrapText="1"/>
    </xf>
    <xf numFmtId="0" fontId="42" fillId="6" borderId="0" xfId="0" applyFont="1" applyFill="1" applyAlignment="1">
      <alignment horizontal="center" vertical="center" wrapText="1"/>
    </xf>
    <xf numFmtId="0" fontId="9" fillId="2" borderId="0" xfId="0" applyFont="1" applyFill="1" applyAlignment="1">
      <alignment horizontal="right"/>
    </xf>
    <xf numFmtId="0" fontId="17" fillId="6" borderId="0" xfId="0" applyFont="1" applyFill="1" applyAlignment="1">
      <alignment horizontal="right"/>
    </xf>
    <xf numFmtId="0" fontId="61" fillId="2" borderId="0" xfId="0" applyFont="1" applyFill="1" applyAlignment="1">
      <alignment horizontal="center"/>
    </xf>
    <xf numFmtId="0" fontId="52" fillId="10" borderId="1" xfId="0" applyFont="1" applyFill="1" applyBorder="1" applyAlignment="1">
      <alignment horizontal="left" vertical="center" wrapText="1"/>
    </xf>
    <xf numFmtId="0" fontId="52" fillId="10" borderId="6" xfId="0" applyFont="1" applyFill="1" applyBorder="1" applyAlignment="1">
      <alignment horizontal="left" vertical="center" wrapText="1"/>
    </xf>
    <xf numFmtId="0" fontId="52" fillId="10" borderId="1" xfId="0" applyFont="1" applyFill="1" applyBorder="1" applyAlignment="1">
      <alignment horizontal="center" vertical="center" wrapText="1"/>
    </xf>
    <xf numFmtId="0" fontId="52" fillId="10" borderId="6" xfId="0" applyFont="1" applyFill="1" applyBorder="1" applyAlignment="1">
      <alignment horizontal="center" vertical="center" wrapText="1"/>
    </xf>
    <xf numFmtId="0" fontId="52" fillId="10" borderId="14" xfId="0" applyFont="1" applyFill="1" applyBorder="1" applyAlignment="1">
      <alignment horizontal="center" vertical="center" wrapText="1"/>
    </xf>
    <xf numFmtId="0" fontId="52" fillId="10" borderId="13" xfId="0" applyFont="1" applyFill="1" applyBorder="1" applyAlignment="1">
      <alignment horizontal="center" vertical="center" wrapText="1"/>
    </xf>
    <xf numFmtId="0" fontId="52" fillId="10" borderId="3" xfId="0" applyFont="1" applyFill="1" applyBorder="1" applyAlignment="1">
      <alignment horizontal="center" vertical="center" wrapText="1"/>
    </xf>
    <xf numFmtId="0" fontId="52" fillId="10" borderId="8" xfId="0" applyFont="1" applyFill="1" applyBorder="1" applyAlignment="1">
      <alignment horizontal="center" vertical="center" wrapText="1"/>
    </xf>
    <xf numFmtId="0" fontId="52" fillId="10" borderId="16" xfId="0" applyFont="1" applyFill="1" applyBorder="1" applyAlignment="1">
      <alignment horizontal="center" vertical="center" wrapText="1"/>
    </xf>
    <xf numFmtId="0" fontId="52" fillId="10" borderId="17" xfId="0" applyFont="1" applyFill="1" applyBorder="1" applyAlignment="1">
      <alignment horizontal="center" vertical="center" wrapText="1"/>
    </xf>
    <xf numFmtId="0" fontId="52" fillId="10" borderId="23" xfId="0" applyFont="1" applyFill="1" applyBorder="1" applyAlignment="1">
      <alignment horizontal="center" vertical="center" wrapText="1"/>
    </xf>
    <xf numFmtId="0" fontId="52" fillId="10" borderId="18" xfId="0" applyFont="1" applyFill="1" applyBorder="1" applyAlignment="1">
      <alignment horizontal="center" vertical="center" wrapText="1"/>
    </xf>
    <xf numFmtId="0" fontId="52" fillId="10" borderId="19" xfId="0" applyFont="1" applyFill="1" applyBorder="1" applyAlignment="1">
      <alignment horizontal="center" vertical="center" wrapText="1"/>
    </xf>
    <xf numFmtId="0" fontId="62" fillId="2" borderId="0" xfId="0" applyFont="1" applyFill="1" applyAlignment="1">
      <alignment horizontal="center" vertical="center"/>
    </xf>
  </cellXfs>
  <cellStyles count="2">
    <cellStyle name="Currency" xfId="1" builtinId="4"/>
    <cellStyle name="Normal" xfId="0" builtinId="0"/>
  </cellStyles>
  <dxfs count="3">
    <dxf>
      <font>
        <color rgb="FFC00000"/>
      </font>
    </dxf>
    <dxf>
      <font>
        <color rgb="FFC00000"/>
      </font>
    </dxf>
    <dxf>
      <font>
        <color rgb="FFC00000"/>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ns0:Relationships xmlns:ns0="http://schemas.openxmlformats.org/package/2006/relationships"><ns0:Relationship Id="rId8" Type="http://schemas.openxmlformats.org/officeDocument/2006/relationships/styles" Target="styles.xml" /><ns0:Relationship Id="rId3" Type="http://schemas.openxmlformats.org/officeDocument/2006/relationships/worksheet" Target="worksheets/sheet3.xml" /><ns0:Relationship Id="rId7" Type="http://schemas.openxmlformats.org/officeDocument/2006/relationships/theme" Target="theme/theme1.xml" /><ns0:Relationship Id="rId2" Type="http://schemas.openxmlformats.org/officeDocument/2006/relationships/worksheet" Target="worksheets/sheet2.xml" /><ns0:Relationship Id="rId1" Type="http://schemas.openxmlformats.org/officeDocument/2006/relationships/worksheet" Target="worksheets/sheet1.xml" /><ns0:Relationship Id="rId6" Type="http://schemas.openxmlformats.org/officeDocument/2006/relationships/worksheet" Target="worksheets/sheet6.xml" /><ns0:Relationship Id="rId5" Type="http://schemas.openxmlformats.org/officeDocument/2006/relationships/worksheet" Target="worksheets/sheet5.xml" /><ns0:Relationship Id="rId10" Type="http://schemas.openxmlformats.org/officeDocument/2006/relationships/calcChain" Target="calcChain.xml" /><ns0:Relationship Id="rId4" Type="http://schemas.openxmlformats.org/officeDocument/2006/relationships/worksheet" Target="worksheets/sheet4.xml" /><ns0:Relationship Id="rId9" Type="http://schemas.openxmlformats.org/officeDocument/2006/relationships/sharedStrings" Target="sharedStrings.xml" /></ns0:Relationships>
</file>

<file path=xl/ctrlProps/ctrlProp1.xml><?xml version="1.0" encoding="utf-8"?>
<formControlPr xmlns="http://schemas.microsoft.com/office/spreadsheetml/2009/9/main" objectType="Drop" dropLines="4" dropStyle="combo" dx="16" fmlaLink="$L$1" fmlaRange="$M$1:$M$4" noThreeD="1" sel="4" val="0"/>
</file>

<file path=xl/ctrlProps/ctrlProp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4899660</xdr:colOff>
          <xdr:row>1</xdr:row>
          <xdr:rowOff>251460</xdr:rowOff>
        </xdr:from>
        <xdr:to>
          <xdr:col>2</xdr:col>
          <xdr:colOff>45720</xdr:colOff>
          <xdr:row>3</xdr:row>
          <xdr:rowOff>0</xdr:rowOff>
        </xdr:to>
        <xdr:sp macro="" textlink="">
          <xdr:nvSpPr>
            <xdr:cNvPr id="3073" name="Drop Down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259080</xdr:colOff>
          <xdr:row>1</xdr:row>
          <xdr:rowOff>259080</xdr:rowOff>
        </xdr:from>
        <xdr:to>
          <xdr:col>7</xdr:col>
          <xdr:colOff>304800</xdr:colOff>
          <xdr:row>3</xdr:row>
          <xdr:rowOff>7620</xdr:rowOff>
        </xdr:to>
        <xdr:sp macro="" textlink="">
          <xdr:nvSpPr>
            <xdr:cNvPr id="3075" name="Button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RESET</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22"/>
  <sheetViews>
    <sheetView showGridLines="0" tabSelected="1" topLeftCell="A16" zoomScale="110" zoomScaleNormal="110" workbookViewId="0">
      <selection activeCell="B11" sqref="B11:N11"/>
    </sheetView>
  </sheetViews>
  <sheetFormatPr defaultRowHeight="14.4" x14ac:dyDescent="0.3"/>
  <cols>
    <col min="3" max="3" width="3.6640625" customWidth="1"/>
    <col min="4" max="4" width="22.44140625" customWidth="1"/>
    <col min="5" max="5" width="37.88671875" customWidth="1"/>
    <col min="13" max="13" width="34.88671875" customWidth="1"/>
  </cols>
  <sheetData>
    <row r="1" spans="1:15" ht="23.4" x14ac:dyDescent="0.45">
      <c r="A1" s="311" t="s">
        <v>15</v>
      </c>
      <c r="B1" s="312"/>
      <c r="C1" s="312"/>
      <c r="D1" s="312"/>
      <c r="E1" s="312"/>
      <c r="F1" s="312"/>
      <c r="G1" s="312"/>
      <c r="H1" s="312"/>
      <c r="I1" s="312"/>
      <c r="J1" s="312"/>
      <c r="K1" s="312"/>
      <c r="L1" s="312"/>
      <c r="M1" s="312"/>
      <c r="N1" s="312"/>
      <c r="O1" s="313"/>
    </row>
    <row r="2" spans="1:15" ht="23.4" x14ac:dyDescent="0.45">
      <c r="A2" s="314" t="s">
        <v>47</v>
      </c>
      <c r="B2" s="315"/>
      <c r="C2" s="315"/>
      <c r="D2" s="315"/>
      <c r="E2" s="315"/>
      <c r="F2" s="315"/>
      <c r="G2" s="315"/>
      <c r="H2" s="315"/>
      <c r="I2" s="315"/>
      <c r="J2" s="315"/>
      <c r="K2" s="315"/>
      <c r="L2" s="315"/>
      <c r="M2" s="315"/>
      <c r="N2" s="315"/>
      <c r="O2" s="316"/>
    </row>
    <row r="3" spans="1:15" ht="15.6" x14ac:dyDescent="0.3">
      <c r="A3" s="317" t="s">
        <v>16</v>
      </c>
      <c r="B3" s="318"/>
      <c r="C3" s="318"/>
      <c r="D3" s="318"/>
      <c r="E3" s="318"/>
      <c r="F3" s="318"/>
      <c r="G3" s="318"/>
      <c r="H3" s="318"/>
      <c r="I3" s="318"/>
      <c r="J3" s="318"/>
      <c r="K3" s="318"/>
      <c r="L3" s="318"/>
      <c r="M3" s="318"/>
      <c r="N3" s="318"/>
      <c r="O3" s="319"/>
    </row>
    <row r="4" spans="1:15" ht="15.6" x14ac:dyDescent="0.3">
      <c r="A4" s="320" t="s">
        <v>17</v>
      </c>
      <c r="B4" s="321"/>
      <c r="C4" s="321"/>
      <c r="D4" s="321"/>
      <c r="E4" s="321"/>
      <c r="F4" s="321"/>
      <c r="G4" s="321"/>
      <c r="H4" s="321"/>
      <c r="I4" s="321"/>
      <c r="J4" s="321"/>
      <c r="K4" s="321"/>
      <c r="L4" s="321"/>
      <c r="M4" s="321"/>
      <c r="N4" s="321"/>
      <c r="O4" s="322"/>
    </row>
    <row r="5" spans="1:15" ht="15.6" x14ac:dyDescent="0.3">
      <c r="A5" s="303" t="s">
        <v>18</v>
      </c>
      <c r="B5" s="304"/>
      <c r="C5" s="304"/>
      <c r="D5" s="304"/>
      <c r="E5" s="304"/>
      <c r="F5" s="304"/>
      <c r="G5" s="304"/>
      <c r="H5" s="304"/>
      <c r="I5" s="304"/>
      <c r="J5" s="304"/>
      <c r="K5" s="304"/>
      <c r="L5" s="304"/>
      <c r="M5" s="304"/>
      <c r="N5" s="304"/>
      <c r="O5" s="305"/>
    </row>
    <row r="6" spans="1:15" ht="15.6" x14ac:dyDescent="0.3">
      <c r="A6" s="303" t="s">
        <v>19</v>
      </c>
      <c r="B6" s="304"/>
      <c r="C6" s="304"/>
      <c r="D6" s="304"/>
      <c r="E6" s="304"/>
      <c r="F6" s="304"/>
      <c r="G6" s="304"/>
      <c r="H6" s="304"/>
      <c r="I6" s="304"/>
      <c r="J6" s="304"/>
      <c r="K6" s="304"/>
      <c r="L6" s="304"/>
      <c r="M6" s="304"/>
      <c r="N6" s="304"/>
      <c r="O6" s="305"/>
    </row>
    <row r="7" spans="1:15" ht="15.6" x14ac:dyDescent="0.3">
      <c r="A7" s="306" t="s">
        <v>343</v>
      </c>
      <c r="B7" s="307"/>
      <c r="C7" s="307"/>
      <c r="D7" s="307"/>
      <c r="E7" s="307"/>
      <c r="F7" s="307"/>
      <c r="G7" s="307"/>
      <c r="H7" s="307"/>
      <c r="I7" s="307"/>
      <c r="J7" s="307"/>
      <c r="K7" s="307"/>
      <c r="L7" s="307"/>
      <c r="M7" s="307"/>
      <c r="N7" s="307"/>
      <c r="O7" s="308"/>
    </row>
    <row r="9" spans="1:15" ht="104.25" customHeight="1" x14ac:dyDescent="0.3">
      <c r="A9" s="4"/>
      <c r="B9" s="309" t="s">
        <v>208</v>
      </c>
      <c r="C9" s="309"/>
      <c r="D9" s="309"/>
      <c r="E9" s="309"/>
      <c r="F9" s="309"/>
      <c r="G9" s="309"/>
      <c r="H9" s="309"/>
      <c r="I9" s="309"/>
      <c r="J9" s="309"/>
      <c r="K9" s="309"/>
      <c r="L9" s="309"/>
      <c r="M9" s="309"/>
      <c r="N9" s="309"/>
      <c r="O9" s="5"/>
    </row>
    <row r="10" spans="1:15" ht="15.6" x14ac:dyDescent="0.3">
      <c r="A10" s="4"/>
      <c r="B10" s="4"/>
      <c r="C10" s="4"/>
      <c r="D10" s="4"/>
      <c r="E10" s="4"/>
      <c r="F10" s="4"/>
      <c r="G10" s="4"/>
      <c r="H10" s="4"/>
      <c r="I10" s="4"/>
      <c r="J10" s="4"/>
      <c r="K10" s="4"/>
      <c r="L10" s="4"/>
      <c r="M10" s="4"/>
      <c r="N10" s="4"/>
      <c r="O10" s="4"/>
    </row>
    <row r="11" spans="1:15" ht="86.25" customHeight="1" x14ac:dyDescent="0.3">
      <c r="A11" s="4"/>
      <c r="B11" s="310" t="s">
        <v>329</v>
      </c>
      <c r="C11" s="310"/>
      <c r="D11" s="310"/>
      <c r="E11" s="310"/>
      <c r="F11" s="310"/>
      <c r="G11" s="310"/>
      <c r="H11" s="310"/>
      <c r="I11" s="310"/>
      <c r="J11" s="310"/>
      <c r="K11" s="310"/>
      <c r="L11" s="310"/>
      <c r="M11" s="310"/>
      <c r="N11" s="310"/>
      <c r="O11" s="4"/>
    </row>
    <row r="12" spans="1:15" ht="15.6" x14ac:dyDescent="0.3">
      <c r="A12" s="4"/>
      <c r="B12" s="6"/>
      <c r="C12" s="6"/>
      <c r="D12" s="6"/>
      <c r="E12" s="6"/>
      <c r="F12" s="6"/>
      <c r="G12" s="6"/>
      <c r="H12" s="6"/>
      <c r="I12" s="6"/>
      <c r="J12" s="6"/>
      <c r="K12" s="6"/>
      <c r="L12" s="6"/>
      <c r="M12" s="6"/>
      <c r="N12" s="6"/>
      <c r="O12" s="4"/>
    </row>
    <row r="13" spans="1:15" ht="51" customHeight="1" x14ac:dyDescent="0.3">
      <c r="A13" s="4"/>
      <c r="B13" s="310" t="s">
        <v>330</v>
      </c>
      <c r="C13" s="310"/>
      <c r="D13" s="310"/>
      <c r="E13" s="310"/>
      <c r="F13" s="310"/>
      <c r="G13" s="310"/>
      <c r="H13" s="310"/>
      <c r="I13" s="310"/>
      <c r="J13" s="310"/>
      <c r="K13" s="310"/>
      <c r="L13" s="310"/>
      <c r="M13" s="310"/>
      <c r="N13" s="310"/>
      <c r="O13" s="4"/>
    </row>
    <row r="14" spans="1:15" ht="15.6" x14ac:dyDescent="0.3">
      <c r="A14" s="4"/>
      <c r="B14" s="19"/>
      <c r="C14" s="19"/>
      <c r="D14" s="19"/>
      <c r="E14" s="19"/>
      <c r="F14" s="19"/>
      <c r="G14" s="19"/>
      <c r="H14" s="19"/>
      <c r="I14" s="19"/>
      <c r="J14" s="19"/>
      <c r="K14" s="19"/>
      <c r="L14" s="19"/>
      <c r="M14" s="19"/>
      <c r="N14" s="19"/>
      <c r="O14" s="4"/>
    </row>
    <row r="15" spans="1:15" ht="15.6" x14ac:dyDescent="0.3">
      <c r="A15" s="4"/>
      <c r="B15" s="7"/>
      <c r="C15" s="7"/>
      <c r="D15" s="7"/>
      <c r="E15" s="7"/>
      <c r="F15" s="7"/>
      <c r="G15" s="7"/>
      <c r="H15" s="7"/>
      <c r="I15" s="7"/>
      <c r="J15" s="7"/>
      <c r="K15" s="7"/>
      <c r="L15" s="7"/>
      <c r="M15" s="7"/>
      <c r="N15" s="7"/>
      <c r="O15" s="4"/>
    </row>
    <row r="16" spans="1:15" ht="23.25" customHeight="1" x14ac:dyDescent="0.3">
      <c r="A16" s="4"/>
      <c r="B16" s="329" t="s">
        <v>20</v>
      </c>
      <c r="C16" s="329"/>
      <c r="D16" s="329"/>
      <c r="E16" s="329"/>
      <c r="F16" s="329"/>
      <c r="G16" s="329"/>
      <c r="H16" s="329"/>
      <c r="I16" s="329"/>
      <c r="J16" s="329"/>
      <c r="K16" s="329"/>
      <c r="L16" s="329"/>
      <c r="M16" s="329"/>
      <c r="N16" s="329"/>
      <c r="O16" s="4"/>
    </row>
    <row r="17" spans="1:15" ht="36" customHeight="1" x14ac:dyDescent="0.3">
      <c r="B17" s="330" t="s">
        <v>320</v>
      </c>
      <c r="C17" s="324"/>
      <c r="D17" s="324"/>
      <c r="E17" s="324"/>
      <c r="F17" s="324"/>
      <c r="G17" s="324"/>
      <c r="H17" s="324"/>
      <c r="I17" s="324"/>
      <c r="J17" s="324"/>
      <c r="K17" s="324"/>
      <c r="L17" s="324"/>
      <c r="M17" s="324"/>
      <c r="N17" s="325"/>
    </row>
    <row r="18" spans="1:15" ht="33" customHeight="1" x14ac:dyDescent="0.3">
      <c r="B18" s="330" t="s">
        <v>207</v>
      </c>
      <c r="C18" s="324"/>
      <c r="D18" s="324"/>
      <c r="E18" s="324"/>
      <c r="F18" s="324"/>
      <c r="G18" s="324"/>
      <c r="H18" s="324"/>
      <c r="I18" s="324"/>
      <c r="J18" s="324"/>
      <c r="K18" s="324"/>
      <c r="L18" s="324"/>
      <c r="M18" s="324"/>
      <c r="N18" s="325"/>
    </row>
    <row r="19" spans="1:15" ht="80.25" customHeight="1" x14ac:dyDescent="0.3">
      <c r="B19" s="323" t="s">
        <v>331</v>
      </c>
      <c r="C19" s="324"/>
      <c r="D19" s="324"/>
      <c r="E19" s="324"/>
      <c r="F19" s="324"/>
      <c r="G19" s="324"/>
      <c r="H19" s="324"/>
      <c r="I19" s="324"/>
      <c r="J19" s="324"/>
      <c r="K19" s="324"/>
      <c r="L19" s="324"/>
      <c r="M19" s="324"/>
      <c r="N19" s="325"/>
    </row>
    <row r="20" spans="1:15" ht="49.5" customHeight="1" x14ac:dyDescent="0.3">
      <c r="A20" s="8"/>
      <c r="B20" s="326" t="s">
        <v>110</v>
      </c>
      <c r="C20" s="327"/>
      <c r="D20" s="327"/>
      <c r="E20" s="327"/>
      <c r="F20" s="327"/>
      <c r="G20" s="327"/>
      <c r="H20" s="327"/>
      <c r="I20" s="327"/>
      <c r="J20" s="327"/>
      <c r="K20" s="327"/>
      <c r="L20" s="327"/>
      <c r="M20" s="327"/>
      <c r="N20" s="328"/>
      <c r="O20" s="8"/>
    </row>
    <row r="21" spans="1:15" ht="15.6" x14ac:dyDescent="0.3">
      <c r="B21" s="9"/>
      <c r="C21" s="9"/>
      <c r="D21" s="9"/>
      <c r="E21" s="9"/>
      <c r="F21" s="9"/>
      <c r="G21" s="9"/>
      <c r="H21" s="9"/>
      <c r="I21" s="9"/>
      <c r="J21" s="9"/>
      <c r="K21" s="9"/>
      <c r="L21" s="9"/>
      <c r="M21" s="9"/>
      <c r="N21" s="9"/>
    </row>
    <row r="22" spans="1:15" ht="15.6" x14ac:dyDescent="0.3">
      <c r="C22" s="9"/>
      <c r="D22" s="9"/>
      <c r="E22" s="9"/>
      <c r="F22" s="9"/>
      <c r="G22" s="9"/>
      <c r="H22" s="9"/>
      <c r="I22" s="9"/>
      <c r="J22" s="9"/>
      <c r="K22" s="9"/>
      <c r="L22" s="9"/>
      <c r="M22" s="9"/>
      <c r="N22" s="9"/>
    </row>
  </sheetData>
  <mergeCells count="15">
    <mergeCell ref="B19:N19"/>
    <mergeCell ref="B20:N20"/>
    <mergeCell ref="B16:N16"/>
    <mergeCell ref="B17:N17"/>
    <mergeCell ref="B18:N18"/>
    <mergeCell ref="A1:O1"/>
    <mergeCell ref="A2:O2"/>
    <mergeCell ref="A3:O3"/>
    <mergeCell ref="A4:O4"/>
    <mergeCell ref="A5:O5"/>
    <mergeCell ref="A6:O6"/>
    <mergeCell ref="A7:O7"/>
    <mergeCell ref="B9:N9"/>
    <mergeCell ref="B11:N11"/>
    <mergeCell ref="B13:N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N54"/>
  <sheetViews>
    <sheetView zoomScaleNormal="100" workbookViewId="0">
      <selection activeCell="A2" sqref="A2"/>
    </sheetView>
  </sheetViews>
  <sheetFormatPr defaultColWidth="9.109375" defaultRowHeight="14.4" x14ac:dyDescent="0.3"/>
  <cols>
    <col min="1" max="1" width="80.44140625" style="22" customWidth="1"/>
    <col min="2" max="2" width="27.5546875" style="22" customWidth="1"/>
    <col min="3" max="3" width="29.6640625" style="22" customWidth="1"/>
    <col min="4" max="4" width="24.33203125" style="22" customWidth="1"/>
    <col min="5" max="5" width="15.88671875" style="22" customWidth="1"/>
    <col min="6" max="6" width="17" style="22" customWidth="1"/>
    <col min="7" max="7" width="15.109375" style="22" customWidth="1"/>
    <col min="8" max="8" width="14.33203125" style="22" customWidth="1"/>
    <col min="9" max="9" width="9.109375" style="22"/>
    <col min="10" max="10" width="51.44140625" style="22" customWidth="1"/>
    <col min="11" max="11" width="9.109375" style="22"/>
    <col min="12" max="12" width="15.33203125" style="22" customWidth="1"/>
    <col min="13" max="18" width="9.109375" style="22" customWidth="1"/>
    <col min="19" max="16384" width="9.109375" style="22"/>
  </cols>
  <sheetData>
    <row r="1" spans="1:14" ht="23.4" x14ac:dyDescent="0.45">
      <c r="A1" s="96"/>
      <c r="B1" s="96"/>
      <c r="C1" s="96" t="s">
        <v>21</v>
      </c>
      <c r="D1" s="96"/>
      <c r="E1" s="96"/>
      <c r="F1" s="96"/>
      <c r="G1" s="96"/>
      <c r="H1" s="96"/>
      <c r="I1" s="96"/>
      <c r="J1" s="185"/>
      <c r="K1" s="23"/>
      <c r="L1" s="31">
        <v>4</v>
      </c>
      <c r="M1" s="31"/>
      <c r="N1" s="31"/>
    </row>
    <row r="2" spans="1:14" ht="23.4" x14ac:dyDescent="0.45">
      <c r="A2" s="30"/>
      <c r="B2" s="30"/>
      <c r="C2" s="30"/>
      <c r="D2" s="30"/>
      <c r="E2" s="30"/>
      <c r="F2" s="30"/>
      <c r="G2" s="30"/>
      <c r="H2" s="30"/>
      <c r="I2" s="30"/>
      <c r="J2" s="186"/>
      <c r="K2" s="23"/>
      <c r="L2" s="31"/>
      <c r="M2" s="31" t="s">
        <v>102</v>
      </c>
      <c r="N2" s="31"/>
    </row>
    <row r="3" spans="1:14" ht="23.4" x14ac:dyDescent="0.45">
      <c r="A3" s="78" t="s">
        <v>101</v>
      </c>
      <c r="B3" s="94"/>
      <c r="C3" s="91"/>
      <c r="D3" s="30"/>
      <c r="E3" s="30"/>
      <c r="F3" s="30"/>
      <c r="G3" s="30"/>
      <c r="H3" s="30"/>
      <c r="I3" s="30"/>
      <c r="J3" s="186"/>
      <c r="K3" s="23"/>
      <c r="L3" s="31"/>
      <c r="M3" s="31" t="s">
        <v>103</v>
      </c>
      <c r="N3" s="31"/>
    </row>
    <row r="4" spans="1:14" ht="23.4" x14ac:dyDescent="0.45">
      <c r="A4" s="30"/>
      <c r="B4" s="30"/>
      <c r="C4" s="30"/>
      <c r="D4" s="30"/>
      <c r="E4" s="30"/>
      <c r="F4" s="30"/>
      <c r="G4" s="30"/>
      <c r="H4" s="30"/>
      <c r="I4" s="30"/>
      <c r="J4" s="186"/>
      <c r="K4" s="23"/>
      <c r="L4" s="23"/>
      <c r="M4" s="31" t="s">
        <v>104</v>
      </c>
      <c r="N4" s="23"/>
    </row>
    <row r="5" spans="1:14" ht="18" x14ac:dyDescent="0.35">
      <c r="A5" s="97" t="s">
        <v>50</v>
      </c>
      <c r="B5" s="97"/>
      <c r="C5" s="97"/>
      <c r="D5" s="97"/>
      <c r="E5" s="97"/>
      <c r="F5" s="97"/>
      <c r="G5" s="97"/>
      <c r="H5" s="97"/>
      <c r="I5" s="97"/>
      <c r="J5" s="97"/>
    </row>
    <row r="6" spans="1:14" ht="18" x14ac:dyDescent="0.35">
      <c r="A6" s="25"/>
      <c r="M6" s="92"/>
    </row>
    <row r="7" spans="1:14" s="25" customFormat="1" ht="20.25" customHeight="1" x14ac:dyDescent="0.4">
      <c r="A7" s="37" t="s">
        <v>225</v>
      </c>
      <c r="B7" s="286">
        <v>2080</v>
      </c>
      <c r="C7" s="68" t="s">
        <v>0</v>
      </c>
      <c r="D7" s="286">
        <v>8</v>
      </c>
      <c r="E7" s="68" t="s">
        <v>75</v>
      </c>
      <c r="F7" s="188"/>
      <c r="G7" s="188"/>
      <c r="H7" s="188"/>
      <c r="I7" s="188"/>
      <c r="J7" s="189"/>
      <c r="K7" s="24"/>
      <c r="L7" s="24"/>
      <c r="M7" s="93"/>
      <c r="N7" s="24"/>
    </row>
    <row r="8" spans="1:14" ht="20.25" customHeight="1" x14ac:dyDescent="0.4">
      <c r="A8" s="37" t="s">
        <v>96</v>
      </c>
      <c r="B8" s="286">
        <v>100</v>
      </c>
      <c r="C8" s="68" t="str">
        <f>"scfm (at 77 °F; 1 atm)"&amp;(IF(B8=100,"*",""))</f>
        <v>scfm (at 77 °F; 1 atm)*</v>
      </c>
      <c r="D8" s="191" t="str">
        <f>IF(B8=100,"* 100 scfm is a default volumetric flow rate. User should enter actual value, if known."," ")</f>
        <v>* 100 scfm is a default volumetric flow rate. User should enter actual value, if known.</v>
      </c>
      <c r="E8" s="50"/>
      <c r="F8" s="50"/>
      <c r="G8" s="50"/>
      <c r="H8" s="50"/>
      <c r="I8" s="50"/>
      <c r="J8" s="190"/>
      <c r="K8" s="13"/>
      <c r="L8" s="13"/>
      <c r="M8" s="13"/>
      <c r="N8" s="13"/>
    </row>
    <row r="9" spans="1:14" s="25" customFormat="1" ht="20.25" customHeight="1" x14ac:dyDescent="0.4">
      <c r="A9" s="37" t="s">
        <v>97</v>
      </c>
      <c r="B9" s="287">
        <v>86</v>
      </c>
      <c r="C9" s="68" t="str">
        <f>"°F"&amp;(IF(B9=86,"*",""))</f>
        <v>°F*</v>
      </c>
      <c r="D9" s="191" t="str">
        <f>IF(B9=86,"* 86 °F is a default inlet stream temperature. User should enter actual value, if known."," ")</f>
        <v>* 86 °F is a default inlet stream temperature. User should enter actual value, if known.</v>
      </c>
      <c r="E9" s="28"/>
      <c r="F9" s="28"/>
      <c r="G9" s="28"/>
      <c r="H9" s="28"/>
      <c r="I9" s="28"/>
      <c r="J9" s="28"/>
      <c r="M9" s="12"/>
      <c r="N9" s="12"/>
    </row>
    <row r="10" spans="1:14" s="25" customFormat="1" ht="20.25" customHeight="1" x14ac:dyDescent="0.35">
      <c r="A10" s="37" t="s">
        <v>98</v>
      </c>
      <c r="B10" s="287">
        <v>90</v>
      </c>
      <c r="C10" s="68" t="str">
        <f>"%"&amp;(IF(B10=90, "*",""))</f>
        <v>%*</v>
      </c>
      <c r="D10" s="191" t="str">
        <f>IF(B10=90,"* 90% is a default control efficiency. User should enter actual value, if known."," ")</f>
        <v>* 90% is a default control efficiency. User should enter actual value, if known.</v>
      </c>
      <c r="E10" s="28"/>
      <c r="F10" s="28"/>
      <c r="G10" s="28"/>
      <c r="H10" s="28"/>
      <c r="I10" s="28"/>
      <c r="J10" s="28"/>
      <c r="M10" s="12">
        <f>B10/100</f>
        <v>0.9</v>
      </c>
      <c r="N10" s="12"/>
    </row>
    <row r="11" spans="1:14" s="25" customFormat="1" ht="20.25" customHeight="1" x14ac:dyDescent="0.4">
      <c r="A11" s="37" t="s">
        <v>99</v>
      </c>
      <c r="B11" s="288">
        <v>0.65</v>
      </c>
      <c r="C11" s="52" t="str">
        <f>"Btu/lb-mole-°F"&amp;IF(B11=0.65,"*","")</f>
        <v>Btu/lb-mole-°F*</v>
      </c>
      <c r="D11" s="191" t="str">
        <f>IF(B11=0.65,"* 0.65 Btu/lb-mole-°F is a default value. User should enter actual value, if known."," ")</f>
        <v>* 0.65 Btu/lb-mole-°F is a default value. User should enter actual value, if known.</v>
      </c>
      <c r="E11" s="28"/>
      <c r="F11" s="28"/>
      <c r="G11" s="28"/>
      <c r="H11" s="28"/>
      <c r="I11" s="28"/>
      <c r="J11" s="28"/>
      <c r="M11" s="12"/>
      <c r="N11" s="12"/>
    </row>
    <row r="12" spans="1:14" s="25" customFormat="1" ht="20.25" customHeight="1" x14ac:dyDescent="0.35">
      <c r="A12" s="37" t="s">
        <v>62</v>
      </c>
      <c r="B12" s="289">
        <v>15</v>
      </c>
      <c r="C12" s="51" t="str">
        <f>"Years"&amp;IF(B12=15,"*","")</f>
        <v>Years*</v>
      </c>
      <c r="D12" s="191" t="str">
        <f>IF(B12=15,"* 15 years is a default equipment life. User should enter actual value, if known."," ")</f>
        <v>* 15 years is a default equipment life. User should enter actual value, if known.</v>
      </c>
      <c r="E12" s="28"/>
      <c r="F12" s="28"/>
      <c r="G12" s="28"/>
      <c r="H12" s="28"/>
      <c r="I12" s="28"/>
      <c r="J12" s="28"/>
      <c r="M12" s="12"/>
      <c r="N12" s="12"/>
    </row>
    <row r="13" spans="1:14" s="25" customFormat="1" ht="20.25" customHeight="1" x14ac:dyDescent="0.35">
      <c r="A13" s="37" t="s">
        <v>68</v>
      </c>
      <c r="B13" s="287">
        <v>20</v>
      </c>
      <c r="C13" s="68" t="str">
        <f>"Btu/hour-ft²-°F"&amp;IF(B13=20,"*","")</f>
        <v>Btu/hour-ft²-°F*</v>
      </c>
      <c r="D13" s="191" t="str">
        <f>IF(B13=20,"* 20 Btu/hour-ft²-°F is a default heat transfer coefficient. User should enter actual value, if known."," ")</f>
        <v>* 20 Btu/hour-ft²-°F is a default heat transfer coefficient. User should enter actual value, if known.</v>
      </c>
      <c r="E13" s="28"/>
      <c r="F13" s="28"/>
      <c r="G13" s="28"/>
      <c r="H13" s="28"/>
      <c r="I13" s="28"/>
      <c r="J13" s="28"/>
      <c r="M13" s="12"/>
      <c r="N13" s="12"/>
    </row>
    <row r="14" spans="1:14" s="25" customFormat="1" ht="20.25" customHeight="1" x14ac:dyDescent="0.4">
      <c r="A14" s="61" t="s">
        <v>134</v>
      </c>
      <c r="B14" s="287">
        <v>85</v>
      </c>
      <c r="C14" s="68" t="str">
        <f>"%"&amp;IF(B14=85,"*","")</f>
        <v>%*</v>
      </c>
      <c r="D14" s="191" t="str">
        <f>IF(B14=85,"* 85% is a default value. User should enter actual value, if known."," ")</f>
        <v>* 85% is a default value. User should enter actual value, if known.</v>
      </c>
      <c r="E14" s="28"/>
      <c r="F14" s="28"/>
      <c r="G14" s="28"/>
      <c r="H14" s="28"/>
      <c r="I14" s="28"/>
      <c r="J14" s="28"/>
      <c r="M14" s="12"/>
      <c r="N14" s="12"/>
    </row>
    <row r="15" spans="1:14" s="25" customFormat="1" ht="20.25" customHeight="1" x14ac:dyDescent="0.35">
      <c r="A15" s="187"/>
      <c r="B15" s="187"/>
      <c r="C15" s="187"/>
      <c r="M15" s="12"/>
      <c r="N15" s="12"/>
    </row>
    <row r="16" spans="1:14" ht="18" x14ac:dyDescent="0.35">
      <c r="A16" s="97" t="s">
        <v>321</v>
      </c>
      <c r="B16" s="97"/>
      <c r="C16" s="97"/>
      <c r="D16" s="97"/>
      <c r="E16" s="97"/>
      <c r="F16" s="97"/>
      <c r="G16" s="97"/>
      <c r="H16" s="97"/>
      <c r="I16" s="97"/>
      <c r="J16" s="97"/>
    </row>
    <row r="18" spans="1:14" ht="15.6" x14ac:dyDescent="0.3">
      <c r="A18" s="64" t="s">
        <v>322</v>
      </c>
      <c r="B18" s="290" t="s">
        <v>238</v>
      </c>
      <c r="C18" s="61"/>
      <c r="D18" s="37"/>
      <c r="E18" s="38"/>
      <c r="F18" s="38"/>
      <c r="G18" s="38"/>
      <c r="H18" s="38"/>
      <c r="I18" s="38"/>
      <c r="J18" s="38"/>
      <c r="K18" s="195"/>
      <c r="L18" s="195"/>
      <c r="M18" s="195"/>
      <c r="N18" s="195"/>
    </row>
    <row r="19" spans="1:14" ht="15.75" customHeight="1" x14ac:dyDescent="0.3">
      <c r="A19" s="79" t="str">
        <f>"Molecular Weight of "&amp;B18 &amp;" (MW)"</f>
        <v>Molecular Weight of Benzene (MW)</v>
      </c>
      <c r="B19" s="287">
        <v>78.11</v>
      </c>
      <c r="C19" s="192" t="s">
        <v>209</v>
      </c>
      <c r="D19" s="61"/>
      <c r="E19" s="297" t="s">
        <v>318</v>
      </c>
      <c r="F19" s="275"/>
      <c r="G19" s="275"/>
      <c r="H19" s="38"/>
      <c r="I19" s="38"/>
      <c r="J19" s="38"/>
      <c r="K19" s="195"/>
      <c r="L19" s="195"/>
      <c r="M19" s="195"/>
      <c r="N19" s="195"/>
    </row>
    <row r="20" spans="1:14" ht="15.75" customHeight="1" x14ac:dyDescent="0.3">
      <c r="A20" s="79" t="str">
        <f>"Density of "&amp;B18</f>
        <v>Density of Benzene</v>
      </c>
      <c r="B20" s="287">
        <v>7.31</v>
      </c>
      <c r="C20" s="192" t="s">
        <v>210</v>
      </c>
      <c r="D20" s="61"/>
      <c r="E20" s="331" t="s">
        <v>319</v>
      </c>
      <c r="F20" s="331"/>
      <c r="G20" s="331"/>
      <c r="H20" s="38"/>
      <c r="I20" s="38"/>
      <c r="J20" s="38"/>
      <c r="K20" s="195"/>
      <c r="L20" s="195"/>
      <c r="M20" s="195"/>
      <c r="N20" s="195"/>
    </row>
    <row r="21" spans="1:14" ht="15.6" x14ac:dyDescent="0.3">
      <c r="A21" s="80" t="str">
        <f>"Heat Capacity of "&amp;B18&amp;" (Cp,voc)"</f>
        <v>Heat Capacity of Benzene (Cp,voc)</v>
      </c>
      <c r="B21" s="287">
        <v>32.51</v>
      </c>
      <c r="C21" s="192" t="s">
        <v>211</v>
      </c>
      <c r="D21" s="61"/>
      <c r="E21" s="331"/>
      <c r="F21" s="331"/>
      <c r="G21" s="331"/>
      <c r="H21" s="38"/>
      <c r="I21" s="38"/>
      <c r="J21" s="38"/>
      <c r="K21" s="195"/>
      <c r="L21" s="195"/>
      <c r="M21" s="195"/>
      <c r="N21" s="195"/>
    </row>
    <row r="22" spans="1:14" ht="15.6" x14ac:dyDescent="0.3">
      <c r="A22" s="80" t="str">
        <f>"Heat of Condensation of "&amp;B18&amp;" (ΔHref)"</f>
        <v>Heat of Condensation of Benzene (ΔHref)</v>
      </c>
      <c r="B22" s="286">
        <v>13210</v>
      </c>
      <c r="C22" s="192" t="s">
        <v>212</v>
      </c>
      <c r="D22" s="61"/>
      <c r="E22" s="331"/>
      <c r="F22" s="331"/>
      <c r="G22" s="331"/>
      <c r="H22" s="38"/>
      <c r="I22" s="38"/>
      <c r="J22" s="38"/>
      <c r="K22" s="195"/>
      <c r="L22" s="195"/>
      <c r="M22" s="195"/>
      <c r="N22" s="195"/>
    </row>
    <row r="23" spans="1:14" ht="15.6" x14ac:dyDescent="0.3">
      <c r="A23" s="80" t="str">
        <f>"Boiling Point of "&amp;B18</f>
        <v>Boiling Point of Benzene</v>
      </c>
      <c r="B23" s="289">
        <v>176</v>
      </c>
      <c r="C23" s="193" t="s">
        <v>132</v>
      </c>
      <c r="D23" s="61"/>
      <c r="E23" s="38"/>
      <c r="F23" s="38"/>
      <c r="G23" s="62"/>
      <c r="H23" s="38"/>
      <c r="I23" s="38"/>
      <c r="J23" s="38"/>
      <c r="K23" s="195"/>
      <c r="L23" s="195"/>
      <c r="M23" s="195"/>
      <c r="N23" s="195"/>
    </row>
    <row r="24" spans="1:14" ht="15.6" x14ac:dyDescent="0.3">
      <c r="A24" s="79" t="str">
        <f>"Antoine Equation Constants for "&amp;B18</f>
        <v>Antoine Equation Constants for Benzene</v>
      </c>
      <c r="B24" s="183" t="s">
        <v>63</v>
      </c>
      <c r="C24" s="184" t="s">
        <v>64</v>
      </c>
      <c r="D24" s="184" t="s">
        <v>65</v>
      </c>
      <c r="E24" s="38"/>
      <c r="F24" s="38"/>
      <c r="G24" s="62"/>
      <c r="H24" s="38"/>
      <c r="I24" s="38"/>
      <c r="J24" s="38"/>
      <c r="K24" s="195"/>
      <c r="L24" s="195"/>
      <c r="M24" s="195"/>
    </row>
    <row r="25" spans="1:14" ht="15.6" x14ac:dyDescent="0.3">
      <c r="A25" s="64"/>
      <c r="B25" s="291">
        <v>6.9056499999999996</v>
      </c>
      <c r="C25" s="291">
        <v>1211.0329999999999</v>
      </c>
      <c r="D25" s="291">
        <v>220.79</v>
      </c>
      <c r="E25" s="38"/>
      <c r="F25" s="38"/>
      <c r="G25" s="62"/>
      <c r="H25" s="38"/>
      <c r="I25" s="38"/>
      <c r="J25" s="38"/>
      <c r="K25" s="195"/>
      <c r="L25" s="195"/>
      <c r="M25" s="195"/>
    </row>
    <row r="26" spans="1:14" ht="15.6" x14ac:dyDescent="0.3">
      <c r="A26" s="80" t="str">
        <f>"Critical Temperature for "&amp;B18</f>
        <v>Critical Temperature for Benzene</v>
      </c>
      <c r="B26" s="287">
        <v>1012</v>
      </c>
      <c r="C26" s="71" t="s">
        <v>133</v>
      </c>
      <c r="D26" s="61"/>
      <c r="E26" s="38"/>
      <c r="F26" s="38"/>
      <c r="G26" s="62"/>
      <c r="H26" s="38"/>
      <c r="I26" s="38"/>
      <c r="J26" s="38"/>
      <c r="K26" s="195"/>
      <c r="L26" s="195"/>
      <c r="M26" s="195"/>
      <c r="N26" s="195"/>
    </row>
    <row r="27" spans="1:14" ht="15.6" x14ac:dyDescent="0.3">
      <c r="A27" s="81" t="str">
        <f>"Volume Fraction of "&amp;B18&amp;" in waste stream entering the condenser (Yvoc,in)"</f>
        <v>Volume Fraction of Benzene in waste stream entering the condenser (Yvoc,in)</v>
      </c>
      <c r="B27" s="287">
        <v>0.25</v>
      </c>
      <c r="C27" s="71"/>
      <c r="D27" s="61"/>
      <c r="E27" s="38"/>
      <c r="F27" s="38"/>
      <c r="G27" s="62"/>
      <c r="H27" s="38"/>
      <c r="I27" s="38"/>
      <c r="J27" s="38"/>
      <c r="K27" s="195"/>
      <c r="L27" s="195"/>
      <c r="M27" s="195"/>
      <c r="N27" s="195"/>
    </row>
    <row r="28" spans="1:14" s="25" customFormat="1" ht="20.25" customHeight="1" x14ac:dyDescent="0.35">
      <c r="A28" s="187"/>
      <c r="B28" s="194"/>
      <c r="C28" s="187"/>
      <c r="M28" s="12"/>
      <c r="N28" s="12"/>
    </row>
    <row r="29" spans="1:14" ht="18" x14ac:dyDescent="0.35">
      <c r="A29" s="97" t="s">
        <v>61</v>
      </c>
      <c r="B29" s="97"/>
      <c r="C29" s="97"/>
      <c r="D29" s="97"/>
      <c r="E29" s="97"/>
      <c r="F29" s="97"/>
      <c r="G29" s="97"/>
      <c r="H29" s="97"/>
      <c r="I29" s="97"/>
      <c r="J29" s="97"/>
    </row>
    <row r="30" spans="1:14" ht="15.6" x14ac:dyDescent="0.3">
      <c r="A30" s="35"/>
      <c r="B30" s="35"/>
      <c r="C30" s="35"/>
    </row>
    <row r="31" spans="1:14" ht="15.75" customHeight="1" x14ac:dyDescent="0.4">
      <c r="A31" s="61" t="s">
        <v>100</v>
      </c>
      <c r="B31" s="292">
        <v>6.4100000000000004E-2</v>
      </c>
      <c r="C31" s="181" t="str">
        <f>"per kWh"&amp;IF(B31=0.0641, "*","")</f>
        <v>per kWh*</v>
      </c>
      <c r="D31" s="198" t="str">
        <f>IF(B31=0.0641,"* $0.0641/kWh is a default value. User should enter actual value, if known.","")</f>
        <v>* $0.0641/kWh is a default value. User should enter actual value, if known.</v>
      </c>
      <c r="E31" s="199"/>
      <c r="F31" s="199"/>
      <c r="G31" s="199"/>
      <c r="H31" s="199"/>
      <c r="I31" s="199"/>
      <c r="J31" s="199"/>
    </row>
    <row r="32" spans="1:14" ht="15.6" x14ac:dyDescent="0.3">
      <c r="A32" s="37" t="s">
        <v>34</v>
      </c>
      <c r="B32" s="293">
        <v>26.61</v>
      </c>
      <c r="C32" s="69" t="str">
        <f>"per hour"&amp;IF(B32=26.61,"*","")</f>
        <v>per hour*</v>
      </c>
      <c r="D32" s="198" t="str">
        <f>IF(B32=26.61,"* $26.61/hour is a default value. User should enter actual value, if known.","")</f>
        <v>* $26.61/hour is a default value. User should enter actual value, if known.</v>
      </c>
      <c r="E32" s="199"/>
      <c r="F32" s="199"/>
      <c r="G32" s="199"/>
      <c r="H32" s="199"/>
      <c r="I32" s="199"/>
      <c r="J32" s="199"/>
    </row>
    <row r="33" spans="1:14" ht="15.6" x14ac:dyDescent="0.3">
      <c r="A33" s="37" t="s">
        <v>123</v>
      </c>
      <c r="B33" s="293">
        <v>27.4</v>
      </c>
      <c r="C33" s="69" t="str">
        <f>"per hour"&amp;IF(B33=27.4,"*","")</f>
        <v>per hour*</v>
      </c>
      <c r="D33" s="198" t="str">
        <f>IF(B33=27.4,"* $27.40/hour is a default value. User should enter actual value, if known.","")</f>
        <v>* $27.40/hour is a default value. User should enter actual value, if known.</v>
      </c>
      <c r="E33" s="199"/>
      <c r="F33" s="199"/>
      <c r="G33" s="199"/>
      <c r="H33" s="199"/>
      <c r="I33" s="199"/>
      <c r="J33" s="199"/>
    </row>
    <row r="34" spans="1:14" ht="15.75" customHeight="1" x14ac:dyDescent="0.3">
      <c r="A34" s="37" t="s">
        <v>49</v>
      </c>
      <c r="B34" s="293">
        <v>0.28000000000000003</v>
      </c>
      <c r="C34" s="69" t="s">
        <v>328</v>
      </c>
      <c r="D34" s="198"/>
      <c r="E34" s="199"/>
      <c r="F34" s="199"/>
      <c r="G34" s="199"/>
      <c r="H34" s="199"/>
      <c r="I34" s="199"/>
      <c r="J34" s="199"/>
    </row>
    <row r="35" spans="1:14" ht="17.25" customHeight="1" x14ac:dyDescent="0.35">
      <c r="A35" s="37" t="s">
        <v>332</v>
      </c>
      <c r="B35" s="298">
        <v>10</v>
      </c>
      <c r="C35" s="69" t="str">
        <f>"percent"&amp;IF(B35=10,"*","")</f>
        <v>percent*</v>
      </c>
      <c r="D35" s="198" t="str">
        <f>IF(B35=10,"* 10 percent is a default value. The contingency factor should be between 5 and 15 percent.","")</f>
        <v>* 10 percent is a default value. The contingency factor should be between 5 and 15 percent.</v>
      </c>
      <c r="E35" s="50"/>
      <c r="F35" s="50"/>
      <c r="G35" s="50"/>
      <c r="H35" s="50"/>
      <c r="I35" s="50"/>
      <c r="J35" s="205"/>
      <c r="K35" s="26"/>
      <c r="L35" s="26"/>
    </row>
    <row r="36" spans="1:14" ht="15.6" x14ac:dyDescent="0.3">
      <c r="A36" s="37" t="s">
        <v>54</v>
      </c>
      <c r="B36" s="37"/>
      <c r="C36" s="50"/>
      <c r="D36" s="50"/>
      <c r="E36" s="50"/>
      <c r="F36" s="50"/>
      <c r="G36" s="50"/>
      <c r="H36" s="50"/>
      <c r="I36" s="50"/>
      <c r="J36" s="50"/>
    </row>
    <row r="37" spans="1:14" ht="15.6" x14ac:dyDescent="0.3">
      <c r="A37" s="200" t="s">
        <v>7</v>
      </c>
      <c r="B37" s="294">
        <v>0</v>
      </c>
      <c r="C37" s="198" t="str">
        <f>IF(B37=0, "* Default value. User should enter actual value, if known."," ")</f>
        <v>* Default value. User should enter actual value, if known.</v>
      </c>
      <c r="D37" s="202"/>
      <c r="E37" s="202"/>
      <c r="F37" s="202"/>
      <c r="G37" s="202"/>
      <c r="H37" s="202"/>
      <c r="I37" s="202"/>
      <c r="J37" s="50"/>
    </row>
    <row r="38" spans="1:14" ht="15.6" x14ac:dyDescent="0.3">
      <c r="A38" s="200" t="s">
        <v>8</v>
      </c>
      <c r="B38" s="295">
        <v>0</v>
      </c>
      <c r="C38" s="198" t="str">
        <f t="shared" ref="C38:C39" si="0">IF(B38=0, "* Default value. User should enter actual value, if known."," ")</f>
        <v>* Default value. User should enter actual value, if known.</v>
      </c>
      <c r="D38" s="202"/>
      <c r="E38" s="202"/>
      <c r="F38" s="202"/>
      <c r="G38" s="202"/>
      <c r="H38" s="202"/>
      <c r="I38" s="202"/>
      <c r="J38" s="50"/>
    </row>
    <row r="39" spans="1:14" ht="15.75" hidden="1" customHeight="1" x14ac:dyDescent="0.4">
      <c r="A39" s="201" t="s">
        <v>135</v>
      </c>
      <c r="B39" s="294">
        <v>0</v>
      </c>
      <c r="C39" s="198" t="str">
        <f t="shared" si="0"/>
        <v>* Default value. User should enter actual value, if known.</v>
      </c>
      <c r="D39" s="202"/>
      <c r="E39" s="202"/>
      <c r="F39" s="202"/>
      <c r="G39" s="202"/>
      <c r="H39" s="202"/>
      <c r="I39" s="202"/>
      <c r="J39" s="50"/>
    </row>
    <row r="40" spans="1:14" s="196" customFormat="1" ht="15.6" hidden="1" x14ac:dyDescent="0.3">
      <c r="A40" s="75"/>
      <c r="B40" s="76"/>
      <c r="C40" s="74"/>
      <c r="D40" s="74"/>
      <c r="E40" s="74"/>
      <c r="F40" s="74"/>
      <c r="G40" s="74"/>
      <c r="H40" s="74"/>
      <c r="I40" s="74"/>
      <c r="J40" s="38"/>
      <c r="K40" s="195"/>
      <c r="L40" s="195"/>
      <c r="M40" s="195"/>
      <c r="N40" s="195"/>
    </row>
    <row r="41" spans="1:14" ht="32.25" customHeight="1" x14ac:dyDescent="0.3">
      <c r="A41" s="37" t="s">
        <v>55</v>
      </c>
      <c r="B41" s="296">
        <v>2016</v>
      </c>
      <c r="C41" s="61"/>
      <c r="D41" s="61"/>
      <c r="E41" s="61"/>
      <c r="F41" s="61"/>
      <c r="G41" s="50"/>
      <c r="H41" s="50"/>
      <c r="I41" s="50"/>
      <c r="J41" s="50"/>
      <c r="M41" s="32"/>
      <c r="N41" s="32"/>
    </row>
    <row r="42" spans="1:14" ht="30.75" customHeight="1" x14ac:dyDescent="0.3">
      <c r="A42" s="61" t="str">
        <f>"CEPCI* for " &amp; B41</f>
        <v>CEPCI* for 2016</v>
      </c>
      <c r="B42" s="296">
        <v>536.4</v>
      </c>
      <c r="C42" s="77" t="str">
        <f>IF(B41=2014," ","Enter the CEPCI value for "&amp;B41)</f>
        <v>Enter the CEPCI value for 2016</v>
      </c>
      <c r="D42" s="69"/>
      <c r="E42" s="72">
        <v>576.1</v>
      </c>
      <c r="F42" s="73" t="s">
        <v>109</v>
      </c>
      <c r="G42" s="50"/>
      <c r="H42" s="50"/>
      <c r="I42" s="50"/>
      <c r="J42" s="50"/>
      <c r="M42" s="32"/>
      <c r="N42" s="32"/>
    </row>
    <row r="43" spans="1:14" ht="15.6" x14ac:dyDescent="0.3">
      <c r="A43" s="61" t="s">
        <v>26</v>
      </c>
      <c r="B43" s="287">
        <v>4.25</v>
      </c>
      <c r="C43" s="237" t="str">
        <f>(IF(B43=4.25,"% (Current back prime rate)","% (Default value is 4.25%)"))</f>
        <v>% (Current back prime rate)</v>
      </c>
      <c r="D43" s="69"/>
      <c r="E43" s="69"/>
      <c r="F43" s="71"/>
      <c r="G43" s="203"/>
      <c r="H43" s="204"/>
      <c r="I43" s="204"/>
      <c r="J43" s="204"/>
      <c r="K43" s="32"/>
      <c r="L43" s="32"/>
      <c r="M43" s="32"/>
      <c r="N43" s="32"/>
    </row>
    <row r="44" spans="1:14" x14ac:dyDescent="0.3">
      <c r="A44" s="50"/>
      <c r="B44" s="50"/>
      <c r="C44" s="50"/>
      <c r="D44" s="50"/>
      <c r="E44" s="50"/>
      <c r="F44" s="50"/>
      <c r="G44" s="50"/>
      <c r="H44" s="50"/>
      <c r="I44" s="50"/>
      <c r="J44" s="50"/>
    </row>
    <row r="45" spans="1:14" x14ac:dyDescent="0.3">
      <c r="A45" s="344" t="s">
        <v>327</v>
      </c>
      <c r="B45" s="344"/>
      <c r="C45" s="344"/>
      <c r="D45" s="344"/>
      <c r="E45" s="344"/>
      <c r="F45" s="344"/>
    </row>
    <row r="46" spans="1:14" x14ac:dyDescent="0.3">
      <c r="A46" s="345"/>
      <c r="B46" s="344"/>
      <c r="C46" s="344"/>
      <c r="D46" s="344"/>
      <c r="E46" s="344"/>
      <c r="F46" s="344"/>
    </row>
    <row r="48" spans="1:14" s="4" customFormat="1" ht="18" x14ac:dyDescent="0.35">
      <c r="A48" s="97" t="s">
        <v>111</v>
      </c>
      <c r="B48" s="97"/>
      <c r="C48" s="97"/>
      <c r="D48" s="97"/>
      <c r="E48" s="97"/>
      <c r="F48" s="97"/>
      <c r="G48" s="97"/>
      <c r="H48" s="97"/>
      <c r="I48" s="97"/>
      <c r="J48" s="97"/>
      <c r="K48" s="182"/>
      <c r="L48" s="182"/>
      <c r="M48" s="182"/>
      <c r="N48" s="182"/>
    </row>
    <row r="49" spans="1:14" customFormat="1" ht="16.5" customHeight="1" x14ac:dyDescent="0.3">
      <c r="A49" s="22"/>
      <c r="B49" s="22"/>
      <c r="C49" s="22"/>
      <c r="D49" s="22"/>
      <c r="E49" s="22"/>
      <c r="F49" s="22"/>
      <c r="G49" s="22"/>
      <c r="H49" s="22"/>
      <c r="I49" s="22"/>
      <c r="J49" s="22"/>
      <c r="K49" s="22"/>
      <c r="L49" s="13"/>
      <c r="M49" s="13"/>
      <c r="N49" s="13"/>
    </row>
    <row r="50" spans="1:14" customFormat="1" ht="47.25" customHeight="1" x14ac:dyDescent="0.3">
      <c r="A50" s="168" t="s">
        <v>112</v>
      </c>
      <c r="B50" s="169" t="s">
        <v>113</v>
      </c>
      <c r="C50" s="342" t="s">
        <v>114</v>
      </c>
      <c r="D50" s="343"/>
      <c r="E50" s="339" t="s">
        <v>124</v>
      </c>
      <c r="F50" s="340"/>
      <c r="G50" s="340"/>
      <c r="H50" s="340"/>
      <c r="I50" s="341"/>
      <c r="J50" s="170" t="s">
        <v>115</v>
      </c>
      <c r="K50" s="22"/>
      <c r="L50" s="22"/>
      <c r="M50" s="22"/>
      <c r="N50" s="22"/>
    </row>
    <row r="51" spans="1:14" customFormat="1" ht="70.5" customHeight="1" x14ac:dyDescent="0.3">
      <c r="A51" s="171" t="s">
        <v>118</v>
      </c>
      <c r="B51" s="197">
        <v>6.4100000000000004E-2</v>
      </c>
      <c r="C51" s="346" t="s">
        <v>326</v>
      </c>
      <c r="D51" s="347"/>
      <c r="E51" s="336" t="s">
        <v>116</v>
      </c>
      <c r="F51" s="337"/>
      <c r="G51" s="337"/>
      <c r="H51" s="337"/>
      <c r="I51" s="338"/>
      <c r="J51" s="173" t="s">
        <v>119</v>
      </c>
      <c r="K51" s="22"/>
      <c r="L51" s="22"/>
      <c r="M51" s="22"/>
      <c r="N51" s="22"/>
    </row>
    <row r="52" spans="1:14" customFormat="1" ht="90.75" customHeight="1" x14ac:dyDescent="0.3">
      <c r="A52" s="176" t="s">
        <v>121</v>
      </c>
      <c r="B52" s="285">
        <v>26.61</v>
      </c>
      <c r="C52" s="332" t="s">
        <v>324</v>
      </c>
      <c r="D52" s="333"/>
      <c r="E52" s="336" t="s">
        <v>116</v>
      </c>
      <c r="F52" s="337"/>
      <c r="G52" s="337"/>
      <c r="H52" s="337"/>
      <c r="I52" s="338"/>
      <c r="J52" s="173" t="s">
        <v>323</v>
      </c>
      <c r="K52" s="22"/>
      <c r="L52" s="22"/>
      <c r="M52" s="22"/>
      <c r="N52" s="22"/>
    </row>
    <row r="53" spans="1:14" customFormat="1" ht="107.25" customHeight="1" x14ac:dyDescent="0.3">
      <c r="A53" s="175" t="s">
        <v>122</v>
      </c>
      <c r="B53" s="285">
        <v>27.4</v>
      </c>
      <c r="C53" s="332" t="s">
        <v>325</v>
      </c>
      <c r="D53" s="333"/>
      <c r="E53" s="336" t="s">
        <v>116</v>
      </c>
      <c r="F53" s="337"/>
      <c r="G53" s="337"/>
      <c r="H53" s="337"/>
      <c r="I53" s="338"/>
      <c r="J53" s="173" t="s">
        <v>120</v>
      </c>
      <c r="K53" s="22"/>
      <c r="L53" s="22"/>
      <c r="M53" s="22"/>
      <c r="N53" s="22"/>
    </row>
    <row r="54" spans="1:14" customFormat="1" ht="74.25" customHeight="1" x14ac:dyDescent="0.3">
      <c r="A54" s="174" t="s">
        <v>213</v>
      </c>
      <c r="B54" s="238"/>
      <c r="C54" s="334"/>
      <c r="D54" s="335"/>
      <c r="E54" s="336" t="s">
        <v>116</v>
      </c>
      <c r="F54" s="337"/>
      <c r="G54" s="337"/>
      <c r="H54" s="337"/>
      <c r="I54" s="338"/>
      <c r="J54" s="172" t="s">
        <v>117</v>
      </c>
      <c r="K54" s="22"/>
      <c r="L54" s="22"/>
      <c r="M54" s="22"/>
      <c r="N54" s="22"/>
    </row>
  </sheetData>
  <mergeCells count="12">
    <mergeCell ref="E20:G22"/>
    <mergeCell ref="C53:D53"/>
    <mergeCell ref="C54:D54"/>
    <mergeCell ref="E51:I51"/>
    <mergeCell ref="E52:I52"/>
    <mergeCell ref="E53:I53"/>
    <mergeCell ref="E54:I54"/>
    <mergeCell ref="E50:I50"/>
    <mergeCell ref="C50:D50"/>
    <mergeCell ref="A45:F46"/>
    <mergeCell ref="C51:D51"/>
    <mergeCell ref="C52:D52"/>
  </mergeCells>
  <dataValidations count="3">
    <dataValidation type="whole" operator="greaterThanOrEqual" allowBlank="1" showInputMessage="1" showErrorMessage="1" error="Year must be 2012 or later" sqref="B41">
      <formula1>2012</formula1>
    </dataValidation>
    <dataValidation type="decimal" operator="lessThanOrEqual" allowBlank="1" showInputMessage="1" showErrorMessage="1" error="CEPCI value must be equal to or less than 584.6." sqref="B42">
      <formula1>584.6</formula1>
    </dataValidation>
    <dataValidation type="decimal" errorStyle="information" allowBlank="1" showInputMessage="1" showErrorMessage="1" error="Typical range for the heat transfer coefficient is between 20 and 60 Btu/hr-sq.ft-deg.F." sqref="B13">
      <formula1>20</formula1>
      <formula2>60</formula2>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Drop Down 1">
              <controlPr defaultSize="0" autoLine="0" autoPict="0" macro="[0]!DropDown1_Change">
                <anchor moveWithCells="1">
                  <from>
                    <xdr:col>0</xdr:col>
                    <xdr:colOff>4899660</xdr:colOff>
                    <xdr:row>1</xdr:row>
                    <xdr:rowOff>251460</xdr:rowOff>
                  </from>
                  <to>
                    <xdr:col>2</xdr:col>
                    <xdr:colOff>45720</xdr:colOff>
                    <xdr:row>3</xdr:row>
                    <xdr:rowOff>0</xdr:rowOff>
                  </to>
                </anchor>
              </controlPr>
            </control>
          </mc:Choice>
        </mc:AlternateContent>
        <mc:AlternateContent xmlns:mc="http://schemas.openxmlformats.org/markup-compatibility/2006">
          <mc:Choice Requires="x14">
            <control shapeId="3075" r:id="rId5" name="Button 3">
              <controlPr defaultSize="0" print="0" autoFill="0" autoPict="0" macro="[0]!Reset">
                <anchor moveWithCells="1">
                  <from>
                    <xdr:col>6</xdr:col>
                    <xdr:colOff>259080</xdr:colOff>
                    <xdr:row>1</xdr:row>
                    <xdr:rowOff>259080</xdr:rowOff>
                  </from>
                  <to>
                    <xdr:col>7</xdr:col>
                    <xdr:colOff>304800</xdr:colOff>
                    <xdr:row>3</xdr:row>
                    <xdr:rowOff>7620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Q56"/>
  <sheetViews>
    <sheetView topLeftCell="A47" workbookViewId="0">
      <selection activeCell="C54" sqref="C54"/>
    </sheetView>
  </sheetViews>
  <sheetFormatPr defaultColWidth="9.109375" defaultRowHeight="14.4" x14ac:dyDescent="0.3"/>
  <cols>
    <col min="1" max="1" width="69.33203125" style="22" customWidth="1"/>
    <col min="2" max="2" width="48" style="22" customWidth="1"/>
    <col min="3" max="3" width="40.109375" style="22" customWidth="1"/>
    <col min="4" max="4" width="25.88671875" style="22" customWidth="1"/>
    <col min="5" max="5" width="26.33203125" style="22" customWidth="1"/>
    <col min="6" max="6" width="22.6640625" style="22" customWidth="1"/>
    <col min="7" max="16384" width="9.109375" style="22"/>
  </cols>
  <sheetData>
    <row r="1" spans="1:17" s="16" customFormat="1" ht="23.4" x14ac:dyDescent="0.45">
      <c r="A1" s="351" t="s">
        <v>31</v>
      </c>
      <c r="B1" s="351"/>
      <c r="C1" s="351"/>
      <c r="D1" s="351"/>
      <c r="E1" s="351"/>
      <c r="F1" s="351"/>
      <c r="G1" s="15"/>
      <c r="H1" s="15"/>
      <c r="I1" s="15"/>
      <c r="J1" s="15"/>
      <c r="K1" s="15"/>
      <c r="L1" s="15"/>
      <c r="M1" s="15"/>
      <c r="O1" s="15"/>
      <c r="P1" s="15"/>
      <c r="Q1" s="15"/>
    </row>
    <row r="2" spans="1:17" s="18" customFormat="1" ht="15.6" x14ac:dyDescent="0.3">
      <c r="A2" s="27"/>
      <c r="B2" s="27"/>
      <c r="C2" s="27"/>
    </row>
    <row r="3" spans="1:17" s="18" customFormat="1" ht="31.5" customHeight="1" x14ac:dyDescent="0.3">
      <c r="A3" s="352" t="s">
        <v>136</v>
      </c>
      <c r="B3" s="352"/>
      <c r="C3" s="352"/>
      <c r="D3" s="352"/>
      <c r="E3" s="352"/>
      <c r="F3" s="352"/>
    </row>
    <row r="4" spans="1:17" s="35" customFormat="1" ht="15.6" x14ac:dyDescent="0.3">
      <c r="D4" s="208"/>
      <c r="E4" s="209"/>
      <c r="F4" s="209"/>
    </row>
    <row r="5" spans="1:17" s="35" customFormat="1" ht="16.2" x14ac:dyDescent="0.35">
      <c r="A5" s="353" t="s">
        <v>82</v>
      </c>
      <c r="B5" s="355" t="s">
        <v>156</v>
      </c>
      <c r="C5" s="33" t="s">
        <v>66</v>
      </c>
      <c r="D5" s="46" t="s">
        <v>157</v>
      </c>
    </row>
    <row r="6" spans="1:17" s="35" customFormat="1" ht="15.6" x14ac:dyDescent="0.3">
      <c r="A6" s="354"/>
      <c r="B6" s="355"/>
      <c r="C6" s="34" t="s">
        <v>218</v>
      </c>
      <c r="D6" s="47" t="s">
        <v>219</v>
      </c>
    </row>
    <row r="7" spans="1:17" s="35" customFormat="1" ht="15.6" x14ac:dyDescent="0.3">
      <c r="A7" s="210" t="str">
        <f>IF('Data Inputs'!B18="", "Not Applicable ", 'Data Inputs'!B18)</f>
        <v>Benzene</v>
      </c>
      <c r="B7" s="210">
        <f>'Data Inputs'!B27</f>
        <v>0.25</v>
      </c>
      <c r="C7" s="83">
        <f>'Data Inputs'!B21</f>
        <v>32.51</v>
      </c>
      <c r="D7" s="83">
        <f>'Data Inputs'!B22</f>
        <v>13210</v>
      </c>
    </row>
    <row r="8" spans="1:17" s="35" customFormat="1" ht="15.6" x14ac:dyDescent="0.3">
      <c r="A8" s="195"/>
      <c r="B8" s="195"/>
      <c r="C8" s="206"/>
      <c r="D8" s="207"/>
      <c r="E8" s="21"/>
      <c r="F8" s="21"/>
    </row>
    <row r="9" spans="1:17" s="17" customFormat="1" ht="18" customHeight="1" x14ac:dyDescent="0.3">
      <c r="A9" s="44" t="s">
        <v>27</v>
      </c>
      <c r="B9" s="66" t="s">
        <v>28</v>
      </c>
      <c r="C9" s="65"/>
      <c r="D9" s="44" t="s">
        <v>29</v>
      </c>
      <c r="E9" s="44" t="s">
        <v>30</v>
      </c>
      <c r="F9" s="44"/>
      <c r="G9" s="18"/>
      <c r="H9" s="18"/>
      <c r="I9" s="18"/>
      <c r="J9" s="18"/>
      <c r="K9" s="18"/>
      <c r="L9" s="18"/>
      <c r="M9" s="18"/>
      <c r="O9" s="18"/>
      <c r="P9" s="18"/>
      <c r="Q9" s="18"/>
    </row>
    <row r="10" spans="1:17" s="35" customFormat="1" ht="18" x14ac:dyDescent="0.4">
      <c r="A10" s="37" t="str">
        <f>"Partial Pressure of "&amp;A7&amp;" VOC in Exit Stream (Pvoc) = "</f>
        <v xml:space="preserve">Partial Pressure of Benzene VOC in Exit Stream (Pvoc) = </v>
      </c>
      <c r="B10" s="37" t="s">
        <v>153</v>
      </c>
      <c r="C10" s="163" t="s">
        <v>155</v>
      </c>
      <c r="D10" s="42">
        <f>760*((B7*(1-'Data Inputs'!$M$10))/(1-(B7*'Data Inputs'!$M$10)))</f>
        <v>24.516129032258057</v>
      </c>
      <c r="E10" s="40" t="s">
        <v>88</v>
      </c>
      <c r="F10" s="36"/>
    </row>
    <row r="11" spans="1:17" s="35" customFormat="1" ht="18" x14ac:dyDescent="0.4">
      <c r="A11" s="37" t="str">
        <f>"Estimated Condensation Temperature for "&amp;A7&amp;" (Tcon) =  "</f>
        <v xml:space="preserve">Estimated Condensation Temperature for Benzene (Tcon) =  </v>
      </c>
      <c r="B11" s="37" t="s">
        <v>154</v>
      </c>
      <c r="C11" s="37"/>
      <c r="D11" s="42">
        <f>IF(B7&gt;0, ((('Data Inputs'!C25)/('Data Inputs'!B25-LOG10($D10))-'Data Inputs'!D25)*1.8+32), 0)</f>
        <v>29.752241364918383</v>
      </c>
      <c r="E11" s="40" t="s">
        <v>132</v>
      </c>
      <c r="F11" s="36"/>
    </row>
    <row r="12" spans="1:17" s="35" customFormat="1" ht="15.6" x14ac:dyDescent="0.3">
      <c r="A12" s="37"/>
      <c r="B12" s="37"/>
      <c r="C12" s="37"/>
      <c r="D12" s="42"/>
      <c r="E12" s="36"/>
      <c r="F12" s="36"/>
    </row>
    <row r="13" spans="1:17" s="17" customFormat="1" ht="18" customHeight="1" x14ac:dyDescent="0.3">
      <c r="A13" s="29" t="s">
        <v>27</v>
      </c>
      <c r="B13" s="45" t="s">
        <v>28</v>
      </c>
      <c r="C13" s="29" t="s">
        <v>29</v>
      </c>
      <c r="D13" s="29" t="s">
        <v>30</v>
      </c>
      <c r="E13" s="29" t="s">
        <v>29</v>
      </c>
      <c r="F13" s="29" t="s">
        <v>30</v>
      </c>
      <c r="G13" s="18"/>
      <c r="H13" s="18"/>
      <c r="I13" s="18"/>
      <c r="J13" s="18"/>
      <c r="K13" s="18"/>
      <c r="L13" s="18"/>
      <c r="M13" s="18"/>
      <c r="O13" s="18"/>
      <c r="P13" s="18"/>
      <c r="Q13" s="18"/>
    </row>
    <row r="14" spans="1:17" s="18" customFormat="1" ht="18" customHeight="1" x14ac:dyDescent="0.3">
      <c r="A14" s="84" t="s">
        <v>87</v>
      </c>
      <c r="B14" s="84"/>
      <c r="C14" s="85"/>
      <c r="D14" s="84"/>
      <c r="E14" s="86"/>
      <c r="F14" s="87"/>
    </row>
    <row r="15" spans="1:17" s="10" customFormat="1" ht="18" x14ac:dyDescent="0.4">
      <c r="A15" s="40" t="s">
        <v>175</v>
      </c>
      <c r="B15" s="64" t="s">
        <v>152</v>
      </c>
      <c r="C15" s="41">
        <f>('Data Inputs'!B8/392)*(B7*60)</f>
        <v>3.8265306122448979</v>
      </c>
      <c r="D15" s="40" t="s">
        <v>220</v>
      </c>
      <c r="E15" s="40"/>
      <c r="F15" s="40"/>
    </row>
    <row r="16" spans="1:17" s="10" customFormat="1" ht="18" x14ac:dyDescent="0.4">
      <c r="A16" s="40" t="s">
        <v>176</v>
      </c>
      <c r="B16" s="64" t="s">
        <v>151</v>
      </c>
      <c r="C16" s="41">
        <f>C15*(1-'Data Inputs'!M10)</f>
        <v>0.38265306122448972</v>
      </c>
      <c r="D16" s="40" t="s">
        <v>220</v>
      </c>
      <c r="E16" s="40"/>
      <c r="F16" s="40"/>
    </row>
    <row r="17" spans="1:6" s="10" customFormat="1" ht="15.6" x14ac:dyDescent="0.3">
      <c r="A17" s="40"/>
      <c r="B17" s="64"/>
      <c r="C17" s="41"/>
      <c r="D17" s="40"/>
      <c r="E17" s="40"/>
      <c r="F17" s="40"/>
    </row>
    <row r="18" spans="1:6" s="10" customFormat="1" ht="15.6" x14ac:dyDescent="0.3">
      <c r="A18" s="84" t="s">
        <v>86</v>
      </c>
      <c r="B18" s="84"/>
      <c r="C18" s="85"/>
      <c r="D18" s="84"/>
      <c r="E18" s="86"/>
      <c r="F18" s="87"/>
    </row>
    <row r="19" spans="1:6" s="35" customFormat="1" ht="18" x14ac:dyDescent="0.4">
      <c r="A19" s="37" t="s">
        <v>177</v>
      </c>
      <c r="B19" s="37" t="s">
        <v>137</v>
      </c>
      <c r="C19" s="41">
        <f>C15*'Data Inputs'!M10</f>
        <v>3.443877551020408</v>
      </c>
      <c r="D19" s="37" t="s">
        <v>220</v>
      </c>
      <c r="E19" s="39"/>
      <c r="F19" s="37"/>
    </row>
    <row r="20" spans="1:6" s="35" customFormat="1" ht="18" x14ac:dyDescent="0.4">
      <c r="A20" s="37" t="s">
        <v>178</v>
      </c>
      <c r="B20" s="37" t="s">
        <v>138</v>
      </c>
      <c r="C20" s="49">
        <f>C19*'Data Inputs'!B19</f>
        <v>269.0012755102041</v>
      </c>
      <c r="D20" s="37" t="s">
        <v>221</v>
      </c>
      <c r="E20" s="39">
        <f>(C20*'Data Inputs'!B7)/2000</f>
        <v>279.76132653061222</v>
      </c>
      <c r="F20" s="37" t="s">
        <v>51</v>
      </c>
    </row>
    <row r="21" spans="1:6" s="35" customFormat="1" ht="15.6" hidden="1" x14ac:dyDescent="0.3">
      <c r="A21" s="37"/>
      <c r="B21" s="37"/>
      <c r="C21" s="49"/>
      <c r="D21" s="37"/>
      <c r="E21" s="39"/>
      <c r="F21" s="37"/>
    </row>
    <row r="22" spans="1:6" s="35" customFormat="1" ht="15.6" hidden="1" x14ac:dyDescent="0.3">
      <c r="A22" s="84" t="s">
        <v>222</v>
      </c>
      <c r="B22" s="84"/>
      <c r="C22" s="85"/>
      <c r="D22" s="84"/>
      <c r="E22" s="87"/>
      <c r="F22" s="87"/>
    </row>
    <row r="23" spans="1:6" s="35" customFormat="1" ht="18" hidden="1" x14ac:dyDescent="0.4">
      <c r="A23" s="37" t="s">
        <v>179</v>
      </c>
      <c r="B23" s="37" t="s">
        <v>150</v>
      </c>
      <c r="C23" s="49">
        <f>(C20/'Data Inputs'!B20)*'Data Inputs'!D7</f>
        <v>294.39264077724118</v>
      </c>
      <c r="D23" s="37" t="s">
        <v>76</v>
      </c>
      <c r="E23" s="37"/>
      <c r="F23" s="37"/>
    </row>
    <row r="24" spans="1:6" s="35" customFormat="1" ht="15.6" x14ac:dyDescent="0.3">
      <c r="A24" s="61"/>
      <c r="B24" s="37"/>
      <c r="C24" s="49"/>
      <c r="D24" s="37"/>
      <c r="E24" s="37"/>
      <c r="F24" s="37"/>
    </row>
    <row r="25" spans="1:6" s="35" customFormat="1" ht="15.6" x14ac:dyDescent="0.3">
      <c r="A25" s="84" t="s">
        <v>85</v>
      </c>
      <c r="B25" s="84"/>
      <c r="C25" s="85"/>
      <c r="D25" s="84"/>
      <c r="E25" s="84"/>
      <c r="F25" s="87"/>
    </row>
    <row r="26" spans="1:6" s="35" customFormat="1" ht="18" x14ac:dyDescent="0.4">
      <c r="A26" s="37" t="s">
        <v>164</v>
      </c>
      <c r="B26" s="37"/>
      <c r="C26" s="49">
        <f>'Data Inputs'!B26</f>
        <v>1012</v>
      </c>
      <c r="D26" s="37" t="s">
        <v>133</v>
      </c>
      <c r="E26" s="37"/>
      <c r="F26" s="37"/>
    </row>
    <row r="27" spans="1:6" s="35" customFormat="1" ht="18" x14ac:dyDescent="0.4">
      <c r="A27" s="37" t="s">
        <v>214</v>
      </c>
      <c r="B27" s="37"/>
      <c r="C27" s="49">
        <f>'Data Inputs'!B23+459.67</f>
        <v>635.67000000000007</v>
      </c>
      <c r="D27" s="37" t="s">
        <v>133</v>
      </c>
      <c r="E27" s="37"/>
      <c r="F27" s="37"/>
    </row>
    <row r="28" spans="1:6" s="35" customFormat="1" ht="18" x14ac:dyDescent="0.4">
      <c r="A28" s="37" t="s">
        <v>163</v>
      </c>
      <c r="B28" s="37" t="s">
        <v>81</v>
      </c>
      <c r="C28" s="49">
        <f>D11+459.67</f>
        <v>489.42224136491842</v>
      </c>
      <c r="D28" s="37" t="s">
        <v>133</v>
      </c>
      <c r="E28" s="37"/>
      <c r="F28" s="37"/>
    </row>
    <row r="29" spans="1:6" s="35" customFormat="1" ht="18.600000000000001" x14ac:dyDescent="0.4">
      <c r="A29" s="37" t="str">
        <f>"Enthalpy of condensation of VOC (ΔHvoc) at "&amp;ROUND(D11,1)&amp;" °F ="</f>
        <v>Enthalpy of condensation of VOC (ΔHvoc) at 29.8 °F =</v>
      </c>
      <c r="B29" s="59" t="s">
        <v>149</v>
      </c>
      <c r="C29" s="43">
        <f>D7*((1-C28/C26)/(1-C27/C26))^0.38</f>
        <v>14965.251111181435</v>
      </c>
      <c r="D29" s="37" t="s">
        <v>212</v>
      </c>
      <c r="E29" s="37"/>
      <c r="F29" s="37"/>
    </row>
    <row r="30" spans="1:6" s="35" customFormat="1" ht="15.6" x14ac:dyDescent="0.3">
      <c r="A30" s="37"/>
      <c r="B30" s="59"/>
      <c r="C30" s="43"/>
      <c r="D30" s="37"/>
      <c r="E30" s="37"/>
      <c r="F30" s="37"/>
    </row>
    <row r="31" spans="1:6" s="35" customFormat="1" ht="15.6" x14ac:dyDescent="0.3">
      <c r="A31" s="84" t="s">
        <v>84</v>
      </c>
      <c r="B31" s="84"/>
      <c r="C31" s="85"/>
      <c r="D31" s="84"/>
      <c r="E31" s="84"/>
      <c r="F31" s="87"/>
    </row>
    <row r="32" spans="1:6" s="35" customFormat="1" ht="18" x14ac:dyDescent="0.4">
      <c r="A32" s="37" t="s">
        <v>162</v>
      </c>
      <c r="B32" s="37"/>
      <c r="C32" s="39">
        <v>6.95</v>
      </c>
      <c r="D32" s="37" t="s">
        <v>215</v>
      </c>
      <c r="E32" s="37"/>
      <c r="F32" s="37"/>
    </row>
    <row r="33" spans="1:6" s="35" customFormat="1" ht="18" x14ac:dyDescent="0.4">
      <c r="A33" s="61" t="s">
        <v>158</v>
      </c>
      <c r="B33" s="37" t="s">
        <v>148</v>
      </c>
      <c r="C33" s="49">
        <f>('Data Inputs'!B9+'Design Parameters'!D11)/2</f>
        <v>57.876120682459188</v>
      </c>
      <c r="D33" s="37" t="s">
        <v>132</v>
      </c>
      <c r="E33" s="37"/>
      <c r="F33" s="37"/>
    </row>
    <row r="34" spans="1:6" s="35" customFormat="1" ht="18" x14ac:dyDescent="0.4">
      <c r="A34" s="37" t="s">
        <v>159</v>
      </c>
      <c r="B34" s="37" t="s">
        <v>139</v>
      </c>
      <c r="C34" s="43">
        <f>C19*(C29+(C7*('Data Inputs'!B9-D11)))</f>
        <v>57836.017232017126</v>
      </c>
      <c r="D34" s="37" t="s">
        <v>69</v>
      </c>
      <c r="E34" s="37"/>
      <c r="F34" s="37"/>
    </row>
    <row r="35" spans="1:6" s="35" customFormat="1" ht="18" x14ac:dyDescent="0.4">
      <c r="A35" s="37" t="s">
        <v>160</v>
      </c>
      <c r="B35" s="37" t="s">
        <v>140</v>
      </c>
      <c r="C35" s="43">
        <f>C16*C7*('Data Inputs'!B9-D11)</f>
        <v>699.72498720401904</v>
      </c>
      <c r="D35" s="37" t="s">
        <v>69</v>
      </c>
      <c r="E35" s="37"/>
      <c r="F35" s="37"/>
    </row>
    <row r="36" spans="1:6" s="35" customFormat="1" ht="18" x14ac:dyDescent="0.4">
      <c r="A36" s="37" t="s">
        <v>216</v>
      </c>
      <c r="B36" s="37" t="s">
        <v>147</v>
      </c>
      <c r="C36" s="43">
        <f>(('Data Inputs'!B8*60/392)-C15)*C32*('Data Inputs'!B9-D11)</f>
        <v>4487.6241104902483</v>
      </c>
      <c r="D36" s="37" t="s">
        <v>69</v>
      </c>
      <c r="E36" s="37"/>
      <c r="F36" s="37"/>
    </row>
    <row r="37" spans="1:6" s="35" customFormat="1" ht="18" x14ac:dyDescent="0.4">
      <c r="A37" s="37" t="s">
        <v>161</v>
      </c>
      <c r="B37" s="59" t="s">
        <v>141</v>
      </c>
      <c r="C37" s="43">
        <f>C34+C35+C36</f>
        <v>63023.366329711396</v>
      </c>
      <c r="D37" s="37" t="s">
        <v>69</v>
      </c>
      <c r="E37" s="37"/>
      <c r="F37" s="37"/>
    </row>
    <row r="38" spans="1:6" s="35" customFormat="1" ht="15.6" x14ac:dyDescent="0.3">
      <c r="A38" s="37"/>
      <c r="B38" s="59"/>
      <c r="C38" s="43"/>
      <c r="D38" s="37"/>
      <c r="E38" s="37"/>
      <c r="F38" s="37"/>
    </row>
    <row r="39" spans="1:6" s="35" customFormat="1" ht="15.6" x14ac:dyDescent="0.3">
      <c r="A39" s="84" t="s">
        <v>89</v>
      </c>
      <c r="B39" s="88"/>
      <c r="C39" s="89"/>
      <c r="D39" s="84"/>
      <c r="E39" s="84"/>
      <c r="F39" s="87"/>
    </row>
    <row r="40" spans="1:6" s="35" customFormat="1" ht="18.600000000000001" x14ac:dyDescent="0.4">
      <c r="A40" s="37" t="s">
        <v>165</v>
      </c>
      <c r="B40" s="37" t="s">
        <v>142</v>
      </c>
      <c r="C40" s="42">
        <f>D11-15</f>
        <v>14.752241364918383</v>
      </c>
      <c r="D40" s="37" t="s">
        <v>132</v>
      </c>
      <c r="E40" s="37"/>
      <c r="F40" s="37"/>
    </row>
    <row r="41" spans="1:6" s="35" customFormat="1" ht="18.600000000000001" x14ac:dyDescent="0.4">
      <c r="A41" s="37" t="s">
        <v>166</v>
      </c>
      <c r="B41" s="37" t="s">
        <v>143</v>
      </c>
      <c r="C41" s="42">
        <f>C40+25</f>
        <v>39.752241364918383</v>
      </c>
      <c r="D41" s="37" t="s">
        <v>132</v>
      </c>
      <c r="E41" s="37"/>
      <c r="F41" s="37"/>
    </row>
    <row r="42" spans="1:6" s="35" customFormat="1" ht="32.25" customHeight="1" x14ac:dyDescent="0.4">
      <c r="A42" s="348" t="s">
        <v>67</v>
      </c>
      <c r="B42" s="214" t="s">
        <v>144</v>
      </c>
      <c r="C42" s="349">
        <f>(('Data Inputs'!B9-'Design Parameters'!C41)-(D11-C40))/(LN(('Data Inputs'!B9-C41)/(D11-'Design Parameters'!C40)))</f>
        <v>27.752034651908826</v>
      </c>
      <c r="D42" s="350" t="s">
        <v>132</v>
      </c>
      <c r="E42" s="37"/>
      <c r="F42" s="37"/>
    </row>
    <row r="43" spans="1:6" s="35" customFormat="1" ht="17.25" customHeight="1" x14ac:dyDescent="0.4">
      <c r="A43" s="348"/>
      <c r="B43" s="37" t="s">
        <v>145</v>
      </c>
      <c r="C43" s="349"/>
      <c r="D43" s="350"/>
      <c r="E43" s="37"/>
      <c r="F43" s="37"/>
    </row>
    <row r="44" spans="1:6" s="35" customFormat="1" ht="18" x14ac:dyDescent="0.4">
      <c r="A44" s="37" t="s">
        <v>167</v>
      </c>
      <c r="B44" s="37" t="s">
        <v>146</v>
      </c>
      <c r="C44" s="42">
        <f>C37/('Data Inputs'!B13*C42)</f>
        <v>113.54728963156681</v>
      </c>
      <c r="D44" s="37" t="s">
        <v>168</v>
      </c>
      <c r="E44" s="37"/>
      <c r="F44" s="37"/>
    </row>
    <row r="45" spans="1:6" ht="15.6" x14ac:dyDescent="0.3">
      <c r="A45" s="50"/>
      <c r="B45" s="50"/>
      <c r="C45" s="42"/>
      <c r="D45" s="50"/>
      <c r="E45" s="50"/>
      <c r="F45" s="50"/>
    </row>
    <row r="46" spans="1:6" s="35" customFormat="1" ht="15.6" x14ac:dyDescent="0.3">
      <c r="A46" s="84" t="s">
        <v>90</v>
      </c>
      <c r="B46" s="88"/>
      <c r="C46" s="89"/>
      <c r="D46" s="84"/>
      <c r="E46" s="84"/>
      <c r="F46" s="87"/>
    </row>
    <row r="47" spans="1:6" s="35" customFormat="1" ht="18" x14ac:dyDescent="0.4">
      <c r="A47" s="37" t="s">
        <v>174</v>
      </c>
      <c r="B47" s="37" t="s">
        <v>169</v>
      </c>
      <c r="C47" s="43">
        <f>C37/('Data Inputs'!B11*('Design Parameters'!C41-'Design Parameters'!C40))</f>
        <v>3878.3610049053168</v>
      </c>
      <c r="D47" s="37" t="s">
        <v>217</v>
      </c>
      <c r="E47" s="37"/>
      <c r="F47" s="37"/>
    </row>
    <row r="48" spans="1:6" s="35" customFormat="1" ht="18" x14ac:dyDescent="0.4">
      <c r="A48" s="37" t="s">
        <v>70</v>
      </c>
      <c r="B48" s="37" t="s">
        <v>170</v>
      </c>
      <c r="C48" s="39">
        <f>C37/12000</f>
        <v>5.2519471941426161</v>
      </c>
      <c r="D48" s="37" t="s">
        <v>71</v>
      </c>
      <c r="E48" s="37"/>
      <c r="F48" s="37"/>
    </row>
    <row r="49" spans="1:17" s="35" customFormat="1" ht="15.6" x14ac:dyDescent="0.3">
      <c r="A49" s="37"/>
      <c r="B49" s="37"/>
      <c r="C49" s="39"/>
      <c r="D49" s="37"/>
      <c r="E49" s="37"/>
      <c r="F49" s="37"/>
    </row>
    <row r="50" spans="1:17" s="35" customFormat="1" ht="15.6" x14ac:dyDescent="0.3">
      <c r="A50" s="84" t="s">
        <v>83</v>
      </c>
      <c r="B50" s="84"/>
      <c r="C50" s="86"/>
      <c r="D50" s="84"/>
      <c r="E50" s="84"/>
      <c r="F50" s="87"/>
    </row>
    <row r="51" spans="1:17" s="35" customFormat="1" ht="18" x14ac:dyDescent="0.4">
      <c r="A51" s="37" t="s">
        <v>77</v>
      </c>
      <c r="B51" s="37" t="s">
        <v>181</v>
      </c>
      <c r="C51" s="39">
        <f>2.7411*EXP(-0.015*D11)</f>
        <v>1.7543101087684561</v>
      </c>
      <c r="D51" s="37" t="s">
        <v>173</v>
      </c>
      <c r="E51" s="37"/>
      <c r="F51" s="37"/>
    </row>
    <row r="52" spans="1:17" s="35" customFormat="1" ht="15.6" x14ac:dyDescent="0.3">
      <c r="A52" s="37"/>
      <c r="B52" s="50"/>
      <c r="C52" s="39"/>
      <c r="D52" s="37"/>
      <c r="E52" s="37"/>
      <c r="F52" s="37"/>
    </row>
    <row r="53" spans="1:17" s="20" customFormat="1" ht="15.6" x14ac:dyDescent="0.3">
      <c r="A53" s="82" t="s">
        <v>32</v>
      </c>
      <c r="B53" s="90"/>
      <c r="C53" s="90"/>
      <c r="D53" s="90"/>
      <c r="E53" s="90"/>
      <c r="F53" s="90"/>
      <c r="G53" s="21"/>
      <c r="H53" s="21"/>
      <c r="I53" s="21"/>
      <c r="J53" s="21"/>
      <c r="K53" s="21"/>
      <c r="L53" s="21"/>
      <c r="M53" s="21"/>
      <c r="O53" s="21"/>
      <c r="P53" s="21"/>
      <c r="Q53" s="21"/>
    </row>
    <row r="54" spans="1:17" s="18" customFormat="1" ht="18" customHeight="1" x14ac:dyDescent="0.3">
      <c r="A54" s="211" t="s">
        <v>33</v>
      </c>
      <c r="B54" s="212" t="s">
        <v>171</v>
      </c>
      <c r="C54" s="162">
        <f>(('Data Inputs'!B43/100)*(1+('Data Inputs'!B43/100))^'Data Inputs'!B12)/(((1+('Data Inputs'!B43/100))^'Data Inputs'!B12)-1)</f>
        <v>9.1520425322923302E-2</v>
      </c>
      <c r="D54" s="211"/>
      <c r="E54" s="63"/>
      <c r="F54" s="63"/>
    </row>
    <row r="55" spans="1:17" s="18" customFormat="1" ht="18" customHeight="1" x14ac:dyDescent="0.3">
      <c r="A55" s="211"/>
      <c r="B55" s="211" t="s">
        <v>172</v>
      </c>
      <c r="C55" s="162"/>
      <c r="D55" s="211"/>
      <c r="E55" s="213"/>
      <c r="F55" s="63"/>
    </row>
    <row r="56" spans="1:17" s="35" customFormat="1" ht="15.6" x14ac:dyDescent="0.3">
      <c r="A56" s="37"/>
      <c r="B56" s="37"/>
      <c r="C56" s="162"/>
      <c r="D56" s="37"/>
      <c r="E56" s="37"/>
      <c r="F56" s="37"/>
    </row>
  </sheetData>
  <mergeCells count="7">
    <mergeCell ref="A42:A43"/>
    <mergeCell ref="C42:C43"/>
    <mergeCell ref="D42:D43"/>
    <mergeCell ref="A1:F1"/>
    <mergeCell ref="A3:F3"/>
    <mergeCell ref="A5:A6"/>
    <mergeCell ref="B5:B6"/>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A101"/>
  <sheetViews>
    <sheetView showGridLines="0" topLeftCell="A22" zoomScaleNormal="100" workbookViewId="0">
      <selection activeCell="E92" sqref="E92"/>
    </sheetView>
  </sheetViews>
  <sheetFormatPr defaultColWidth="9.109375" defaultRowHeight="14.4" x14ac:dyDescent="0.3"/>
  <cols>
    <col min="1" max="1" width="63.5546875" customWidth="1"/>
    <col min="2" max="2" width="74.44140625" customWidth="1"/>
    <col min="3" max="3" width="19.88671875" style="2" hidden="1" customWidth="1"/>
    <col min="4" max="4" width="18.88671875" style="2" hidden="1" customWidth="1"/>
    <col min="5" max="5" width="17.88671875" customWidth="1"/>
    <col min="6" max="6" width="38.88671875" customWidth="1"/>
    <col min="7" max="7" width="21.6640625" customWidth="1"/>
    <col min="8" max="8" width="19.44140625" customWidth="1"/>
    <col min="9" max="9" width="16" customWidth="1"/>
    <col min="15" max="26" width="9.109375" hidden="1" customWidth="1"/>
    <col min="27" max="27" width="0" hidden="1" customWidth="1"/>
  </cols>
  <sheetData>
    <row r="1" spans="1:27" ht="23.4" x14ac:dyDescent="0.45">
      <c r="A1" s="96"/>
      <c r="B1" s="178" t="s">
        <v>22</v>
      </c>
      <c r="C1" s="96"/>
      <c r="D1" s="96"/>
      <c r="E1" s="96"/>
      <c r="F1" s="96"/>
      <c r="G1" s="216"/>
      <c r="P1" t="s">
        <v>129</v>
      </c>
      <c r="Q1">
        <f>'Design Parameters'!D11</f>
        <v>29.752241364918383</v>
      </c>
      <c r="R1" t="s">
        <v>130</v>
      </c>
      <c r="S1" s="179">
        <f>'Design Parameters'!C48</f>
        <v>5.2519471941426161</v>
      </c>
    </row>
    <row r="2" spans="1:27" s="3" customFormat="1" ht="23.4" x14ac:dyDescent="0.45">
      <c r="A2" s="58"/>
      <c r="B2" s="58"/>
      <c r="C2" s="58"/>
      <c r="D2" s="58"/>
      <c r="P2" s="180" t="s">
        <v>127</v>
      </c>
      <c r="Q2" s="180"/>
      <c r="R2" s="180"/>
      <c r="S2" s="180"/>
      <c r="T2" s="180"/>
      <c r="U2" s="180"/>
      <c r="V2" s="180" t="s">
        <v>128</v>
      </c>
      <c r="W2" s="180"/>
      <c r="X2" s="180"/>
      <c r="Y2" s="180"/>
      <c r="Z2" s="180"/>
      <c r="AA2"/>
    </row>
    <row r="3" spans="1:27" ht="21" x14ac:dyDescent="0.4">
      <c r="A3" s="215"/>
      <c r="B3" s="177" t="s">
        <v>80</v>
      </c>
      <c r="C3" s="97"/>
      <c r="D3" s="97"/>
      <c r="E3" s="97"/>
      <c r="F3" s="97"/>
      <c r="G3" s="217"/>
      <c r="H3" s="1"/>
      <c r="I3" s="1"/>
      <c r="P3" t="s">
        <v>223</v>
      </c>
      <c r="R3" t="s">
        <v>125</v>
      </c>
      <c r="S3" t="s">
        <v>126</v>
      </c>
      <c r="V3" t="s">
        <v>223</v>
      </c>
      <c r="X3" t="s">
        <v>125</v>
      </c>
      <c r="Y3" t="s">
        <v>126</v>
      </c>
    </row>
    <row r="4" spans="1:27" s="4" customFormat="1" ht="28.5" customHeight="1" x14ac:dyDescent="0.3">
      <c r="A4" s="105"/>
      <c r="B4" s="105"/>
      <c r="C4" s="357" t="str">
        <f>IF('Data Inputs'!L1=1,"Warning!  You failed to select a condenser type. Please return to the Data Inputs tab and select a condenser type (packaged, custom or gasoline vapor recovery)."," ")</f>
        <v xml:space="preserve"> </v>
      </c>
      <c r="D4" s="357"/>
      <c r="E4" s="301"/>
      <c r="F4" s="106"/>
      <c r="G4" s="43"/>
      <c r="H4" s="230"/>
      <c r="I4" s="107"/>
      <c r="P4"/>
      <c r="Q4"/>
      <c r="R4"/>
      <c r="S4"/>
      <c r="T4"/>
      <c r="U4"/>
      <c r="V4"/>
      <c r="W4"/>
      <c r="X4"/>
      <c r="Y4"/>
      <c r="Z4"/>
      <c r="AA4"/>
    </row>
    <row r="5" spans="1:27" s="35" customFormat="1" ht="15.75" customHeight="1" x14ac:dyDescent="0.3">
      <c r="A5" s="55" t="str">
        <f>"Estimated purchase costs for a "&amp;(IF('Data Inputs'!L1=2,"packaged condenser",IF('Data Inputs'!L1=3,"custom condenser","gasoline vapor recovery system")&amp;"  with the following design specifications:"))</f>
        <v>Estimated purchase costs for a gasoline vapor recovery system  with the following design specifications:</v>
      </c>
      <c r="B5" s="56"/>
      <c r="C5" s="357"/>
      <c r="D5" s="357"/>
      <c r="E5" s="301"/>
      <c r="F5" s="48"/>
      <c r="G5" s="48"/>
      <c r="P5">
        <v>35</v>
      </c>
      <c r="Q5">
        <v>45</v>
      </c>
      <c r="R5">
        <v>85</v>
      </c>
      <c r="S5">
        <v>174</v>
      </c>
      <c r="T5">
        <f t="shared" ref="T5:T11" si="0">IF(AND($Q$1&gt;P5,$Q$1&lt;Q5,$S$1&gt;R5,$S$1&lt;S5),1,0)</f>
        <v>0</v>
      </c>
      <c r="U5"/>
      <c r="V5">
        <v>-15</v>
      </c>
      <c r="W5">
        <v>-5</v>
      </c>
      <c r="X5">
        <v>3.5</v>
      </c>
      <c r="Y5">
        <v>81</v>
      </c>
      <c r="Z5">
        <f t="shared" ref="Z5:Z14" si="1">IF(AND($Q$1&gt;V5,$Q$1&lt;W5,$S$1&gt;X5,$S$1&lt;Y5),1,0)</f>
        <v>0</v>
      </c>
      <c r="AA5"/>
    </row>
    <row r="6" spans="1:27" s="35" customFormat="1" ht="15.6" x14ac:dyDescent="0.3">
      <c r="A6" s="108" t="s">
        <v>106</v>
      </c>
      <c r="B6" s="109" t="str">
        <f>'Data Inputs'!B18</f>
        <v>Benzene</v>
      </c>
      <c r="C6" s="357"/>
      <c r="D6" s="357"/>
      <c r="E6" s="301"/>
      <c r="F6" s="48"/>
      <c r="G6" s="48"/>
      <c r="P6">
        <v>25</v>
      </c>
      <c r="Q6">
        <v>35</v>
      </c>
      <c r="R6">
        <v>0.63</v>
      </c>
      <c r="S6">
        <v>170</v>
      </c>
      <c r="T6">
        <f t="shared" si="0"/>
        <v>1</v>
      </c>
      <c r="U6"/>
      <c r="V6">
        <v>-25</v>
      </c>
      <c r="W6">
        <v>-15</v>
      </c>
      <c r="X6">
        <v>2.92</v>
      </c>
      <c r="Y6">
        <v>68</v>
      </c>
      <c r="Z6">
        <f t="shared" si="1"/>
        <v>0</v>
      </c>
      <c r="AA6"/>
    </row>
    <row r="7" spans="1:27" s="35" customFormat="1" ht="15.6" x14ac:dyDescent="0.3">
      <c r="A7" s="53" t="s">
        <v>70</v>
      </c>
      <c r="B7" s="101" t="str">
        <f>ROUND('Design Parameters'!C48,2)&amp;" tons/hour"</f>
        <v>5.25 tons/hour</v>
      </c>
      <c r="C7" s="357"/>
      <c r="D7" s="357"/>
      <c r="E7" s="301"/>
      <c r="F7" s="48"/>
      <c r="G7" s="48"/>
      <c r="P7">
        <v>15</v>
      </c>
      <c r="Q7">
        <v>25</v>
      </c>
      <c r="R7">
        <v>0.71</v>
      </c>
      <c r="S7">
        <v>880</v>
      </c>
      <c r="T7">
        <f t="shared" si="0"/>
        <v>0</v>
      </c>
      <c r="U7"/>
      <c r="V7">
        <v>-35</v>
      </c>
      <c r="W7">
        <v>-25</v>
      </c>
      <c r="X7">
        <v>2.42</v>
      </c>
      <c r="Y7">
        <v>85</v>
      </c>
      <c r="Z7">
        <f t="shared" si="1"/>
        <v>0</v>
      </c>
      <c r="AA7"/>
    </row>
    <row r="8" spans="1:27" s="35" customFormat="1" ht="18" x14ac:dyDescent="0.4">
      <c r="A8" s="53" t="s">
        <v>180</v>
      </c>
      <c r="B8" s="102" t="str">
        <f>ROUND('Design Parameters'!D11,0)&amp;" °F"</f>
        <v>30 °F</v>
      </c>
      <c r="C8" s="357"/>
      <c r="D8" s="357"/>
      <c r="E8" s="301"/>
      <c r="F8" s="67"/>
      <c r="G8" s="48"/>
      <c r="P8">
        <v>0</v>
      </c>
      <c r="Q8">
        <v>15</v>
      </c>
      <c r="R8">
        <v>0.44</v>
      </c>
      <c r="S8">
        <v>200</v>
      </c>
      <c r="T8">
        <f t="shared" si="0"/>
        <v>0</v>
      </c>
      <c r="U8"/>
      <c r="V8">
        <v>-45</v>
      </c>
      <c r="W8">
        <v>-35</v>
      </c>
      <c r="X8">
        <v>1.92</v>
      </c>
      <c r="Y8">
        <v>68</v>
      </c>
      <c r="Z8">
        <f t="shared" si="1"/>
        <v>0</v>
      </c>
      <c r="AA8"/>
    </row>
    <row r="9" spans="1:27" s="35" customFormat="1" ht="15.6" x14ac:dyDescent="0.3">
      <c r="A9" s="48"/>
      <c r="B9" s="54"/>
      <c r="C9" s="357"/>
      <c r="D9" s="357"/>
      <c r="E9" s="67"/>
      <c r="F9" s="67"/>
      <c r="G9" s="48"/>
      <c r="P9">
        <v>-5</v>
      </c>
      <c r="Q9">
        <v>0</v>
      </c>
      <c r="R9">
        <v>0.32</v>
      </c>
      <c r="S9">
        <v>133</v>
      </c>
      <c r="T9">
        <f t="shared" si="0"/>
        <v>0</v>
      </c>
      <c r="U9"/>
      <c r="V9">
        <v>-55</v>
      </c>
      <c r="W9">
        <v>-45</v>
      </c>
      <c r="X9">
        <v>1.58</v>
      </c>
      <c r="Y9">
        <v>55</v>
      </c>
      <c r="Z9">
        <f t="shared" si="1"/>
        <v>0</v>
      </c>
      <c r="AA9"/>
    </row>
    <row r="10" spans="1:27" s="35" customFormat="1" ht="15.6" x14ac:dyDescent="0.3">
      <c r="B10" s="222"/>
      <c r="C10" s="223"/>
      <c r="D10" s="224"/>
      <c r="E10" s="225"/>
      <c r="F10" s="225"/>
      <c r="P10" s="22">
        <v>-15</v>
      </c>
      <c r="Q10" s="22">
        <v>-5</v>
      </c>
      <c r="R10" s="22">
        <v>0.21</v>
      </c>
      <c r="S10" s="22">
        <v>6.6</v>
      </c>
      <c r="T10" s="22">
        <f t="shared" si="0"/>
        <v>0</v>
      </c>
      <c r="U10" s="22"/>
      <c r="V10" s="22">
        <v>-65</v>
      </c>
      <c r="W10" s="22">
        <v>-55</v>
      </c>
      <c r="X10" s="22">
        <v>1.25</v>
      </c>
      <c r="Y10" s="22">
        <v>100</v>
      </c>
      <c r="Z10" s="22">
        <f t="shared" si="1"/>
        <v>0</v>
      </c>
      <c r="AA10" s="22"/>
    </row>
    <row r="11" spans="1:27" s="4" customFormat="1" ht="15.6" x14ac:dyDescent="0.3">
      <c r="A11" s="98" t="str">
        <f>"Total Capital Investment (TCI) (in "&amp;'Data Inputs'!B41&amp;" dollars)"</f>
        <v>Total Capital Investment (TCI) (in 2016 dollars)</v>
      </c>
      <c r="B11" s="98"/>
      <c r="C11" s="98"/>
      <c r="D11" s="98"/>
      <c r="E11" s="98"/>
      <c r="F11" s="98"/>
      <c r="G11" s="221"/>
      <c r="H11" s="107"/>
      <c r="I11" s="107"/>
      <c r="P11">
        <v>-25</v>
      </c>
      <c r="Q11">
        <v>-15</v>
      </c>
      <c r="R11">
        <v>0.13</v>
      </c>
      <c r="S11">
        <v>200</v>
      </c>
      <c r="T11">
        <f t="shared" si="0"/>
        <v>0</v>
      </c>
      <c r="U11"/>
      <c r="V11">
        <v>-75</v>
      </c>
      <c r="W11">
        <v>-65</v>
      </c>
      <c r="X11">
        <v>1.33</v>
      </c>
      <c r="Y11">
        <v>42</v>
      </c>
      <c r="Z11">
        <f t="shared" si="1"/>
        <v>0</v>
      </c>
      <c r="AA11"/>
    </row>
    <row r="12" spans="1:27" s="4" customFormat="1" ht="31.2" x14ac:dyDescent="0.3">
      <c r="A12" s="110" t="s">
        <v>27</v>
      </c>
      <c r="B12" s="110" t="s">
        <v>28</v>
      </c>
      <c r="C12" s="111" t="s">
        <v>73</v>
      </c>
      <c r="D12" s="111" t="s">
        <v>74</v>
      </c>
      <c r="E12" s="112" t="s">
        <v>104</v>
      </c>
      <c r="F12" s="113"/>
      <c r="G12" s="43"/>
      <c r="H12" s="107"/>
      <c r="I12" s="107"/>
      <c r="P12"/>
      <c r="Q12"/>
      <c r="R12"/>
      <c r="S12"/>
      <c r="T12"/>
      <c r="U12"/>
      <c r="V12">
        <v>-85</v>
      </c>
      <c r="W12">
        <v>-75</v>
      </c>
      <c r="X12">
        <v>1.08</v>
      </c>
      <c r="Y12">
        <v>150</v>
      </c>
      <c r="Z12">
        <f t="shared" si="1"/>
        <v>0</v>
      </c>
      <c r="AA12"/>
    </row>
    <row r="13" spans="1:27" s="35" customFormat="1" ht="46.5" hidden="1" customHeight="1" x14ac:dyDescent="0.3">
      <c r="A13" s="114" t="s">
        <v>336</v>
      </c>
      <c r="B13" s="115"/>
      <c r="C13" s="116"/>
      <c r="D13" s="116"/>
      <c r="F13" s="356" t="str">
        <f>IF('Data Inputs'!L1=1," ",(IF(Q1&lt;-25,"* A single stage condenser is not appropriate where the Tcon is below -25 °F.",IF(T13=0,"*Estimated equipment cost for the single stage condenser (Ecr) may not be accurate. Values of R and Tcon are outside the applicability range for the ECr cost equation."," "))))</f>
        <v xml:space="preserve"> </v>
      </c>
      <c r="P13"/>
      <c r="R13"/>
      <c r="S13" s="2" t="s">
        <v>206</v>
      </c>
      <c r="T13">
        <f>SUM(T5:T11)</f>
        <v>1</v>
      </c>
      <c r="U13"/>
      <c r="V13">
        <v>-95</v>
      </c>
      <c r="W13">
        <v>-85</v>
      </c>
      <c r="X13">
        <v>0.83</v>
      </c>
      <c r="Y13">
        <v>28</v>
      </c>
      <c r="Z13">
        <f t="shared" si="1"/>
        <v>0</v>
      </c>
      <c r="AA13"/>
    </row>
    <row r="14" spans="1:27" s="281" customFormat="1" ht="30.75" hidden="1" customHeight="1" x14ac:dyDescent="0.3">
      <c r="A14" s="276" t="str">
        <f>"ECr"&amp;(IF(OR(Q1&gt;45, (AND('Cost Estimate'!T13=0,Q1&gt;-25, Q1&lt;45))),"*"," "))&amp;" ="</f>
        <v>ECr  =</v>
      </c>
      <c r="B14" s="277" t="str">
        <f>IF('Design Parameters'!C48&lt;10,"1.611 × exp[9.83 - 0.014 × Tcon + 0.34 × ln(R)] × ["&amp;'Data Inputs'!B41&amp;" CEPCI / 2014 CEPCI] =", "1.611 × exp[9.26 - 0.007 × Tcon + 0.627 × ln(R)] × ["&amp;'Data Inputs'!B41&amp;" CEPCI / 2014 CEPCI] =")</f>
        <v>1.611 × exp[9.83 - 0.014 × Tcon + 0.34 × ln(R)] × [2016 CEPCI / 2014 CEPCI] =</v>
      </c>
      <c r="C14" s="278" t="str">
        <f>IF(OR('Data Inputs'!L1=1,'Data Inputs'!L1=4),"Not applicable",(IF('Design Parameters'!D11&gt;-30,(IF('Design Parameters'!C48&lt;10,(1.611*EXP(9.83-(0.014*'Design Parameters'!D11)+0.34*LN('Design Parameters'!C48)))*('Data Inputs'!B42/'Data Inputs'!E42),(1.611*EXP(9.26-(0.007*'Design Parameters'!D11)+0.627*LN('Design Parameters'!C48)))*('Data Inputs'!B42/'Data Inputs'!E42))),"Not applicable*")))</f>
        <v>Not applicable</v>
      </c>
      <c r="D14" s="279"/>
      <c r="E14" s="282"/>
      <c r="F14" s="356"/>
      <c r="G14" s="280"/>
      <c r="P14" s="8"/>
      <c r="Q14" s="8"/>
      <c r="R14" s="8"/>
      <c r="S14" s="8"/>
      <c r="T14" s="8"/>
      <c r="U14" s="8"/>
      <c r="V14" s="8">
        <v>-105</v>
      </c>
      <c r="W14" s="8">
        <v>-95</v>
      </c>
      <c r="X14" s="8">
        <v>0.67</v>
      </c>
      <c r="Y14" s="8">
        <v>22</v>
      </c>
      <c r="Z14" s="8">
        <f t="shared" si="1"/>
        <v>0</v>
      </c>
      <c r="AA14" s="8"/>
    </row>
    <row r="15" spans="1:27" s="35" customFormat="1" ht="15.75" hidden="1" customHeight="1" x14ac:dyDescent="0.3">
      <c r="A15" s="115"/>
      <c r="B15" s="115"/>
      <c r="C15" s="120"/>
      <c r="D15" s="115"/>
      <c r="E15" s="119"/>
      <c r="F15" s="356"/>
      <c r="G15" s="232"/>
      <c r="P15"/>
      <c r="Q15"/>
      <c r="R15"/>
      <c r="S15"/>
      <c r="T15"/>
      <c r="U15"/>
      <c r="V15"/>
      <c r="W15"/>
      <c r="X15"/>
      <c r="Y15"/>
      <c r="Z15"/>
      <c r="AA15"/>
    </row>
    <row r="16" spans="1:27" s="35" customFormat="1" ht="37.5" hidden="1" customHeight="1" x14ac:dyDescent="0.3">
      <c r="A16" s="114" t="s">
        <v>337</v>
      </c>
      <c r="B16" s="115"/>
      <c r="C16" s="115"/>
      <c r="D16" s="115"/>
      <c r="E16" s="119"/>
      <c r="F16" s="356" t="str">
        <f>IF(AND('Data Inputs'!L1=1,'Data Inputs'!L1=4)," ",(IF(Q1&gt;-5,"* A multi-stage condenser is not necessary where Tcon is above -5 °F.",(IF(Z17=0,"*Estimated equipment cost for the multi-stage condenser, ECr, may not be accurate. Values of R and Tcon are outside the applicability range for the ECr cost equation."," ")))))</f>
        <v>* A multi-stage condenser is not necessary where Tcon is above -5 °F.</v>
      </c>
      <c r="G16" s="232"/>
      <c r="P16"/>
      <c r="Q16"/>
      <c r="R16"/>
      <c r="S16"/>
      <c r="T16"/>
      <c r="U16"/>
      <c r="V16"/>
      <c r="W16"/>
      <c r="X16"/>
      <c r="Y16"/>
      <c r="Z16"/>
      <c r="AA16"/>
    </row>
    <row r="17" spans="1:27" s="281" customFormat="1" ht="37.5" hidden="1" customHeight="1" x14ac:dyDescent="0.3">
      <c r="A17" s="276" t="str">
        <f>"ECr"&amp;IF(OR(Q1&lt;-105, (AND('Cost Estimate'!Z17=0,Q1&lt;-5, Q1&gt;-105))),"*"," ")&amp;" ="</f>
        <v>ECr  =</v>
      </c>
      <c r="B17" s="277" t="str">
        <f>"1.611 × exp[9.73 - 0.012 × Tcon + 0.58 × ln(R)] × ["&amp;'Data Inputs'!B41&amp;" CEPCI / 2014 CEPCI] ="</f>
        <v>1.611 × exp[9.73 - 0.012 × Tcon + 0.58 × ln(R)] × [2016 CEPCI / 2014 CEPCI] =</v>
      </c>
      <c r="C17" s="282"/>
      <c r="D17" s="283" t="str">
        <f>IF(OR('Data Inputs'!L1=1,'Data Inputs'!L1=4),"Not applicable", (IF('Design Parameters'!D11&lt;-10,(1.611*EXP(9.73-(0.012*'Design Parameters'!D11)+(0.58*LN('Design Parameters'!C48))))*('Data Inputs'!B42/'Data Inputs'!E42),"Not applicable*")))</f>
        <v>Not applicable</v>
      </c>
      <c r="E17" s="282"/>
      <c r="F17" s="356"/>
      <c r="G17" s="280"/>
      <c r="P17" s="8"/>
      <c r="Q17" s="8"/>
      <c r="R17" s="8"/>
      <c r="S17" s="8"/>
      <c r="T17" s="8"/>
      <c r="U17" s="8"/>
      <c r="V17" s="8"/>
      <c r="W17" s="8"/>
      <c r="X17" s="8"/>
      <c r="Y17" s="284" t="s">
        <v>206</v>
      </c>
      <c r="Z17" s="8">
        <f>SUM(Z5:Z14)</f>
        <v>0</v>
      </c>
      <c r="AA17" s="8"/>
    </row>
    <row r="18" spans="1:27" s="35" customFormat="1" ht="15.75" hidden="1" customHeight="1" x14ac:dyDescent="0.3">
      <c r="A18" s="114" t="s">
        <v>338</v>
      </c>
      <c r="B18" s="115"/>
      <c r="C18" s="230"/>
      <c r="D18" s="115"/>
      <c r="E18" s="119"/>
      <c r="F18" s="232"/>
      <c r="G18" s="232"/>
      <c r="P18"/>
      <c r="Q18"/>
      <c r="R18"/>
      <c r="S18"/>
      <c r="T18"/>
      <c r="U18"/>
      <c r="V18"/>
      <c r="W18"/>
      <c r="X18"/>
      <c r="Y18"/>
      <c r="Z18"/>
      <c r="AA18"/>
    </row>
    <row r="19" spans="1:27" s="35" customFormat="1" ht="15.6" hidden="1" x14ac:dyDescent="0.3">
      <c r="A19" s="116" t="s">
        <v>72</v>
      </c>
      <c r="B19" s="117" t="s">
        <v>202</v>
      </c>
      <c r="C19" s="118" t="str">
        <f>IF(OR('Data Inputs'!L1=1,'Data Inputs'!L1=4),"Not applicable",(IF(AND('Design Parameters'!D11&gt;-30,'Data Inputs'!L1=2),(0.25*C14),"Not applicable")))</f>
        <v>Not applicable</v>
      </c>
      <c r="D19" s="118" t="str">
        <f>IF(OR('Data Inputs'!L1=1,'Data Inputs'!L1=4),"Not applicable", (IF('Design Parameters'!D11&lt;-10,(0.25*D17),"Not applicable")))</f>
        <v>Not applicable</v>
      </c>
      <c r="E19" s="132"/>
      <c r="P19"/>
      <c r="Q19"/>
      <c r="R19"/>
      <c r="S19"/>
      <c r="T19"/>
      <c r="U19"/>
      <c r="V19"/>
      <c r="W19"/>
      <c r="X19"/>
      <c r="Y19"/>
      <c r="Z19"/>
      <c r="AA19"/>
    </row>
    <row r="20" spans="1:27" s="35" customFormat="1" ht="15.6" x14ac:dyDescent="0.3">
      <c r="A20" s="114" t="s">
        <v>105</v>
      </c>
      <c r="B20" s="117"/>
      <c r="C20" s="230"/>
      <c r="D20" s="230"/>
      <c r="E20" s="119"/>
      <c r="P20"/>
      <c r="Q20"/>
      <c r="R20"/>
      <c r="S20"/>
      <c r="T20"/>
      <c r="U20"/>
      <c r="V20"/>
      <c r="W20"/>
      <c r="X20"/>
      <c r="Y20"/>
      <c r="Z20"/>
      <c r="AA20"/>
    </row>
    <row r="21" spans="1:27" s="35" customFormat="1" ht="15.6" x14ac:dyDescent="0.3">
      <c r="A21" s="116" t="s">
        <v>72</v>
      </c>
      <c r="B21" s="117" t="str">
        <f>"1.611 × (4,910 × R + 341,000) × ("&amp;'Data Inputs'!B41&amp;" CEPCI / 2014 CEPCI) ="</f>
        <v>1.611 × (4,910 × R + 341,000) × (2016 CEPCI / 2014 CEPCI) =</v>
      </c>
      <c r="C21" s="118"/>
      <c r="D21" s="132"/>
      <c r="E21" s="122">
        <f>IF('Data Inputs'!L1=4,(1.611*((4910*'Design Parameters'!C48)+341000))*('Data Inputs'!B42/'Data Inputs'!E42), "Not applicable")</f>
        <v>550174.47902830259</v>
      </c>
      <c r="P21"/>
      <c r="Q21"/>
      <c r="R21"/>
      <c r="S21"/>
      <c r="T21"/>
      <c r="U21"/>
      <c r="V21"/>
      <c r="W21"/>
      <c r="X21"/>
      <c r="Y21"/>
      <c r="Z21"/>
      <c r="AA21"/>
    </row>
    <row r="22" spans="1:27" s="35" customFormat="1" ht="15.6" x14ac:dyDescent="0.3">
      <c r="A22" s="117"/>
      <c r="B22" s="115"/>
      <c r="C22" s="230"/>
      <c r="D22" s="119"/>
      <c r="E22" s="119"/>
    </row>
    <row r="23" spans="1:27" s="35" customFormat="1" ht="18" hidden="1" x14ac:dyDescent="0.4">
      <c r="A23" s="117" t="s">
        <v>182</v>
      </c>
      <c r="B23" s="117" t="str">
        <f>"1.611 × (34 × Acon + 3,775) x ["&amp;'Data Inputs'!B41&amp;" CEPCI / 2014 CEPCI] ="</f>
        <v>1.611 × (34 × Acon + 3,775) x [2016 CEPCI / 2014 CEPCI] =</v>
      </c>
      <c r="C23" s="118" t="str">
        <f>IF(OR('Data Inputs'!L1=1,'Data Inputs'!L1=2, 'Data Inputs'!L1=4),"Not applicable", IF('Design Parameters'!D11&gt;-30,(1.611*((34*'Design Parameters'!C44)+3775))*('Data Inputs'!B42/'Data Inputs'!E42),"Not applicable"))</f>
        <v>Not applicable</v>
      </c>
      <c r="D23" s="118" t="str">
        <f>IF(OR('Data Inputs'!L1=1,'Data Inputs'!L1=2, 'Data Inputs'!L1=4),"Not applicable",IF('Design Parameters'!D11&lt;-10,(1.611*((34*'Design Parameters'!C44)+3775))*('Data Inputs'!B42/'Data Inputs'!E42),"Not applicable"))</f>
        <v>Not applicable</v>
      </c>
      <c r="E23" s="132"/>
    </row>
    <row r="24" spans="1:27" s="35" customFormat="1" ht="15.6" hidden="1" x14ac:dyDescent="0.3">
      <c r="C24" s="119"/>
      <c r="D24" s="119"/>
      <c r="E24" s="119"/>
    </row>
    <row r="25" spans="1:27" s="35" customFormat="1" ht="15.6" hidden="1" x14ac:dyDescent="0.3">
      <c r="C25" s="119"/>
      <c r="D25" s="119"/>
      <c r="E25" s="119"/>
    </row>
    <row r="26" spans="1:27" s="35" customFormat="1" ht="33.6" hidden="1" x14ac:dyDescent="0.3">
      <c r="A26" s="70" t="s">
        <v>183</v>
      </c>
      <c r="B26" s="35" t="str">
        <f>"1.611 × (2.72 × Vtank + 1,960) × ["&amp;'Data Inputs'!B41&amp;" CEPCI / 2014 CEPCI] ="</f>
        <v>1.611 × (2.72 × Vtank + 1,960) × [2016 CEPCI / 2014 CEPCI] =</v>
      </c>
      <c r="C26" s="122" t="str">
        <f>IF(OR('Data Inputs'!L1=1,'Data Inputs'!L1=2, 'Data Inputs'!L1=4),"Not applicable",IF('Design Parameters'!D11&gt;-30,(1.611*((2.72*'Design Parameters'!C23)+1960))*('Data Inputs'!B42/'Data Inputs'!E42),"Not applicable"))</f>
        <v>Not applicable</v>
      </c>
      <c r="D26" s="122" t="str">
        <f>IF(OR('Data Inputs'!L1=1,'Data Inputs'!L1=2,'Data Inputs'!L1=4),"Not applicable", IF('Design Parameters'!D11&lt;-10,(1.611*((2.72*'Design Parameters'!C23)+1960))*('Data Inputs'!B42/'Data Inputs'!E42),"Not applicable"))</f>
        <v>Not applicable</v>
      </c>
      <c r="E26" s="132"/>
    </row>
    <row r="27" spans="1:27" s="35" customFormat="1" ht="18" hidden="1" x14ac:dyDescent="0.4">
      <c r="A27" s="70" t="s">
        <v>184</v>
      </c>
      <c r="B27" s="117" t="str">
        <f>IF('Design Parameters'!C48&lt;10,"1.611 × exp[9.83 - 0.014 × Tcon + 0.34 × ln(R)] × ["&amp;'Data Inputs'!B41&amp;" CEPCI / 2014 CEPCI] =", "1.611 × exp[9.26 - 0.007 × Tcon + 0.627 × ln(R)] × ["&amp;'Data Inputs'!B41&amp;" CEPCI / 2014 CEPCI] =")</f>
        <v>1.611 × exp[9.83 - 0.014 × Tcon + 0.34 × ln(R)] × [2016 CEPCI / 2014 CEPCI] =</v>
      </c>
      <c r="C27" s="118" t="str">
        <f>IF(OR('Data Inputs'!L1=1,'Data Inputs'!L1=2,'Data Inputs'!L1=4),"Not applicable",IF('Design Parameters'!D11&gt;-30,(IF('Design Parameters'!C48&lt;10,(1.611*EXP(9.83-(0.014*'Design Parameters'!D11)+0.34*LN('Design Parameters'!C48)))*('Data Inputs'!B42/'Data Inputs'!E42),(1.611*EXP(9.26-(0.007*'Design Parameters'!D11)+0.627*LN('Design Parameters'!C48)))*('Data Inputs'!B42/'Data Inputs'!E42))),"Not applicable"))</f>
        <v>Not applicable</v>
      </c>
      <c r="D27" s="118" t="str">
        <f>IF(OR('Data Inputs'!L1=1,'Data Inputs'!L1=2, 'Data Inputs'!L1=4),"Not applicable", IF('Design Parameters'!D11&lt;-10,(IF('Design Parameters'!C48&lt;10,(1.611*EXP(9.83-(0.014*'Design Parameters'!D11)+0.34*LN('Design Parameters'!C48)))*('Data Inputs'!B42/'Data Inputs'!E42),(1.611*EXP(9.26-(0.007*'Design Parameters'!D11)+0.627*LN('Design Parameters'!C48)))*('Data Inputs'!B42/'Data Inputs'!E42))),"Not applicable"))</f>
        <v>Not applicable</v>
      </c>
      <c r="E27" s="132"/>
    </row>
    <row r="28" spans="1:27" s="35" customFormat="1" ht="18" hidden="1" x14ac:dyDescent="0.4">
      <c r="A28" s="35" t="s">
        <v>78</v>
      </c>
      <c r="B28" s="35" t="s">
        <v>200</v>
      </c>
      <c r="C28" s="122" t="str">
        <f>IF(OR('Data Inputs'!L1=1,'Data Inputs'!L1=2,'Data Inputs'!L1=4),"Not applicable", IF('Design Parameters'!D11&gt;-30,(C14+C23+C26+C27+'Data Inputs'!B39),"Not applicable"))</f>
        <v>Not applicable</v>
      </c>
      <c r="D28" s="122" t="str">
        <f>IF(OR('Data Inputs'!L1=1,'Data Inputs'!L1=2,'Data Inputs'!L1=4),"Not applicable",IF('Design Parameters'!D11&lt;-10,(D17+D23+D26+D27+'Data Inputs'!B39),"Not applicable"))</f>
        <v>Not applicable</v>
      </c>
      <c r="E28" s="132"/>
    </row>
    <row r="29" spans="1:27" s="35" customFormat="1" ht="15.6" hidden="1" x14ac:dyDescent="0.3">
      <c r="C29" s="119"/>
      <c r="D29" s="115"/>
      <c r="E29" s="119"/>
    </row>
    <row r="30" spans="1:27" s="4" customFormat="1" ht="15.6" x14ac:dyDescent="0.3">
      <c r="C30" s="123"/>
      <c r="D30" s="123"/>
      <c r="E30" s="123"/>
    </row>
    <row r="31" spans="1:27" s="4" customFormat="1" ht="15.6" x14ac:dyDescent="0.3">
      <c r="A31" s="4" t="s">
        <v>53</v>
      </c>
      <c r="B31" s="302" t="str">
        <f>IF('Data Inputs'!L1=2,"ECp + ECr =", (IF('Data Inputs'!L1=4, "ECp =", " ")))</f>
        <v>ECp =</v>
      </c>
      <c r="C31" s="122" t="str">
        <f>IF(OR('Data Inputs'!L1=1,'Data Inputs'!L1=4),"Not applicable",(IF('Design Parameters'!D11&gt;-30, (IF('Data Inputs'!L1=2,(C14+C19), C28)),"Not applicable")))</f>
        <v>Not applicable</v>
      </c>
      <c r="D31" s="122" t="str">
        <f>IF(OR('Data Inputs'!L1=1,'Data Inputs'!L1=4),"Not applicable",IF('Design Parameters'!D11&lt;-10,(IF('Data Inputs'!L1=2, (D17+D19), D28)),"Not applicable"))</f>
        <v>Not applicable</v>
      </c>
      <c r="E31" s="122">
        <f>IF('Data Inputs'!L1=4,'Cost Estimate'!E21, "Not applicable")</f>
        <v>550174.47902830259</v>
      </c>
      <c r="F31" s="124"/>
      <c r="G31" s="125"/>
      <c r="H31" s="125"/>
      <c r="I31" s="125"/>
      <c r="J31" s="126"/>
      <c r="K31" s="126"/>
      <c r="L31" s="126"/>
      <c r="M31" s="126"/>
      <c r="N31" s="126"/>
      <c r="O31" s="126"/>
      <c r="P31" s="126"/>
      <c r="Q31" s="126"/>
      <c r="R31" s="126"/>
    </row>
    <row r="32" spans="1:27" s="127" customFormat="1" ht="15.6" x14ac:dyDescent="0.3">
      <c r="C32" s="231"/>
      <c r="D32" s="128"/>
      <c r="E32" s="128"/>
      <c r="F32" s="129"/>
      <c r="G32" s="130"/>
      <c r="H32" s="130"/>
      <c r="I32" s="130"/>
      <c r="J32" s="131"/>
      <c r="K32" s="131"/>
      <c r="L32" s="131"/>
      <c r="M32" s="131"/>
      <c r="N32" s="131"/>
      <c r="O32" s="131"/>
      <c r="P32" s="131"/>
      <c r="Q32" s="131"/>
      <c r="R32" s="131"/>
    </row>
    <row r="33" spans="1:18" s="4" customFormat="1" ht="15.6" x14ac:dyDescent="0.3">
      <c r="A33" s="4" t="s">
        <v>107</v>
      </c>
      <c r="B33" s="4" t="s">
        <v>185</v>
      </c>
      <c r="C33" s="122" t="str">
        <f>IF(OR('Data Inputs'!L1=1,'Data Inputs'!L1=4),"Not applicable",IF(AND('Design Parameters'!D11&gt;-30,'Data Inputs'!L1=3),(0.1*C31),"Included in A"))</f>
        <v>Not applicable</v>
      </c>
      <c r="D33" s="122" t="str">
        <f>IF(OR('Data Inputs'!L1=1,'Data Inputs'!L1=4),"Not applicable",IF(AND('Design Parameters'!D11&lt;-10,'Data Inputs'!L1=3),(0.1*D31),"Included in A"))</f>
        <v>Not applicable</v>
      </c>
      <c r="E33" s="132" t="str">
        <f>IF('Data Inputs'!L1=4, "Included in A","Not applicable")</f>
        <v>Included in A</v>
      </c>
      <c r="F33" s="126"/>
      <c r="G33" s="125"/>
      <c r="H33" s="126"/>
      <c r="I33" s="125"/>
      <c r="J33" s="126"/>
      <c r="K33" s="126"/>
      <c r="L33" s="126"/>
      <c r="M33" s="126"/>
      <c r="N33" s="126"/>
      <c r="O33" s="126"/>
      <c r="P33" s="126"/>
      <c r="Q33" s="126"/>
      <c r="R33" s="126"/>
    </row>
    <row r="34" spans="1:18" s="4" customFormat="1" ht="15.6" x14ac:dyDescent="0.3">
      <c r="A34" s="4" t="s">
        <v>1</v>
      </c>
      <c r="B34" s="4" t="s">
        <v>186</v>
      </c>
      <c r="C34" s="122" t="str">
        <f>IF(OR('Data Inputs'!L1=1,'Data Inputs'!L1=4),"Not applicable", (IF('Design Parameters'!D11&gt;-30,(0.03*C31),"Not applicable")))</f>
        <v>Not applicable</v>
      </c>
      <c r="D34" s="122" t="str">
        <f>IF(OR('Data Inputs'!L1=1,'Data Inputs'!L1=4),"Not applicable",IF('Design Parameters'!D11&lt;-10,(0.03*D31),"Not applicable"))</f>
        <v>Not applicable</v>
      </c>
      <c r="E34" s="122">
        <f>IF('Data Inputs'!L1=4, 0.03*E31,"Not applicable")</f>
        <v>16505.234370849077</v>
      </c>
      <c r="F34" s="126"/>
      <c r="G34" s="125"/>
      <c r="H34" s="126"/>
      <c r="I34" s="126"/>
      <c r="J34" s="126"/>
      <c r="K34" s="126"/>
      <c r="L34" s="126"/>
      <c r="M34" s="126"/>
      <c r="N34" s="126"/>
      <c r="O34" s="126"/>
      <c r="P34" s="126"/>
      <c r="Q34" s="126"/>
      <c r="R34" s="126"/>
    </row>
    <row r="35" spans="1:18" s="4" customFormat="1" ht="15.6" x14ac:dyDescent="0.3">
      <c r="A35" s="4" t="s">
        <v>2</v>
      </c>
      <c r="B35" s="4" t="s">
        <v>187</v>
      </c>
      <c r="C35" s="122" t="str">
        <f>IF(OR('Data Inputs'!L1=1,'Data Inputs'!L1=4),"Not applicable", (IF('Design Parameters'!D11&gt;-30,(0.05*C31),"Not applicable")))</f>
        <v>Not applicable</v>
      </c>
      <c r="D35" s="122" t="str">
        <f>IF(OR('Data Inputs'!L1=1,'Data Inputs'!L1=4),"Not applicable",IF('Design Parameters'!D11&lt;-10,(0.05*D31),"Not applicable"))</f>
        <v>Not applicable</v>
      </c>
      <c r="E35" s="122">
        <f>IF('Data Inputs'!L1=4,0.05*E31,"Not applicable")</f>
        <v>27508.72395141513</v>
      </c>
      <c r="F35" s="126"/>
      <c r="G35" s="126"/>
      <c r="H35" s="126"/>
      <c r="I35" s="126"/>
      <c r="J35" s="126"/>
      <c r="K35" s="126"/>
      <c r="L35" s="126"/>
      <c r="M35" s="126"/>
      <c r="N35" s="126"/>
      <c r="O35" s="126"/>
      <c r="P35" s="126"/>
      <c r="Q35" s="126"/>
      <c r="R35" s="126"/>
    </row>
    <row r="36" spans="1:18" s="4" customFormat="1" ht="15.6" x14ac:dyDescent="0.3">
      <c r="C36" s="133"/>
      <c r="D36" s="123"/>
      <c r="E36" s="123"/>
      <c r="F36" s="126"/>
      <c r="G36" s="60"/>
      <c r="H36" s="126"/>
      <c r="I36" s="126"/>
      <c r="J36" s="126"/>
      <c r="K36" s="126"/>
      <c r="L36" s="126"/>
      <c r="M36" s="126"/>
      <c r="N36" s="126"/>
      <c r="O36" s="126"/>
      <c r="P36" s="126"/>
      <c r="Q36" s="126"/>
      <c r="R36" s="126"/>
    </row>
    <row r="37" spans="1:18" s="4" customFormat="1" ht="16.5" customHeight="1" x14ac:dyDescent="0.3">
      <c r="A37" s="359" t="s">
        <v>56</v>
      </c>
      <c r="B37" s="359"/>
      <c r="C37" s="118" t="str">
        <f>IF(OR('Data Inputs'!L1=1,'Data Inputs'!L1=4),"Not applicable",(IF('Design Parameters'!D11&gt;-30,(IF('Data Inputs'!L1=3,SUM(C31:C35),(C31+C34+C35))),"Not applicable ")))</f>
        <v>Not applicable</v>
      </c>
      <c r="D37" s="118" t="str">
        <f>IF(OR('Data Inputs'!L1=1,'Data Inputs'!L1=4),"Not applicable",(IF('Design Parameters'!D11&lt;-10,(IF('Data Inputs'!L1=3,SUM(D31:D35),(D31+D34+D35))),"Not applicable")))</f>
        <v>Not applicable</v>
      </c>
      <c r="E37" s="122">
        <f>IF('Data Inputs'!L1=4, E31+E34+E35, "Not applicable")</f>
        <v>594188.43735056685</v>
      </c>
    </row>
    <row r="38" spans="1:18" s="4" customFormat="1" ht="14.25" customHeight="1" x14ac:dyDescent="0.3">
      <c r="C38" s="123"/>
      <c r="D38" s="123"/>
      <c r="E38" s="123"/>
    </row>
    <row r="39" spans="1:18" s="4" customFormat="1" ht="15.6" hidden="1" x14ac:dyDescent="0.3">
      <c r="A39" s="99" t="str">
        <f>"Direct Installation Costs (in "&amp;'Data Inputs'!B41&amp;" dollars)"</f>
        <v>Direct Installation Costs (in 2016 dollars)</v>
      </c>
      <c r="B39" s="99"/>
      <c r="C39" s="103"/>
      <c r="D39" s="103"/>
      <c r="E39" s="103"/>
      <c r="F39" s="99"/>
      <c r="G39" s="87"/>
    </row>
    <row r="40" spans="1:18" s="4" customFormat="1" ht="31.2" hidden="1" x14ac:dyDescent="0.3">
      <c r="A40" s="110" t="s">
        <v>27</v>
      </c>
      <c r="B40" s="110" t="s">
        <v>28</v>
      </c>
      <c r="C40" s="111" t="s">
        <v>73</v>
      </c>
      <c r="D40" s="111" t="s">
        <v>74</v>
      </c>
      <c r="E40" s="112" t="s">
        <v>104</v>
      </c>
      <c r="F40" s="113"/>
      <c r="G40" s="43"/>
      <c r="H40" s="107"/>
      <c r="I40" s="107"/>
    </row>
    <row r="41" spans="1:18" s="4" customFormat="1" ht="15.6" hidden="1" x14ac:dyDescent="0.3">
      <c r="A41" s="4" t="s">
        <v>3</v>
      </c>
      <c r="B41" s="4" t="s">
        <v>188</v>
      </c>
      <c r="C41" s="122" t="str">
        <f>IF(OR('Data Inputs'!L1=1,'Data Inputs'!L1=2,'Data Inputs'!L1=4),"Not applicable",(IF('Design Parameters'!D11&gt;-30,(0.14*C$37),"Not applicable")))</f>
        <v>Not applicable</v>
      </c>
      <c r="D41" s="122" t="str">
        <f>IF(OR('Data Inputs'!L1=1,'Data Inputs'!L1=2,'Data Inputs'!L1=4),"Not applicable",IF('Design Parameters'!D11&lt;-10,(0.14*D$37),"Not applicable"))</f>
        <v>Not applicable</v>
      </c>
      <c r="E41" s="122" t="s">
        <v>203</v>
      </c>
    </row>
    <row r="42" spans="1:18" s="4" customFormat="1" ht="15.6" hidden="1" x14ac:dyDescent="0.3">
      <c r="A42" s="4" t="s">
        <v>224</v>
      </c>
      <c r="B42" s="4" t="s">
        <v>189</v>
      </c>
      <c r="C42" s="122" t="str">
        <f>IF(OR('Data Inputs'!L1=1,'Data Inputs'!L1=2,'Data Inputs'!L1=4),"Not applicable", (IF('Design Parameters'!D11&gt;-30,(0.08*C$37),"Not applicable")))</f>
        <v>Not applicable</v>
      </c>
      <c r="D42" s="122" t="str">
        <f>IF(OR('Data Inputs'!L1=1,'Data Inputs'!L1=2,'Data Inputs'!L1=4),"Not applicable",(IF('Design Parameters'!D11&lt;-10,(0.08*D$37),"Not applicable")))</f>
        <v>Not applicable</v>
      </c>
      <c r="E42" s="122" t="s">
        <v>203</v>
      </c>
    </row>
    <row r="43" spans="1:18" s="4" customFormat="1" ht="15.6" hidden="1" x14ac:dyDescent="0.3">
      <c r="A43" s="4" t="s">
        <v>4</v>
      </c>
      <c r="B43" s="4" t="s">
        <v>189</v>
      </c>
      <c r="C43" s="122" t="str">
        <f>IF(OR('Data Inputs'!L1=1,'Data Inputs'!L1=2,'Data Inputs'!L1=4),"Not applicable", (IF('Design Parameters'!D11&gt;-30,(0.08*C$37),"Not applicable")))</f>
        <v>Not applicable</v>
      </c>
      <c r="D43" s="122" t="str">
        <f>IF(OR('Data Inputs'!L1=1,'Data Inputs'!L1=2,'Data Inputs'!L1=4),"Not applicable",IF('Design Parameters'!D11&lt;-10,(0.08*D$37),"Not applicable"))</f>
        <v>Not applicable</v>
      </c>
      <c r="E43" s="122" t="s">
        <v>203</v>
      </c>
    </row>
    <row r="44" spans="1:18" s="4" customFormat="1" ht="15.6" hidden="1" x14ac:dyDescent="0.3">
      <c r="A44" s="4" t="s">
        <v>5</v>
      </c>
      <c r="B44" s="4" t="s">
        <v>190</v>
      </c>
      <c r="C44" s="122" t="str">
        <f>IF(OR('Data Inputs'!L1=1,'Data Inputs'!L1=2,'Data Inputs'!L1=4), "Not applicable",(IF('Design Parameters'!D11&gt;-30,(0.02*C$37),"Not applicable")))</f>
        <v>Not applicable</v>
      </c>
      <c r="D44" s="122" t="str">
        <f>IF(OR('Data Inputs'!L1=1,'Data Inputs'!L1=2,'Data Inputs'!L1=4),"Not applicable",IF('Design Parameters'!D11&lt;-10,(0.02*D$37),"Not applicable"))</f>
        <v>Not applicable</v>
      </c>
      <c r="E44" s="122" t="s">
        <v>203</v>
      </c>
    </row>
    <row r="45" spans="1:18" s="4" customFormat="1" ht="15.6" hidden="1" x14ac:dyDescent="0.3">
      <c r="A45" s="4" t="s">
        <v>108</v>
      </c>
      <c r="B45" s="4" t="s">
        <v>191</v>
      </c>
      <c r="C45" s="122" t="str">
        <f>IF(OR('Data Inputs'!L1=1, 'Data Inputs'!L1=2,'Data Inputs'!L1=4),"Not applicable",(IF('Design Parameters'!D11&gt;-30,(0.1*C$37),"Not applicable")))</f>
        <v>Not applicable</v>
      </c>
      <c r="D45" s="122" t="str">
        <f>IF(OR('Data Inputs'!L1=1, 'Data Inputs'!L1=2,'Data Inputs'!L1=4),"Not applicable",IF('Design Parameters'!D11&lt;-10,(0.1*D$37),"Not applicable"))</f>
        <v>Not applicable</v>
      </c>
      <c r="E45" s="122" t="s">
        <v>203</v>
      </c>
    </row>
    <row r="46" spans="1:18" s="4" customFormat="1" ht="15.6" hidden="1" x14ac:dyDescent="0.3">
      <c r="A46" s="4" t="s">
        <v>6</v>
      </c>
      <c r="B46" s="4" t="s">
        <v>192</v>
      </c>
      <c r="C46" s="122" t="str">
        <f>IF(OR('Data Inputs'!L1=1,'Data Inputs'!L1=2,'Data Inputs'!L1=4),"Not applicable", (IF('Design Parameters'!D11&gt;-30,(0.01*C$37),"Not applicable")))</f>
        <v>Not applicable</v>
      </c>
      <c r="D46" s="122" t="str">
        <f>IF(OR('Data Inputs'!L1=1,'Data Inputs'!L1=2,'Data Inputs'!L1=4),"Not applicable",IF('Design Parameters'!D11&lt;-10,(0.01*D$37), "Not applicable"))</f>
        <v>Not applicable</v>
      </c>
      <c r="E46" s="122" t="s">
        <v>203</v>
      </c>
    </row>
    <row r="47" spans="1:18" s="4" customFormat="1" ht="15.6" hidden="1" x14ac:dyDescent="0.3">
      <c r="A47" s="134" t="s">
        <v>7</v>
      </c>
      <c r="B47" s="57"/>
      <c r="C47" s="122" t="str">
        <f>IF(OR('Data Inputs'!L1=1,'Data Inputs'!L1=4),"Not applicable", (IF('Design Parameters'!D11&gt;-30,('Data Inputs'!B37),"Not applicable")))</f>
        <v>Not applicable</v>
      </c>
      <c r="D47" s="122" t="str">
        <f>IF(OR('Data Inputs'!L1=1,'Data Inputs'!L1=4),"Not applicable",IF('Design Parameters'!D11&lt;-10,('Data Inputs'!B37),"Not applicable"))</f>
        <v>Not applicable</v>
      </c>
      <c r="E47" s="122">
        <f>IF('Data Inputs'!L1=4,('Data Inputs'!D37),"Not applicable")</f>
        <v>0</v>
      </c>
    </row>
    <row r="48" spans="1:18" s="4" customFormat="1" ht="15.6" hidden="1" x14ac:dyDescent="0.3">
      <c r="A48" s="134" t="s">
        <v>8</v>
      </c>
      <c r="B48" s="57"/>
      <c r="C48" s="122" t="str">
        <f>IF(OR('Data Inputs'!L1=1,'Data Inputs'!L1=4),"Not applicable", (IF('Design Parameters'!D11&gt;-30,('Data Inputs'!B38),"Not applicable")))</f>
        <v>Not applicable</v>
      </c>
      <c r="D48" s="122" t="str">
        <f>IF(OR('Data Inputs'!L1=1,'Data Inputs'!L1=4),"Not applicable",IF('Design Parameters'!D11&lt;-10,('Data Inputs'!B38),"Not applicable"))</f>
        <v>Not applicable</v>
      </c>
      <c r="E48" s="122">
        <f>IF('Data Inputs'!L1=4,('Data Inputs'!D38),"Not applicable")</f>
        <v>0</v>
      </c>
    </row>
    <row r="49" spans="1:9" s="4" customFormat="1" ht="15.6" hidden="1" x14ac:dyDescent="0.3">
      <c r="A49" s="57"/>
      <c r="B49" s="57"/>
      <c r="C49" s="135"/>
      <c r="D49" s="123"/>
      <c r="E49" s="123"/>
    </row>
    <row r="50" spans="1:9" s="4" customFormat="1" ht="15.6" hidden="1" x14ac:dyDescent="0.3">
      <c r="A50" s="109"/>
      <c r="B50" s="108" t="s">
        <v>193</v>
      </c>
      <c r="C50" s="118" t="str">
        <f>IF(OR('Data Inputs'!L1=1,'Data Inputs'!L1=4),"Not applicable", (IF('Design Parameters'!D11&gt;-30,(SUM(C41:C48)+C37),"Not applicable")))</f>
        <v>Not applicable</v>
      </c>
      <c r="D50" s="118" t="str">
        <f>IF(OR('Data Inputs'!L1=1,'Data Inputs'!L1=2,'Data Inputs'!L1=4),"Not applicable",IF('Design Parameters'!D11&lt;-10,(SUM(D41:D48)+D37),"Not applicable"))</f>
        <v>Not applicable</v>
      </c>
      <c r="E50" s="118" t="s">
        <v>203</v>
      </c>
    </row>
    <row r="51" spans="1:9" s="4" customFormat="1" ht="15.6" hidden="1" x14ac:dyDescent="0.3">
      <c r="A51" s="57"/>
      <c r="B51" s="57"/>
      <c r="C51" s="123"/>
      <c r="D51" s="123"/>
      <c r="E51" s="123"/>
    </row>
    <row r="52" spans="1:9" s="4" customFormat="1" ht="15.6" hidden="1" x14ac:dyDescent="0.3">
      <c r="A52" s="99" t="str">
        <f>"Total Indirect Installation Costs (in "&amp;'Data Inputs'!B41&amp;" dollars)"</f>
        <v>Total Indirect Installation Costs (in 2016 dollars)</v>
      </c>
      <c r="B52" s="99"/>
      <c r="C52" s="103"/>
      <c r="D52" s="103"/>
      <c r="E52" s="103"/>
      <c r="F52" s="99"/>
      <c r="G52" s="87"/>
    </row>
    <row r="53" spans="1:9" s="4" customFormat="1" ht="31.2" hidden="1" x14ac:dyDescent="0.3">
      <c r="A53" s="110" t="s">
        <v>27</v>
      </c>
      <c r="B53" s="110" t="s">
        <v>28</v>
      </c>
      <c r="C53" s="111" t="s">
        <v>73</v>
      </c>
      <c r="D53" s="111" t="s">
        <v>74</v>
      </c>
      <c r="E53" s="112" t="s">
        <v>104</v>
      </c>
      <c r="F53" s="113"/>
      <c r="G53" s="43"/>
      <c r="H53" s="107"/>
      <c r="I53" s="107"/>
    </row>
    <row r="54" spans="1:9" s="4" customFormat="1" ht="15.6" hidden="1" x14ac:dyDescent="0.3">
      <c r="A54" s="134" t="s">
        <v>9</v>
      </c>
      <c r="B54" s="136" t="s">
        <v>191</v>
      </c>
      <c r="C54" s="122" t="str">
        <f>IF(OR('Data Inputs'!L1=1,'Data Inputs'!L1=2,'Data Inputs'!L1=4),"Not applicable", (IF('Design Parameters'!D11&gt;-30,(0.1*C$37),"Not applicable")))</f>
        <v>Not applicable</v>
      </c>
      <c r="D54" s="122" t="str">
        <f>IF(OR('Data Inputs'!L1=1,'Data Inputs'!L1=2,'Data Inputs'!L1=4),"Not applicable",IF('Design Parameters'!D11&lt;-10,(0.1*D$37),"Not applicable"))</f>
        <v>Not applicable</v>
      </c>
      <c r="E54" s="122" t="s">
        <v>203</v>
      </c>
    </row>
    <row r="55" spans="1:9" s="4" customFormat="1" ht="15.6" hidden="1" x14ac:dyDescent="0.3">
      <c r="A55" s="134" t="s">
        <v>10</v>
      </c>
      <c r="B55" s="136" t="s">
        <v>194</v>
      </c>
      <c r="C55" s="122" t="str">
        <f>IF(OR('Data Inputs'!L1=1,'Data Inputs'!L1=2,'Data Inputs'!L1=4),"Not applicable", (IF('Design Parameters'!D11&gt;-30,(0.05*C$37),"Not applicable")))</f>
        <v>Not applicable</v>
      </c>
      <c r="D55" s="122" t="str">
        <f>IF(OR('Data Inputs'!L1=1,'Data Inputs'!L1=2,'Data Inputs'!L1=4),"Not applicable",IF('Design Parameters'!D11&lt;-10,(0.05*D$37),"Not applicable"))</f>
        <v>Not applicable</v>
      </c>
      <c r="E55" s="122" t="s">
        <v>203</v>
      </c>
    </row>
    <row r="56" spans="1:9" s="4" customFormat="1" ht="15.6" hidden="1" x14ac:dyDescent="0.3">
      <c r="A56" s="134" t="s">
        <v>11</v>
      </c>
      <c r="B56" s="136" t="s">
        <v>191</v>
      </c>
      <c r="C56" s="122" t="str">
        <f>IF(OR('Data Inputs'!L1=1,'Data Inputs'!L1=2,'Data Inputs'!L1=4),"Not applicable", (IF('Design Parameters'!D11&gt;-30,(0.1*C$37),"Not applicable")))</f>
        <v>Not applicable</v>
      </c>
      <c r="D56" s="122" t="str">
        <f>IF(OR('Data Inputs'!L1=1,'Data Inputs'!L1=2,'Data Inputs'!L1=4),"Not applicable",IF('Design Parameters'!D11&lt;-10,(0.1*D$37),"Not applicable"))</f>
        <v>Not applicable</v>
      </c>
      <c r="E56" s="122" t="s">
        <v>203</v>
      </c>
    </row>
    <row r="57" spans="1:9" s="4" customFormat="1" ht="15.6" hidden="1" x14ac:dyDescent="0.3">
      <c r="A57" s="134" t="s">
        <v>12</v>
      </c>
      <c r="B57" s="136" t="s">
        <v>190</v>
      </c>
      <c r="C57" s="122" t="str">
        <f>IF(OR('Data Inputs'!L1=1,'Data Inputs'!L1=2,'Data Inputs'!L1=4),"Not applicable", (IF('Design Parameters'!D11&gt;-30,(0.02*C$37),"Not applicable")))</f>
        <v>Not applicable</v>
      </c>
      <c r="D57" s="122" t="str">
        <f>IF(OR('Data Inputs'!L1=1,'Data Inputs'!L1=2,'Data Inputs'!L1=4),"Not applicable",IF('Design Parameters'!D11&lt;-10,(0.02*D$37),"Not applicable"))</f>
        <v>Not applicable</v>
      </c>
      <c r="E57" s="122" t="s">
        <v>203</v>
      </c>
    </row>
    <row r="58" spans="1:9" s="4" customFormat="1" ht="15.6" hidden="1" x14ac:dyDescent="0.3">
      <c r="A58" s="134" t="s">
        <v>13</v>
      </c>
      <c r="B58" s="136" t="s">
        <v>192</v>
      </c>
      <c r="C58" s="122" t="str">
        <f>IF(OR('Data Inputs'!L1=1,'Data Inputs'!L1=2,'Data Inputs'!L1=4),"Not applicable", (IF('Design Parameters'!D11&gt;-30,(0.01*C$37),"Not applicable")))</f>
        <v>Not applicable</v>
      </c>
      <c r="D58" s="122" t="str">
        <f>IF(OR('Data Inputs'!L1=1,'Data Inputs'!L1=2,'Data Inputs'!L1=4),"Not applicable",IF('Design Parameters'!D11&lt;-10, (0.01*D$37),"Not applicable"))</f>
        <v>Not applicable</v>
      </c>
      <c r="E58" s="122" t="s">
        <v>203</v>
      </c>
    </row>
    <row r="59" spans="1:9" s="126" customFormat="1" ht="15.6" hidden="1" x14ac:dyDescent="0.3">
      <c r="A59" s="137"/>
      <c r="B59" s="138"/>
      <c r="C59" s="133"/>
      <c r="D59" s="121"/>
      <c r="E59" s="121"/>
    </row>
    <row r="60" spans="1:9" s="4" customFormat="1" ht="15.6" hidden="1" x14ac:dyDescent="0.3">
      <c r="A60" s="359" t="s">
        <v>14</v>
      </c>
      <c r="B60" s="359"/>
      <c r="C60" s="118" t="str">
        <f>IF(OR('Data Inputs'!L1=1,'Data Inputs'!L1=2,'Data Inputs'!L1=4),"Not applicable", (IF('Design Parameters'!D11&gt;-30,(SUM(C54:C58)),"Not applicable")))</f>
        <v>Not applicable</v>
      </c>
      <c r="D60" s="118" t="str">
        <f>IF(OR('Data Inputs'!L1=1,'Data Inputs'!L1=2,'Data Inputs'!L1=4),"Not applicable",IF('Design Parameters'!D11&lt;-10,(SUM(D54:D58)),"Not applicable"))</f>
        <v>Not applicable</v>
      </c>
      <c r="E60" s="122" t="s">
        <v>203</v>
      </c>
    </row>
    <row r="61" spans="1:9" s="126" customFormat="1" ht="15.6" hidden="1" x14ac:dyDescent="0.3">
      <c r="A61" s="299" t="s">
        <v>333</v>
      </c>
      <c r="B61" s="299" t="s">
        <v>334</v>
      </c>
      <c r="C61" s="118" t="str">
        <f>IF(OR('Data Inputs'!L1=1,'Data Inputs'!L1=2,'Data Inputs'!L1=4),"Not applicable", (IF('Design Parameters'!D11&gt;-30,((C50+C60)*('Data Inputs'!B35/100)),"Not applicable")))</f>
        <v>Not applicable</v>
      </c>
      <c r="D61" s="118" t="str">
        <f>IF(OR('Data Inputs'!L1=1,'Data Inputs'!L1=2,'Data Inputs'!L1=4),"Not applicable",IF('Design Parameters'!D12&lt;-10,((D60+D50)*('Data Inputs'!B35/100)),"Not applicable"))</f>
        <v>Not applicable</v>
      </c>
      <c r="E61" s="122" t="s">
        <v>203</v>
      </c>
    </row>
    <row r="62" spans="1:9" s="4" customFormat="1" ht="15.6" hidden="1" x14ac:dyDescent="0.3">
      <c r="A62" s="140" t="s">
        <v>79</v>
      </c>
      <c r="B62" s="141" t="s">
        <v>335</v>
      </c>
      <c r="C62" s="153">
        <f>IF('Design Parameters'!D11&gt;-30,(IF('Data Inputs'!L1=3,C50+C60+C61, 0)),"Not applicable")</f>
        <v>0</v>
      </c>
      <c r="D62" s="153" t="str">
        <f>IF('Design Parameters'!D11&lt;-10,(IF('Data Inputs'!L1=3,D50+D60+D61, 0)),"Not applicable")</f>
        <v>Not applicable</v>
      </c>
      <c r="E62" s="142" t="s">
        <v>203</v>
      </c>
      <c r="F62" s="144" t="str">
        <f>"in "&amp;'Data Inputs'!$B$41&amp;" dollars"</f>
        <v>in 2016 dollars</v>
      </c>
      <c r="G62" s="143"/>
    </row>
    <row r="63" spans="1:9" s="126" customFormat="1" ht="15.6" x14ac:dyDescent="0.3">
      <c r="A63" s="299"/>
      <c r="B63" s="299"/>
      <c r="C63" s="120"/>
      <c r="D63" s="120"/>
      <c r="E63" s="133"/>
    </row>
    <row r="64" spans="1:9" s="4" customFormat="1" ht="15.6" x14ac:dyDescent="0.3">
      <c r="A64" s="140" t="s">
        <v>57</v>
      </c>
      <c r="B64" s="141" t="s">
        <v>339</v>
      </c>
      <c r="C64" s="153" t="str">
        <f>IF('Data Inputs'!L1=4,"Not applicable", (IF('Design Parameters'!D11&gt;-30,(IF('Data Inputs'!L1=2, (1.15*C37), 0)),"Not applicable")))</f>
        <v>Not applicable</v>
      </c>
      <c r="D64" s="153" t="str">
        <f>IF(OR('Data Inputs'!L1=1,'Data Inputs'!L1=4),"Not applicable",(IF('Design Parameters'!D11&lt;-10,(IF('Data Inputs'!L1=2, (1.15*D37), 0)),"Not applicable")))</f>
        <v>Not applicable</v>
      </c>
      <c r="E64" s="300">
        <f>IF('Data Inputs'!L1=4,(1.15*E37),"Not Applicable")</f>
        <v>683316.70295315178</v>
      </c>
      <c r="F64" s="144" t="str">
        <f>"in "&amp;'Data Inputs'!$B$41&amp;" dollars"</f>
        <v>in 2016 dollars</v>
      </c>
      <c r="G64" s="143"/>
    </row>
    <row r="65" spans="1:9" s="35" customFormat="1" ht="15.6" x14ac:dyDescent="0.3">
      <c r="A65" s="226"/>
      <c r="B65" s="227"/>
      <c r="C65" s="228"/>
      <c r="D65" s="228"/>
      <c r="E65" s="229"/>
    </row>
    <row r="66" spans="1:9" s="4" customFormat="1" ht="21" x14ac:dyDescent="0.4">
      <c r="A66" s="358" t="s">
        <v>95</v>
      </c>
      <c r="B66" s="358"/>
      <c r="C66" s="141"/>
      <c r="D66" s="141"/>
      <c r="E66" s="141"/>
      <c r="F66" s="141"/>
      <c r="G66" s="143"/>
    </row>
    <row r="67" spans="1:9" s="126" customFormat="1" ht="15.6" x14ac:dyDescent="0.3">
      <c r="A67" s="145"/>
      <c r="B67" s="146"/>
      <c r="C67" s="147"/>
      <c r="D67" s="139"/>
    </row>
    <row r="68" spans="1:9" s="4" customFormat="1" ht="15.6" x14ac:dyDescent="0.3">
      <c r="A68" s="99" t="s">
        <v>37</v>
      </c>
      <c r="B68" s="99"/>
      <c r="C68" s="99"/>
      <c r="D68" s="99"/>
      <c r="E68" s="99"/>
      <c r="F68" s="99"/>
      <c r="G68" s="87"/>
    </row>
    <row r="69" spans="1:9" s="4" customFormat="1" ht="31.2" x14ac:dyDescent="0.3">
      <c r="A69" s="110" t="s">
        <v>27</v>
      </c>
      <c r="B69" s="110" t="s">
        <v>28</v>
      </c>
      <c r="C69" s="111" t="s">
        <v>73</v>
      </c>
      <c r="D69" s="111" t="s">
        <v>74</v>
      </c>
      <c r="E69" s="112" t="s">
        <v>104</v>
      </c>
      <c r="F69" s="113"/>
      <c r="G69" s="43"/>
      <c r="H69" s="107"/>
      <c r="I69" s="107"/>
    </row>
    <row r="70" spans="1:9" s="4" customFormat="1" ht="18" x14ac:dyDescent="0.4">
      <c r="A70" s="4" t="s">
        <v>58</v>
      </c>
      <c r="B70" s="148" t="s">
        <v>201</v>
      </c>
      <c r="C70" s="122" t="str">
        <f>IF(OR('Data Inputs'!L1=1,'Data Inputs'!L1=4),"Not applicable", (IF('Design Parameters'!D11&gt;-30,(('Design Parameters'!$C$48/('Data Inputs'!$B$14/100))*'Design Parameters'!$C$51*'Data Inputs'!$B$7*'Data Inputs'!$B$31),"Not applicable")))</f>
        <v>Not applicable</v>
      </c>
      <c r="D70" s="122" t="str">
        <f>IF(OR('Data Inputs'!L1=1,'Data Inputs'!L1=4),"Not applicable",(IF('Design Parameters'!D11&lt;-10,(('Design Parameters'!$C$48/('Data Inputs'!$B$14/100))*'Design Parameters'!$C$51*'Data Inputs'!$B$7*'Data Inputs'!$B$31),"Not applicable")))</f>
        <v>Not applicable</v>
      </c>
      <c r="E70" s="122">
        <f>IF('Data Inputs'!L1=4,('Design Parameters'!$C$48/('Data Inputs'!$B$14/100))*'Design Parameters'!$C$51*'Data Inputs'!$B$7*'Data Inputs'!$B$31,"Not applicable")</f>
        <v>1445.2040018259427</v>
      </c>
    </row>
    <row r="71" spans="1:9" s="4" customFormat="1" ht="15.6" x14ac:dyDescent="0.3">
      <c r="A71" s="4" t="s">
        <v>59</v>
      </c>
      <c r="B71" s="149" t="s">
        <v>195</v>
      </c>
      <c r="C71" s="122" t="str">
        <f>IF(OR('Data Inputs'!L1=1,'Data Inputs'!L1=4),"Not applicable",(IF('Design Parameters'!D11&gt;-30,(0.5*'Data Inputs'!B32*'Data Inputs'!B7/8),"Not applicable")))</f>
        <v>Not applicable</v>
      </c>
      <c r="D71" s="122" t="str">
        <f>IF(OR('Data Inputs'!L1=1,'Data Inputs'!L1=4),"Not applicable",(IF('Design Parameters'!D11&lt;-10,(0.5*'Data Inputs'!B32*'Data Inputs'!B7/8),"Not applicable")))</f>
        <v>Not applicable</v>
      </c>
      <c r="E71" s="122">
        <f>IF('Data Inputs'!L1=4,(0.5*'Data Inputs'!B32*'Data Inputs'!B7/8),"Not applicable")</f>
        <v>3459.2999999999997</v>
      </c>
      <c r="F71" s="150"/>
    </row>
    <row r="72" spans="1:9" s="4" customFormat="1" ht="15.6" x14ac:dyDescent="0.3">
      <c r="B72" s="149" t="s">
        <v>35</v>
      </c>
      <c r="C72" s="122" t="str">
        <f>IF(OR('Data Inputs'!L1=1,'Data Inputs'!L1=4),"Not applicable",(IF('Design Parameters'!D11&gt;-30,(0.15*C71),"Not applicable")))</f>
        <v>Not applicable</v>
      </c>
      <c r="D72" s="122" t="str">
        <f>IF(OR('Data Inputs'!L1=1,'Data Inputs'!L1=4),"Not applicable",(IF('Design Parameters'!D11&lt;-10,(0.15*D71),"Not applicable")))</f>
        <v>Not applicable</v>
      </c>
      <c r="E72" s="122">
        <f>IF('Data Inputs'!L1=4,(0.15*E71),"Not applicable")</f>
        <v>518.89499999999998</v>
      </c>
      <c r="F72" s="150"/>
    </row>
    <row r="73" spans="1:9" s="4" customFormat="1" ht="15.6" x14ac:dyDescent="0.3">
      <c r="A73" s="4" t="s">
        <v>60</v>
      </c>
      <c r="B73" s="149" t="s">
        <v>196</v>
      </c>
      <c r="C73" s="122" t="str">
        <f>IF(OR('Data Inputs'!L1=1,'Data Inputs'!L1=4),"Not applicable",(IF('Design Parameters'!D11&gt;-30,(0.5*'Data Inputs'!B33*'Data Inputs'!B7/8),"Not applicable")))</f>
        <v>Not applicable</v>
      </c>
      <c r="D73" s="122" t="str">
        <f>IF(OR('Data Inputs'!L1=1,'Data Inputs'!L1=4),"Not applicable",(IF('Design Parameters'!D11&lt;-10,(0.5*'Data Inputs'!B33*'Data Inputs'!B7/8),"Not applicable")))</f>
        <v>Not applicable</v>
      </c>
      <c r="E73" s="122">
        <f>IF('Data Inputs'!L1=4,(0.5*'Data Inputs'!B33*'Data Inputs'!B7/8),"Not applicable")</f>
        <v>3562</v>
      </c>
      <c r="F73" s="150"/>
    </row>
    <row r="74" spans="1:9" s="4" customFormat="1" ht="15.6" x14ac:dyDescent="0.3">
      <c r="B74" s="149" t="s">
        <v>36</v>
      </c>
      <c r="C74" s="122" t="str">
        <f>C73</f>
        <v>Not applicable</v>
      </c>
      <c r="D74" s="122" t="str">
        <f>D73</f>
        <v>Not applicable</v>
      </c>
      <c r="E74" s="122">
        <f>E73</f>
        <v>3562</v>
      </c>
      <c r="F74" s="150"/>
    </row>
    <row r="75" spans="1:9" s="4" customFormat="1" ht="15.6" x14ac:dyDescent="0.3">
      <c r="B75" s="149"/>
      <c r="C75" s="151"/>
      <c r="D75" s="151"/>
      <c r="E75" s="152"/>
      <c r="F75" s="150"/>
    </row>
    <row r="76" spans="1:9" s="4" customFormat="1" ht="15.6" x14ac:dyDescent="0.3">
      <c r="A76" s="140" t="s">
        <v>340</v>
      </c>
      <c r="B76" s="141"/>
      <c r="C76" s="153" t="str">
        <f>IF(OR('Data Inputs'!L1=1,'Data Inputs'!L1=4),"Not applicable", (IF('Design Parameters'!D11&gt;-30,(SUM(C70:C74)),"Not applicable")))</f>
        <v>Not applicable</v>
      </c>
      <c r="D76" s="153" t="str">
        <f>IF(OR('Data Inputs'!L1=1,'Data Inputs'!L1=4),"Not applicable",(IF('Design Parameters'!D11&lt;-10,(SUM(D70:D74)),"Not applicable")))</f>
        <v>Not applicable</v>
      </c>
      <c r="E76" s="153">
        <f>IF('Data Inputs'!L1=4,SUM(E70:E74),"Not applicable")</f>
        <v>12547.399001825943</v>
      </c>
      <c r="F76" s="144" t="str">
        <f>"in "&amp;'Data Inputs'!$B$41&amp;" dollars"</f>
        <v>in 2016 dollars</v>
      </c>
      <c r="G76" s="143"/>
    </row>
    <row r="77" spans="1:9" s="4" customFormat="1" ht="15.6" x14ac:dyDescent="0.3">
      <c r="B77" s="149"/>
      <c r="C77" s="151"/>
      <c r="D77" s="57"/>
      <c r="E77" s="152"/>
      <c r="F77" s="150"/>
    </row>
    <row r="78" spans="1:9" s="4" customFormat="1" ht="15.6" x14ac:dyDescent="0.3">
      <c r="A78" s="99" t="s">
        <v>38</v>
      </c>
      <c r="B78" s="99"/>
      <c r="C78" s="99"/>
      <c r="D78" s="99"/>
      <c r="E78" s="99"/>
      <c r="F78" s="99"/>
      <c r="G78" s="87"/>
    </row>
    <row r="79" spans="1:9" s="4" customFormat="1" ht="31.2" x14ac:dyDescent="0.3">
      <c r="A79" s="110" t="s">
        <v>27</v>
      </c>
      <c r="B79" s="110" t="s">
        <v>28</v>
      </c>
      <c r="C79" s="111" t="s">
        <v>73</v>
      </c>
      <c r="D79" s="111" t="s">
        <v>74</v>
      </c>
      <c r="E79" s="112" t="s">
        <v>104</v>
      </c>
      <c r="F79" s="113"/>
      <c r="G79" s="43"/>
      <c r="H79" s="107"/>
      <c r="I79" s="107"/>
    </row>
    <row r="80" spans="1:9" s="154" customFormat="1" ht="31.2" x14ac:dyDescent="0.3">
      <c r="A80" s="154" t="s">
        <v>39</v>
      </c>
      <c r="B80" s="155" t="s">
        <v>52</v>
      </c>
      <c r="C80" s="156" t="str">
        <f>IF(OR('Data Inputs'!L1=1,'Data Inputs'!L1=4),"Not applicable",(IF('Design Parameters'!D11&gt;-30,(0.6*(C71+C72+C73+C74)),"Not applicable")))</f>
        <v>Not applicable</v>
      </c>
      <c r="D80" s="156" t="str">
        <f>IF(OR('Data Inputs'!L1=1,'Data Inputs'!L1=4),"Not applicable",(IF('Design Parameters'!D11&lt;-10,(0.6*(D71+D72+D73+D74)),"Not applicable")))</f>
        <v>Not applicable</v>
      </c>
      <c r="E80" s="156">
        <f>IF('Data Inputs'!L1=4,(0.6*(E71+E72+E73+E74)),"Not applicable")</f>
        <v>6661.317</v>
      </c>
      <c r="F80" s="157"/>
    </row>
    <row r="81" spans="1:24" s="154" customFormat="1" ht="15.6" x14ac:dyDescent="0.3">
      <c r="A81" s="154" t="s">
        <v>40</v>
      </c>
      <c r="B81" s="155" t="s">
        <v>41</v>
      </c>
      <c r="C81" s="156" t="str">
        <f>IF(OR('Data Inputs'!L1=1,'Data Inputs'!L1=4),"Not applicable", (IF('Design Parameters'!D11&gt;-30,(0.02*(C62+C64)),"Not applicable")))</f>
        <v>Not applicable</v>
      </c>
      <c r="D81" s="156" t="str">
        <f>IF(OR('Data Inputs'!L1=1,'Data Inputs'!L1=4),"Not applicable", (IF('Design Parameters'!D11&lt;-10, (0.02*(D62+D64)),"Not applicable")))</f>
        <v>Not applicable</v>
      </c>
      <c r="E81" s="156">
        <f>IF('Data Inputs'!L1=4,(0.02*E64),"Not applicable")</f>
        <v>13666.334059063036</v>
      </c>
      <c r="F81" s="157"/>
    </row>
    <row r="82" spans="1:24" s="154" customFormat="1" ht="15.6" x14ac:dyDescent="0.3">
      <c r="A82" s="154" t="s">
        <v>42</v>
      </c>
      <c r="B82" s="155" t="s">
        <v>43</v>
      </c>
      <c r="C82" s="156" t="str">
        <f>IF(OR('Data Inputs'!L1=1,'Data Inputs'!L1=4),"Not applicable",(IF('Design Parameters'!D11&gt;-30,(0.01*(C62+C64)),"Not applicable")))</f>
        <v>Not applicable</v>
      </c>
      <c r="D82" s="156" t="str">
        <f>IF(OR('Data Inputs'!L1=1,'Data Inputs'!L1=4),"Not applicable",(IF('Design Parameters'!D11&lt;-10,(0.01*(D62+D64)),"Not applicable")))</f>
        <v>Not applicable</v>
      </c>
      <c r="E82" s="156">
        <f>IF('Data Inputs'!L1=4,(0.01*E64),"Not applicable")</f>
        <v>6833.167029531518</v>
      </c>
      <c r="F82" s="157"/>
    </row>
    <row r="83" spans="1:24" s="154" customFormat="1" ht="15.6" x14ac:dyDescent="0.3">
      <c r="A83" s="154" t="s">
        <v>44</v>
      </c>
      <c r="B83" s="155" t="s">
        <v>43</v>
      </c>
      <c r="C83" s="156" t="str">
        <f>IF(OR('Data Inputs'!L1=1,'Data Inputs'!L1=4),"Not applicable",(IF('Design Parameters'!D11&gt;-30,(0.01*(C62+C64)),"Not applicable")))</f>
        <v>Not applicable</v>
      </c>
      <c r="D83" s="156" t="str">
        <f>IF(OR('Data Inputs'!L1=1,'Data Inputs'!L1=4),"Not applicable",(IF('Design Parameters'!D11&lt;-10,(0.01*(D62+D64)),"Not applicable")))</f>
        <v>Not applicable</v>
      </c>
      <c r="E83" s="156">
        <f>IF('Data Inputs'!L1=4,(0.01*E64),"Not applicable")</f>
        <v>6833.167029531518</v>
      </c>
      <c r="F83" s="157"/>
    </row>
    <row r="84" spans="1:24" s="4" customFormat="1" ht="15.6" x14ac:dyDescent="0.3">
      <c r="A84" s="154" t="s">
        <v>45</v>
      </c>
      <c r="B84" s="155" t="s">
        <v>197</v>
      </c>
      <c r="C84" s="158" t="str">
        <f>IF(OR('Data Inputs'!L1=1,'Data Inputs'!L1=4),"Not applicable", (IF('Design Parameters'!D11&gt;-30,('Design Parameters'!$C$54*(C62+C64)),"Not applicable")))</f>
        <v>Not applicable</v>
      </c>
      <c r="D84" s="158" t="str">
        <f>IF(OR('Data Inputs'!L1=1,'Data Inputs'!L1=4),"Not applicable",(IF('Design Parameters'!D11&lt;-10,('Design Parameters'!$C$54*(D62+D64)),"Not applicable")))</f>
        <v>Not applicable</v>
      </c>
      <c r="E84" s="158">
        <f>IF('Data Inputs'!L1=4,('Design Parameters'!$C$54*E64),"Not applicable")</f>
        <v>62537.435284530089</v>
      </c>
      <c r="F84" s="150"/>
    </row>
    <row r="85" spans="1:24" s="4" customFormat="1" ht="15.6" x14ac:dyDescent="0.3">
      <c r="A85" s="154"/>
      <c r="B85" s="155"/>
      <c r="C85" s="234"/>
      <c r="D85" s="57"/>
      <c r="E85" s="152"/>
      <c r="F85" s="150"/>
    </row>
    <row r="86" spans="1:24" s="4" customFormat="1" ht="15.6" x14ac:dyDescent="0.3">
      <c r="A86" s="140" t="s">
        <v>341</v>
      </c>
      <c r="B86" s="141"/>
      <c r="C86" s="153" t="str">
        <f>IF(OR('Data Inputs'!L1=1,'Data Inputs'!L1=4),"Not applicable",(IF('Design Parameters'!D11&gt;-30,(SUM(C80:C84)),"Not applicable")))</f>
        <v>Not applicable</v>
      </c>
      <c r="D86" s="153" t="str">
        <f>IF(OR('Data Inputs'!L1=1,'Data Inputs'!L1=4),"Not applicable",IF('Design Parameters'!D11&lt;-10,(SUM(D80:D84)),"Not applicable"))</f>
        <v>Not applicable</v>
      </c>
      <c r="E86" s="153">
        <f>IF('Data Inputs'!L1=4,SUM(E80:E84),"Not applicable")</f>
        <v>96531.420402656164</v>
      </c>
      <c r="F86" s="144" t="str">
        <f>"in "&amp;'Data Inputs'!$B$41&amp;" dollars"</f>
        <v>in 2016 dollars</v>
      </c>
      <c r="G86" s="143"/>
    </row>
    <row r="87" spans="1:24" s="4" customFormat="1" ht="15.6" x14ac:dyDescent="0.3">
      <c r="A87" s="154"/>
      <c r="B87" s="155"/>
      <c r="C87" s="159"/>
      <c r="D87" s="57"/>
      <c r="E87" s="152"/>
      <c r="F87" s="150"/>
    </row>
    <row r="88" spans="1:24" s="4" customFormat="1" ht="15.6" x14ac:dyDescent="0.3">
      <c r="A88" s="99" t="s">
        <v>91</v>
      </c>
      <c r="B88" s="99"/>
      <c r="C88" s="99"/>
      <c r="D88" s="99"/>
      <c r="E88" s="99"/>
      <c r="F88" s="99"/>
      <c r="G88" s="87"/>
    </row>
    <row r="89" spans="1:24" s="4" customFormat="1" ht="31.2" x14ac:dyDescent="0.3">
      <c r="A89" s="110" t="s">
        <v>27</v>
      </c>
      <c r="B89" s="110" t="s">
        <v>28</v>
      </c>
      <c r="C89" s="111" t="s">
        <v>73</v>
      </c>
      <c r="D89" s="111" t="s">
        <v>74</v>
      </c>
      <c r="E89" s="112" t="s">
        <v>104</v>
      </c>
      <c r="F89" s="113"/>
      <c r="G89" s="43"/>
      <c r="H89" s="107"/>
      <c r="I89" s="107"/>
    </row>
    <row r="90" spans="1:24" s="4" customFormat="1" ht="18" x14ac:dyDescent="0.4">
      <c r="A90" s="154" t="s">
        <v>48</v>
      </c>
      <c r="B90" s="155" t="s">
        <v>198</v>
      </c>
      <c r="C90" s="160" t="str">
        <f>IF(OR('Data Inputs'!L1=1,'Data Inputs'!L1=4),"Not applicable",(IF('Design Parameters'!D11&gt;-30,('Design Parameters'!C20*'Data Inputs'!B34*'Data Inputs'!B7),"Not applicable")))</f>
        <v>Not applicable</v>
      </c>
      <c r="D90" s="160" t="str">
        <f>IF(OR('Data Inputs'!L1=1,'Data Inputs'!L1=4),"Not applicable",(IF('Design Parameters'!D11&lt;-10,('Design Parameters'!C20*'Data Inputs'!B34*'Data Inputs'!B7),"Not applicable")))</f>
        <v>Not applicable</v>
      </c>
      <c r="E90" s="160">
        <f>IF('Data Inputs'!L1=4,('Design Parameters'!C20*'Data Inputs'!B34*'Data Inputs'!B7),"Not applicable")</f>
        <v>156666.34285714288</v>
      </c>
      <c r="F90" s="134"/>
    </row>
    <row r="91" spans="1:24" s="4" customFormat="1" ht="15.6" x14ac:dyDescent="0.3">
      <c r="A91" s="154"/>
      <c r="B91" s="155"/>
      <c r="C91" s="161"/>
      <c r="D91" s="57"/>
      <c r="E91" s="152"/>
      <c r="F91" s="150"/>
    </row>
    <row r="92" spans="1:24" s="4" customFormat="1" ht="15.6" x14ac:dyDescent="0.3">
      <c r="A92" s="140" t="s">
        <v>93</v>
      </c>
      <c r="B92" s="141" t="s">
        <v>342</v>
      </c>
      <c r="C92" s="153" t="str">
        <f>IF(OR('Data Inputs'!L1=1,'Data Inputs'!L1=4),"Not applicable", (IF('Design Parameters'!D11&gt;-30,(C86+C76-C90),"Not applicable")))</f>
        <v>Not applicable</v>
      </c>
      <c r="D92" s="153" t="str">
        <f>IF(OR('Data Inputs'!L1=1,'Data Inputs'!L1=4),"Not applicable", IF('Design Parameters'!D11&lt;-10,(D86+D76-D90),"Not applicable"))</f>
        <v>Not applicable</v>
      </c>
      <c r="E92" s="153">
        <f>IF('Data Inputs'!L1=4,(E86+E76-E90),"Not applicable")</f>
        <v>-47587.523452660767</v>
      </c>
      <c r="F92" s="144" t="str">
        <f>"in "&amp;'Data Inputs'!$B$41&amp;" dollars"</f>
        <v>in 2016 dollars</v>
      </c>
      <c r="G92" s="143"/>
    </row>
    <row r="93" spans="1:24" s="4" customFormat="1" ht="15.6" x14ac:dyDescent="0.3">
      <c r="C93" s="57"/>
      <c r="D93" s="57"/>
    </row>
    <row r="94" spans="1:24" s="4" customFormat="1" ht="21" x14ac:dyDescent="0.4">
      <c r="A94" s="358" t="s">
        <v>23</v>
      </c>
      <c r="B94" s="358"/>
      <c r="C94" s="141"/>
      <c r="D94" s="141"/>
      <c r="E94" s="141"/>
      <c r="F94" s="141"/>
      <c r="G94" s="218"/>
      <c r="H94" s="10"/>
      <c r="I94" s="10"/>
      <c r="J94" s="10"/>
      <c r="K94" s="10"/>
      <c r="L94" s="10"/>
      <c r="M94" s="10"/>
      <c r="N94" s="10"/>
      <c r="O94" s="10"/>
      <c r="P94" s="10"/>
      <c r="Q94" s="10"/>
      <c r="R94" s="10"/>
      <c r="S94" s="10"/>
      <c r="T94" s="10"/>
      <c r="U94" s="10"/>
      <c r="V94" s="10"/>
      <c r="W94" s="10"/>
      <c r="X94" s="11"/>
    </row>
    <row r="95" spans="1:24" s="4" customFormat="1" ht="15.6" x14ac:dyDescent="0.3">
      <c r="C95" s="57"/>
      <c r="D95" s="57"/>
      <c r="E95" s="10"/>
      <c r="F95" s="10"/>
      <c r="G95" s="10"/>
      <c r="H95" s="10"/>
      <c r="I95" s="10"/>
      <c r="J95" s="10"/>
      <c r="K95" s="10"/>
      <c r="L95" s="10"/>
      <c r="M95" s="10"/>
      <c r="N95" s="10"/>
      <c r="O95" s="10"/>
      <c r="P95" s="10"/>
      <c r="Q95" s="10"/>
      <c r="R95" s="10"/>
      <c r="S95" s="10"/>
      <c r="T95" s="10"/>
      <c r="U95" s="10"/>
      <c r="V95" s="10"/>
      <c r="W95" s="10"/>
      <c r="X95" s="11"/>
    </row>
    <row r="96" spans="1:24" s="4" customFormat="1" ht="15.6" x14ac:dyDescent="0.3">
      <c r="A96" s="100" t="s">
        <v>92</v>
      </c>
      <c r="B96" s="100"/>
      <c r="C96" s="100"/>
      <c r="D96" s="100"/>
      <c r="E96" s="100"/>
      <c r="F96" s="100"/>
      <c r="G96" s="220"/>
      <c r="H96" s="10"/>
      <c r="I96" s="10"/>
      <c r="J96" s="10"/>
      <c r="K96" s="10"/>
      <c r="L96" s="10"/>
      <c r="M96" s="10"/>
      <c r="N96" s="10"/>
      <c r="O96" s="10"/>
      <c r="P96" s="10"/>
      <c r="Q96" s="10"/>
      <c r="R96" s="10"/>
      <c r="S96" s="10"/>
      <c r="T96" s="10"/>
      <c r="U96" s="10"/>
      <c r="V96" s="10"/>
      <c r="W96" s="10"/>
      <c r="X96" s="11"/>
    </row>
    <row r="97" spans="1:24" s="4" customFormat="1" ht="31.2" x14ac:dyDescent="0.3">
      <c r="A97" s="110" t="s">
        <v>27</v>
      </c>
      <c r="B97" s="110" t="s">
        <v>28</v>
      </c>
      <c r="C97" s="111" t="s">
        <v>73</v>
      </c>
      <c r="D97" s="111" t="s">
        <v>74</v>
      </c>
      <c r="E97" s="166" t="s">
        <v>104</v>
      </c>
      <c r="F97" s="167"/>
      <c r="G97" s="43"/>
      <c r="H97" s="107"/>
      <c r="I97" s="107"/>
    </row>
    <row r="98" spans="1:24" s="4" customFormat="1" ht="15.6" x14ac:dyDescent="0.3">
      <c r="A98" s="14" t="s">
        <v>46</v>
      </c>
      <c r="B98" s="20" t="s">
        <v>94</v>
      </c>
      <c r="C98" s="164" t="str">
        <f>IF(OR('Data Inputs'!L1=1,'Data Inputs'!L1=4),"Not applicable",C92)</f>
        <v>Not applicable</v>
      </c>
      <c r="D98" s="164" t="str">
        <f>IF(OR('Data Inputs'!L1=1,'Data Inputs'!L1=4),"Not applicable",D92)</f>
        <v>Not applicable</v>
      </c>
      <c r="E98" s="164">
        <f>IF('Data Inputs'!L1=4,E92, "Not applicable")</f>
        <v>-47587.523452660767</v>
      </c>
      <c r="F98" s="165" t="str">
        <f>"per year in "&amp;'Data Inputs'!B41&amp; " dollars"</f>
        <v>per year in 2016 dollars</v>
      </c>
      <c r="G98" s="219"/>
      <c r="H98" s="10"/>
      <c r="I98" s="10"/>
      <c r="J98" s="10"/>
      <c r="K98" s="10"/>
      <c r="L98" s="10"/>
      <c r="M98" s="10"/>
      <c r="N98" s="10"/>
      <c r="O98" s="10"/>
      <c r="P98" s="10"/>
      <c r="Q98" s="10"/>
      <c r="R98" s="10"/>
      <c r="S98" s="10"/>
      <c r="T98" s="10"/>
      <c r="U98" s="10"/>
      <c r="V98" s="10"/>
      <c r="W98" s="10"/>
      <c r="X98" s="11"/>
    </row>
    <row r="99" spans="1:24" s="4" customFormat="1" ht="18" x14ac:dyDescent="0.4">
      <c r="A99" s="14" t="s">
        <v>204</v>
      </c>
      <c r="B99" s="20" t="s">
        <v>199</v>
      </c>
      <c r="C99" s="104" t="str">
        <f>IF(OR('Data Inputs'!L1=1,'Data Inputs'!L1=4),"Not applicable",(IF('Design Parameters'!D11&gt;-30,('Design Parameters'!E20),"Not applicable")))</f>
        <v>Not applicable</v>
      </c>
      <c r="D99" s="104" t="str">
        <f>IF(OR('Data Inputs'!L1=1,'Data Inputs'!L1=4),"Not applicable",IF('Design Parameters'!D11&lt;-10,('Design Parameters'!E20),"Not applicable"))</f>
        <v>Not applicable</v>
      </c>
      <c r="E99" s="104">
        <f>IF('Data Inputs'!L1=4,('Design Parameters'!E20),"Not applicable")</f>
        <v>279.76132653061222</v>
      </c>
      <c r="F99" s="95" t="s">
        <v>24</v>
      </c>
      <c r="G99" s="235"/>
      <c r="H99" s="10"/>
      <c r="I99" s="10"/>
      <c r="J99" s="10"/>
      <c r="K99" s="10"/>
      <c r="L99" s="10"/>
      <c r="M99" s="10"/>
      <c r="N99" s="10"/>
      <c r="O99" s="10"/>
      <c r="P99" s="10"/>
      <c r="Q99" s="10"/>
      <c r="R99" s="10"/>
      <c r="S99" s="10"/>
      <c r="T99" s="10"/>
      <c r="U99" s="10"/>
      <c r="V99" s="10"/>
      <c r="W99" s="10"/>
      <c r="X99" s="11"/>
    </row>
    <row r="100" spans="1:24" s="4" customFormat="1" ht="15.6" x14ac:dyDescent="0.3">
      <c r="A100" s="233" t="s">
        <v>25</v>
      </c>
      <c r="B100" s="20" t="s">
        <v>205</v>
      </c>
      <c r="C100" s="164" t="str">
        <f>IF(OR('Data Inputs'!L1=1,'Data Inputs'!L1=4),"Not applicable",(IF('Design Parameters'!D11&gt;-30,(C98/C99),"Not applicable")))</f>
        <v>Not applicable</v>
      </c>
      <c r="D100" s="164" t="str">
        <f>IF(OR('Data Inputs'!L1=1,'Data Inputs'!L1=4),"Not applicable", IF('Design Parameters'!D11&lt;-10,(D98/D99),"Not applicable"))</f>
        <v>Not applicable</v>
      </c>
      <c r="E100" s="164">
        <f>IF('Data Inputs'!L1=4,(E98/E99),"Not applicable")</f>
        <v>-170.10043540615544</v>
      </c>
      <c r="F100" s="95" t="str">
        <f>"per ton of pollutants removed/recovered in "&amp;'Data Inputs'!B41&amp; " dollars"</f>
        <v>per ton of pollutants removed/recovered in 2016 dollars</v>
      </c>
      <c r="G100" s="235"/>
      <c r="H100" s="236"/>
      <c r="I100" s="10"/>
      <c r="J100" s="10"/>
      <c r="K100" s="10"/>
      <c r="L100" s="10"/>
      <c r="M100" s="10"/>
      <c r="N100" s="10"/>
      <c r="O100" s="10"/>
      <c r="P100" s="10"/>
      <c r="Q100" s="10"/>
      <c r="R100" s="10"/>
      <c r="S100" s="10"/>
      <c r="T100" s="10"/>
      <c r="U100" s="10"/>
      <c r="V100" s="10"/>
      <c r="W100" s="10"/>
      <c r="X100" s="11"/>
    </row>
    <row r="101" spans="1:24" s="4" customFormat="1" ht="15.6" x14ac:dyDescent="0.3">
      <c r="C101" s="57"/>
      <c r="D101" s="57"/>
      <c r="E101" s="20"/>
      <c r="F101" s="20"/>
      <c r="G101" s="20"/>
    </row>
  </sheetData>
  <mergeCells count="7">
    <mergeCell ref="F13:F15"/>
    <mergeCell ref="C4:D9"/>
    <mergeCell ref="F16:F17"/>
    <mergeCell ref="A66:B66"/>
    <mergeCell ref="A94:B94"/>
    <mergeCell ref="A60:B60"/>
    <mergeCell ref="A37:B37"/>
  </mergeCells>
  <conditionalFormatting sqref="C14">
    <cfRule type="expression" dxfId="2" priority="6">
      <formula>$T$13&lt;&gt;1</formula>
    </cfRule>
  </conditionalFormatting>
  <conditionalFormatting sqref="H4">
    <cfRule type="expression" dxfId="1" priority="2">
      <formula>$Z$17=1</formula>
    </cfRule>
  </conditionalFormatting>
  <conditionalFormatting sqref="D17">
    <cfRule type="expression" dxfId="0" priority="1">
      <formula>AND($B$8&lt;-5,$Z$17&lt;&gt;1)</formula>
    </cfRule>
  </conditionalFormatting>
  <pageMargins left="0.7" right="0.7" top="0.75" bottom="0.75" header="0.3" footer="0.3"/>
  <pageSetup orientation="portrait" r:id="rId1"/>
  <ignoredErrors>
    <ignoredError sqref="C55:D55"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48"/>
  <sheetViews>
    <sheetView workbookViewId="0">
      <selection activeCell="E12" sqref="E12"/>
    </sheetView>
  </sheetViews>
  <sheetFormatPr defaultColWidth="19" defaultRowHeight="15.6" x14ac:dyDescent="0.3"/>
  <cols>
    <col min="1" max="16384" width="19" style="4"/>
  </cols>
  <sheetData>
    <row r="1" spans="1:7" ht="23.4" x14ac:dyDescent="0.45">
      <c r="A1" s="360" t="s">
        <v>226</v>
      </c>
      <c r="B1" s="360"/>
      <c r="C1" s="360"/>
      <c r="D1" s="360"/>
      <c r="E1" s="360"/>
      <c r="F1" s="360"/>
      <c r="G1" s="360"/>
    </row>
    <row r="4" spans="1:7" ht="36.75" customHeight="1" x14ac:dyDescent="0.3">
      <c r="A4" s="361" t="s">
        <v>227</v>
      </c>
      <c r="B4" s="363" t="s">
        <v>305</v>
      </c>
      <c r="C4" s="365" t="s">
        <v>228</v>
      </c>
      <c r="D4" s="257" t="s">
        <v>229</v>
      </c>
      <c r="E4" s="365" t="s">
        <v>306</v>
      </c>
      <c r="F4" s="249" t="s">
        <v>307</v>
      </c>
      <c r="G4" s="367" t="s">
        <v>232</v>
      </c>
    </row>
    <row r="5" spans="1:7" x14ac:dyDescent="0.3">
      <c r="A5" s="362"/>
      <c r="B5" s="364"/>
      <c r="C5" s="366"/>
      <c r="D5" s="270" t="s">
        <v>230</v>
      </c>
      <c r="E5" s="366"/>
      <c r="F5" s="271" t="s">
        <v>231</v>
      </c>
      <c r="G5" s="368"/>
    </row>
    <row r="6" spans="1:7" x14ac:dyDescent="0.3">
      <c r="A6" s="272" t="s">
        <v>131</v>
      </c>
      <c r="B6" s="252">
        <v>915</v>
      </c>
      <c r="C6" s="256">
        <v>134</v>
      </c>
      <c r="D6" s="256">
        <v>58.08</v>
      </c>
      <c r="E6" s="255">
        <v>12520</v>
      </c>
      <c r="F6" s="253">
        <v>30.19</v>
      </c>
      <c r="G6" s="253" t="s">
        <v>233</v>
      </c>
    </row>
    <row r="7" spans="1:7" x14ac:dyDescent="0.3">
      <c r="A7" s="268"/>
      <c r="B7" s="250"/>
      <c r="C7" s="254"/>
      <c r="D7" s="254"/>
      <c r="E7" s="254"/>
      <c r="F7" s="251">
        <v>17.809999999999999</v>
      </c>
      <c r="G7" s="251" t="s">
        <v>234</v>
      </c>
    </row>
    <row r="8" spans="1:7" x14ac:dyDescent="0.3">
      <c r="A8" s="258" t="s">
        <v>235</v>
      </c>
      <c r="B8" s="259">
        <v>555</v>
      </c>
      <c r="C8" s="260">
        <v>-119</v>
      </c>
      <c r="D8" s="260">
        <v>26.02</v>
      </c>
      <c r="E8" s="261">
        <v>7310</v>
      </c>
      <c r="F8" s="262">
        <v>10.54</v>
      </c>
      <c r="G8" s="262" t="s">
        <v>234</v>
      </c>
    </row>
    <row r="9" spans="1:7" x14ac:dyDescent="0.3">
      <c r="A9" s="272" t="s">
        <v>236</v>
      </c>
      <c r="B9" s="252">
        <v>965</v>
      </c>
      <c r="C9" s="256">
        <v>171</v>
      </c>
      <c r="D9" s="256">
        <v>53.06</v>
      </c>
      <c r="E9" s="255">
        <v>14030</v>
      </c>
      <c r="F9" s="253">
        <v>15.25</v>
      </c>
      <c r="G9" s="253" t="s">
        <v>234</v>
      </c>
    </row>
    <row r="10" spans="1:7" x14ac:dyDescent="0.3">
      <c r="A10" s="263" t="s">
        <v>237</v>
      </c>
      <c r="B10" s="264">
        <v>1258</v>
      </c>
      <c r="C10" s="265">
        <v>364</v>
      </c>
      <c r="D10" s="265">
        <v>93.13</v>
      </c>
      <c r="E10" s="266">
        <v>18240</v>
      </c>
      <c r="F10" s="267">
        <v>45.87</v>
      </c>
      <c r="G10" s="267" t="s">
        <v>233</v>
      </c>
    </row>
    <row r="11" spans="1:7" x14ac:dyDescent="0.3">
      <c r="A11" s="268"/>
      <c r="B11" s="250"/>
      <c r="C11" s="254"/>
      <c r="D11" s="254"/>
      <c r="E11" s="254"/>
      <c r="F11" s="251">
        <v>25.79</v>
      </c>
      <c r="G11" s="251" t="s">
        <v>234</v>
      </c>
    </row>
    <row r="12" spans="1:7" x14ac:dyDescent="0.3">
      <c r="A12" s="258" t="s">
        <v>238</v>
      </c>
      <c r="B12" s="259">
        <v>1012</v>
      </c>
      <c r="C12" s="260">
        <v>176</v>
      </c>
      <c r="D12" s="260">
        <v>78.11</v>
      </c>
      <c r="E12" s="261">
        <v>13210</v>
      </c>
      <c r="F12" s="262">
        <v>32.51</v>
      </c>
      <c r="G12" s="262" t="s">
        <v>233</v>
      </c>
    </row>
    <row r="13" spans="1:7" ht="17.399999999999999" x14ac:dyDescent="0.3">
      <c r="A13" s="258" t="s">
        <v>239</v>
      </c>
      <c r="B13" s="259">
        <v>1259</v>
      </c>
      <c r="C13" s="260" t="s">
        <v>308</v>
      </c>
      <c r="D13" s="260">
        <v>103.12</v>
      </c>
      <c r="E13" s="261">
        <v>19750</v>
      </c>
      <c r="F13" s="262">
        <v>26.08</v>
      </c>
      <c r="G13" s="262" t="s">
        <v>234</v>
      </c>
    </row>
    <row r="14" spans="1:7" x14ac:dyDescent="0.3">
      <c r="A14" s="258" t="s">
        <v>240</v>
      </c>
      <c r="B14" s="259">
        <v>765</v>
      </c>
      <c r="C14" s="260">
        <v>31</v>
      </c>
      <c r="D14" s="260">
        <v>58.12</v>
      </c>
      <c r="E14" s="261">
        <v>9640</v>
      </c>
      <c r="F14" s="262">
        <v>23.31</v>
      </c>
      <c r="G14" s="262" t="s">
        <v>234</v>
      </c>
    </row>
    <row r="15" spans="1:7" x14ac:dyDescent="0.3">
      <c r="A15" s="272" t="s">
        <v>241</v>
      </c>
      <c r="B15" s="252">
        <v>829</v>
      </c>
      <c r="C15" s="256">
        <v>54</v>
      </c>
      <c r="D15" s="256">
        <v>64.52</v>
      </c>
      <c r="E15" s="255">
        <v>10630</v>
      </c>
      <c r="F15" s="253">
        <v>14.96</v>
      </c>
      <c r="G15" s="253" t="s">
        <v>234</v>
      </c>
    </row>
    <row r="16" spans="1:7" x14ac:dyDescent="0.3">
      <c r="A16" s="258" t="s">
        <v>242</v>
      </c>
      <c r="B16" s="259">
        <v>966</v>
      </c>
      <c r="C16" s="260">
        <v>143</v>
      </c>
      <c r="D16" s="260">
        <v>119.39</v>
      </c>
      <c r="E16" s="261">
        <v>12560</v>
      </c>
      <c r="F16" s="262">
        <v>15.71</v>
      </c>
      <c r="G16" s="262" t="s">
        <v>234</v>
      </c>
    </row>
    <row r="17" spans="1:7" x14ac:dyDescent="0.3">
      <c r="A17" s="258" t="s">
        <v>243</v>
      </c>
      <c r="B17" s="259">
        <v>749</v>
      </c>
      <c r="C17" s="260">
        <v>-12</v>
      </c>
      <c r="D17" s="260">
        <v>50.49</v>
      </c>
      <c r="E17" s="261">
        <v>9210</v>
      </c>
      <c r="F17" s="262">
        <v>9.75</v>
      </c>
      <c r="G17" s="262" t="s">
        <v>234</v>
      </c>
    </row>
    <row r="18" spans="1:7" x14ac:dyDescent="0.3">
      <c r="A18" s="258" t="s">
        <v>244</v>
      </c>
      <c r="B18" s="259">
        <v>828</v>
      </c>
      <c r="C18" s="260">
        <v>55</v>
      </c>
      <c r="D18" s="260">
        <v>56.1</v>
      </c>
      <c r="E18" s="261">
        <v>10410</v>
      </c>
      <c r="F18" s="262">
        <v>17.260000000000002</v>
      </c>
      <c r="G18" s="262" t="s">
        <v>234</v>
      </c>
    </row>
    <row r="19" spans="1:7" x14ac:dyDescent="0.3">
      <c r="A19" s="263" t="s">
        <v>245</v>
      </c>
      <c r="B19" s="264">
        <v>996</v>
      </c>
      <c r="C19" s="265">
        <v>177</v>
      </c>
      <c r="D19" s="265">
        <v>84.16</v>
      </c>
      <c r="E19" s="266">
        <v>12910</v>
      </c>
      <c r="F19" s="267">
        <v>37.03</v>
      </c>
      <c r="G19" s="267" t="s">
        <v>233</v>
      </c>
    </row>
    <row r="20" spans="1:7" x14ac:dyDescent="0.3">
      <c r="A20" s="268"/>
      <c r="B20" s="250"/>
      <c r="C20" s="254"/>
      <c r="D20" s="254"/>
      <c r="E20" s="254"/>
      <c r="F20" s="251">
        <v>25.41</v>
      </c>
      <c r="G20" s="251" t="s">
        <v>234</v>
      </c>
    </row>
    <row r="21" spans="1:7" x14ac:dyDescent="0.3">
      <c r="A21" s="263" t="s">
        <v>246</v>
      </c>
      <c r="B21" s="264">
        <v>921</v>
      </c>
      <c r="C21" s="265">
        <v>121</v>
      </c>
      <c r="D21" s="265">
        <v>70.13</v>
      </c>
      <c r="E21" s="266">
        <v>11750</v>
      </c>
      <c r="F21" s="267">
        <v>30.81</v>
      </c>
      <c r="G21" s="267" t="s">
        <v>233</v>
      </c>
    </row>
    <row r="22" spans="1:7" x14ac:dyDescent="0.3">
      <c r="A22" s="268"/>
      <c r="B22" s="250"/>
      <c r="C22" s="254"/>
      <c r="D22" s="254"/>
      <c r="E22" s="254"/>
      <c r="F22" s="251">
        <v>19.84</v>
      </c>
      <c r="G22" s="251" t="s">
        <v>234</v>
      </c>
    </row>
    <row r="23" spans="1:7" x14ac:dyDescent="0.3">
      <c r="A23" s="258" t="s">
        <v>247</v>
      </c>
      <c r="B23" s="259">
        <v>716</v>
      </c>
      <c r="C23" s="260">
        <v>-27</v>
      </c>
      <c r="D23" s="260">
        <v>42.08</v>
      </c>
      <c r="E23" s="261">
        <v>8650</v>
      </c>
      <c r="F23" s="262">
        <v>13.29</v>
      </c>
      <c r="G23" s="262" t="s">
        <v>234</v>
      </c>
    </row>
    <row r="24" spans="1:7" x14ac:dyDescent="0.3">
      <c r="A24" s="263" t="s">
        <v>248</v>
      </c>
      <c r="B24" s="264">
        <v>840</v>
      </c>
      <c r="C24" s="265">
        <v>94</v>
      </c>
      <c r="D24" s="265">
        <v>74.12</v>
      </c>
      <c r="E24" s="266">
        <v>11400</v>
      </c>
      <c r="F24" s="267">
        <v>41.26</v>
      </c>
      <c r="G24" s="267" t="s">
        <v>233</v>
      </c>
    </row>
    <row r="25" spans="1:7" x14ac:dyDescent="0.3">
      <c r="A25" s="268"/>
      <c r="B25" s="250"/>
      <c r="C25" s="254"/>
      <c r="D25" s="254"/>
      <c r="E25" s="254"/>
      <c r="F25" s="251">
        <v>28.57</v>
      </c>
      <c r="G25" s="251" t="s">
        <v>234</v>
      </c>
    </row>
    <row r="26" spans="1:7" x14ac:dyDescent="0.3">
      <c r="A26" s="258" t="s">
        <v>249</v>
      </c>
      <c r="B26" s="259">
        <v>787</v>
      </c>
      <c r="C26" s="260">
        <v>44</v>
      </c>
      <c r="D26" s="260">
        <v>45.09</v>
      </c>
      <c r="E26" s="261">
        <v>11360</v>
      </c>
      <c r="F26" s="262">
        <v>16.899999999999999</v>
      </c>
      <c r="G26" s="262" t="s">
        <v>234</v>
      </c>
    </row>
    <row r="27" spans="1:7" ht="17.399999999999999" x14ac:dyDescent="0.3">
      <c r="A27" s="258" t="s">
        <v>250</v>
      </c>
      <c r="B27" s="259">
        <v>1111</v>
      </c>
      <c r="C27" s="260">
        <v>277</v>
      </c>
      <c r="D27" s="260">
        <v>106.17</v>
      </c>
      <c r="E27" s="261">
        <v>15320</v>
      </c>
      <c r="F27" s="262" t="s">
        <v>309</v>
      </c>
      <c r="G27" s="262" t="s">
        <v>234</v>
      </c>
    </row>
    <row r="28" spans="1:7" x14ac:dyDescent="0.3">
      <c r="A28" s="258" t="s">
        <v>251</v>
      </c>
      <c r="B28" s="259">
        <v>844</v>
      </c>
      <c r="C28" s="260">
        <v>51</v>
      </c>
      <c r="D28" s="260">
        <v>44.05</v>
      </c>
      <c r="E28" s="261">
        <v>10970</v>
      </c>
      <c r="F28" s="262">
        <v>11.45</v>
      </c>
      <c r="G28" s="262" t="s">
        <v>234</v>
      </c>
    </row>
    <row r="29" spans="1:7" x14ac:dyDescent="0.3">
      <c r="A29" s="263" t="s">
        <v>252</v>
      </c>
      <c r="B29" s="264">
        <v>972</v>
      </c>
      <c r="C29" s="265">
        <v>209</v>
      </c>
      <c r="D29" s="265">
        <v>100.12</v>
      </c>
      <c r="E29" s="266">
        <v>13680</v>
      </c>
      <c r="F29" s="267">
        <v>53.76</v>
      </c>
      <c r="G29" s="267" t="s">
        <v>233</v>
      </c>
    </row>
    <row r="30" spans="1:7" x14ac:dyDescent="0.3">
      <c r="A30" s="268"/>
      <c r="B30" s="250"/>
      <c r="C30" s="254"/>
      <c r="D30" s="254"/>
      <c r="E30" s="254"/>
      <c r="F30" s="251">
        <v>39.68</v>
      </c>
      <c r="G30" s="251" t="s">
        <v>234</v>
      </c>
    </row>
    <row r="31" spans="1:7" x14ac:dyDescent="0.3">
      <c r="A31" s="263" t="s">
        <v>253</v>
      </c>
      <c r="B31" s="264">
        <v>914</v>
      </c>
      <c r="C31" s="265">
        <v>156</v>
      </c>
      <c r="D31" s="265">
        <v>86.18</v>
      </c>
      <c r="E31" s="266">
        <v>12440</v>
      </c>
      <c r="F31" s="267">
        <v>46.76</v>
      </c>
      <c r="G31" s="267" t="s">
        <v>233</v>
      </c>
    </row>
    <row r="32" spans="1:7" x14ac:dyDescent="0.3">
      <c r="A32" s="268"/>
      <c r="B32" s="250"/>
      <c r="C32" s="254"/>
      <c r="D32" s="254"/>
      <c r="E32" s="254"/>
      <c r="F32" s="251">
        <v>34.21</v>
      </c>
      <c r="G32" s="251" t="s">
        <v>234</v>
      </c>
    </row>
    <row r="33" spans="1:7" x14ac:dyDescent="0.3">
      <c r="A33" s="263" t="s">
        <v>254</v>
      </c>
      <c r="B33" s="264">
        <v>923</v>
      </c>
      <c r="C33" s="265">
        <v>148</v>
      </c>
      <c r="D33" s="265">
        <v>32.04</v>
      </c>
      <c r="E33" s="266">
        <v>15150</v>
      </c>
      <c r="F33" s="267">
        <v>19.41</v>
      </c>
      <c r="G33" s="267" t="s">
        <v>233</v>
      </c>
    </row>
    <row r="34" spans="1:7" x14ac:dyDescent="0.3">
      <c r="A34" s="268"/>
      <c r="B34" s="250"/>
      <c r="C34" s="254"/>
      <c r="D34" s="254"/>
      <c r="E34" s="254"/>
      <c r="F34" s="251">
        <v>10.54</v>
      </c>
      <c r="G34" s="251" t="s">
        <v>234</v>
      </c>
    </row>
    <row r="35" spans="1:7" x14ac:dyDescent="0.3">
      <c r="A35" s="258" t="s">
        <v>255</v>
      </c>
      <c r="B35" s="259">
        <v>1024</v>
      </c>
      <c r="C35" s="260">
        <v>258</v>
      </c>
      <c r="D35" s="260">
        <v>114.23</v>
      </c>
      <c r="E35" s="261">
        <v>14800</v>
      </c>
      <c r="F35" s="262">
        <v>45.16</v>
      </c>
      <c r="G35" s="262" t="s">
        <v>234</v>
      </c>
    </row>
    <row r="36" spans="1:7" ht="17.399999999999999" x14ac:dyDescent="0.3">
      <c r="A36" s="258" t="s">
        <v>256</v>
      </c>
      <c r="B36" s="259" t="s">
        <v>310</v>
      </c>
      <c r="C36" s="260">
        <v>97</v>
      </c>
      <c r="D36" s="260">
        <v>72.150000000000006</v>
      </c>
      <c r="E36" s="261">
        <v>11100</v>
      </c>
      <c r="F36" s="262">
        <v>28.73</v>
      </c>
      <c r="G36" s="262" t="s">
        <v>234</v>
      </c>
    </row>
    <row r="37" spans="1:7" x14ac:dyDescent="0.3">
      <c r="A37" s="263" t="s">
        <v>257</v>
      </c>
      <c r="B37" s="264">
        <v>1065</v>
      </c>
      <c r="C37" s="265">
        <v>231</v>
      </c>
      <c r="D37" s="265">
        <v>92.14</v>
      </c>
      <c r="E37" s="266">
        <v>14290</v>
      </c>
      <c r="F37" s="267">
        <v>37.53</v>
      </c>
      <c r="G37" s="267" t="s">
        <v>233</v>
      </c>
    </row>
    <row r="38" spans="1:7" x14ac:dyDescent="0.3">
      <c r="A38" s="268"/>
      <c r="B38" s="250"/>
      <c r="C38" s="254"/>
      <c r="D38" s="254"/>
      <c r="E38" s="254"/>
      <c r="F38" s="251">
        <v>24.76</v>
      </c>
      <c r="G38" s="251" t="s">
        <v>234</v>
      </c>
    </row>
    <row r="39" spans="1:7" x14ac:dyDescent="0.3">
      <c r="A39" s="269" t="s">
        <v>311</v>
      </c>
      <c r="B39" s="264">
        <v>1135</v>
      </c>
      <c r="C39" s="265">
        <v>292</v>
      </c>
      <c r="D39" s="265">
        <v>106.17</v>
      </c>
      <c r="E39" s="266">
        <v>15880</v>
      </c>
      <c r="F39" s="267">
        <v>44.49</v>
      </c>
      <c r="G39" s="267" t="s">
        <v>233</v>
      </c>
    </row>
    <row r="40" spans="1:7" x14ac:dyDescent="0.3">
      <c r="A40" s="268"/>
      <c r="B40" s="250"/>
      <c r="C40" s="254"/>
      <c r="D40" s="254"/>
      <c r="E40" s="254"/>
      <c r="F40" s="251">
        <v>31.86</v>
      </c>
      <c r="G40" s="251" t="s">
        <v>234</v>
      </c>
    </row>
    <row r="41" spans="1:7" x14ac:dyDescent="0.3">
      <c r="A41" s="269" t="s">
        <v>312</v>
      </c>
      <c r="B41" s="264">
        <v>1111</v>
      </c>
      <c r="C41" s="265">
        <v>282</v>
      </c>
      <c r="D41" s="265">
        <v>106.17</v>
      </c>
      <c r="E41" s="266">
        <v>15360</v>
      </c>
      <c r="F41" s="267">
        <v>43.82</v>
      </c>
      <c r="G41" s="267" t="s">
        <v>233</v>
      </c>
    </row>
    <row r="42" spans="1:7" x14ac:dyDescent="0.3">
      <c r="A42" s="268"/>
      <c r="B42" s="250"/>
      <c r="C42" s="254"/>
      <c r="D42" s="254"/>
      <c r="E42" s="254"/>
      <c r="F42" s="251">
        <v>30.5</v>
      </c>
      <c r="G42" s="251" t="s">
        <v>234</v>
      </c>
    </row>
    <row r="43" spans="1:7" x14ac:dyDescent="0.3">
      <c r="A43" s="273" t="s">
        <v>313</v>
      </c>
      <c r="B43" s="250">
        <v>1109</v>
      </c>
      <c r="C43" s="254">
        <v>281</v>
      </c>
      <c r="D43" s="254">
        <v>106.17</v>
      </c>
      <c r="E43" s="254">
        <v>15.36</v>
      </c>
      <c r="F43" s="251">
        <v>30.33</v>
      </c>
      <c r="G43" s="251" t="s">
        <v>234</v>
      </c>
    </row>
    <row r="45" spans="1:7" ht="18.600000000000001" x14ac:dyDescent="0.3">
      <c r="A45" s="239" t="s">
        <v>258</v>
      </c>
    </row>
    <row r="46" spans="1:7" ht="18.600000000000001" x14ac:dyDescent="0.3">
      <c r="A46" s="248" t="s">
        <v>314</v>
      </c>
    </row>
    <row r="47" spans="1:7" ht="18.600000000000001" x14ac:dyDescent="0.3">
      <c r="A47" s="248" t="s">
        <v>315</v>
      </c>
    </row>
    <row r="48" spans="1:7" ht="18.600000000000001" x14ac:dyDescent="0.3">
      <c r="A48" s="248" t="s">
        <v>316</v>
      </c>
    </row>
  </sheetData>
  <mergeCells count="6">
    <mergeCell ref="A1:G1"/>
    <mergeCell ref="A4:A5"/>
    <mergeCell ref="B4:B5"/>
    <mergeCell ref="C4:C5"/>
    <mergeCell ref="E4:E5"/>
    <mergeCell ref="G4:G5"/>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41"/>
  <sheetViews>
    <sheetView workbookViewId="0">
      <selection activeCell="F9" sqref="F9"/>
    </sheetView>
  </sheetViews>
  <sheetFormatPr defaultColWidth="23.109375" defaultRowHeight="15.6" x14ac:dyDescent="0.3"/>
  <cols>
    <col min="1" max="16384" width="23.109375" style="4"/>
  </cols>
  <sheetData>
    <row r="1" spans="1:5" ht="25.8" x14ac:dyDescent="0.3">
      <c r="A1" s="374" t="s">
        <v>317</v>
      </c>
      <c r="B1" s="374"/>
      <c r="C1" s="374"/>
      <c r="D1" s="374"/>
      <c r="E1" s="374"/>
    </row>
    <row r="2" spans="1:5" ht="16.2" thickBot="1" x14ac:dyDescent="0.35"/>
    <row r="3" spans="1:5" ht="32.25" customHeight="1" thickBot="1" x14ac:dyDescent="0.35">
      <c r="A3" s="369" t="s">
        <v>227</v>
      </c>
      <c r="B3" s="371" t="s">
        <v>259</v>
      </c>
      <c r="C3" s="372"/>
      <c r="D3" s="373"/>
      <c r="E3" s="369" t="s">
        <v>299</v>
      </c>
    </row>
    <row r="4" spans="1:5" ht="16.2" thickBot="1" x14ac:dyDescent="0.35">
      <c r="A4" s="370"/>
      <c r="B4" s="241" t="s">
        <v>63</v>
      </c>
      <c r="C4" s="241" t="s">
        <v>64</v>
      </c>
      <c r="D4" s="241" t="s">
        <v>65</v>
      </c>
      <c r="E4" s="370"/>
    </row>
    <row r="5" spans="1:5" x14ac:dyDescent="0.3">
      <c r="A5" s="242" t="s">
        <v>131</v>
      </c>
      <c r="B5" s="243">
        <v>7.11714</v>
      </c>
      <c r="C5" s="243">
        <v>1210.595</v>
      </c>
      <c r="D5" s="243">
        <v>229.66399999999999</v>
      </c>
      <c r="E5" s="243" t="s">
        <v>233</v>
      </c>
    </row>
    <row r="6" spans="1:5" x14ac:dyDescent="0.3">
      <c r="A6" s="242" t="s">
        <v>235</v>
      </c>
      <c r="B6" s="243">
        <v>9.1402000000000001</v>
      </c>
      <c r="C6" s="243">
        <v>1232.5999999999999</v>
      </c>
      <c r="D6" s="243">
        <v>280.89999999999998</v>
      </c>
      <c r="E6" s="243" t="s">
        <v>260</v>
      </c>
    </row>
    <row r="7" spans="1:5" x14ac:dyDescent="0.3">
      <c r="A7" s="242"/>
      <c r="B7" s="274">
        <v>7.0998999999999999</v>
      </c>
      <c r="C7" s="243">
        <v>711</v>
      </c>
      <c r="D7" s="243">
        <v>253.4</v>
      </c>
      <c r="E7" s="243" t="s">
        <v>261</v>
      </c>
    </row>
    <row r="8" spans="1:5" x14ac:dyDescent="0.3">
      <c r="A8" s="242" t="s">
        <v>236</v>
      </c>
      <c r="B8" s="243">
        <v>7.0385499999999999</v>
      </c>
      <c r="C8" s="243">
        <v>1232.53</v>
      </c>
      <c r="D8" s="243">
        <v>222.47</v>
      </c>
      <c r="E8" s="243" t="s">
        <v>262</v>
      </c>
    </row>
    <row r="9" spans="1:5" x14ac:dyDescent="0.3">
      <c r="A9" s="242" t="s">
        <v>237</v>
      </c>
      <c r="B9" s="243">
        <v>7.3201000000000001</v>
      </c>
      <c r="C9" s="243">
        <v>1731.5150000000001</v>
      </c>
      <c r="D9" s="243">
        <v>206.04900000000001</v>
      </c>
      <c r="E9" s="243" t="s">
        <v>263</v>
      </c>
    </row>
    <row r="10" spans="1:5" x14ac:dyDescent="0.3">
      <c r="A10" s="242" t="s">
        <v>238</v>
      </c>
      <c r="B10" s="243">
        <v>9.1064000000000007</v>
      </c>
      <c r="C10" s="243">
        <v>1885.9</v>
      </c>
      <c r="D10" s="243">
        <v>244.2</v>
      </c>
      <c r="E10" s="243" t="s">
        <v>264</v>
      </c>
    </row>
    <row r="11" spans="1:5" x14ac:dyDescent="0.3">
      <c r="A11" s="242"/>
      <c r="B11" s="243">
        <v>6.9056499999999996</v>
      </c>
      <c r="C11" s="243">
        <v>1211.0329999999999</v>
      </c>
      <c r="D11" s="243">
        <v>220.79</v>
      </c>
      <c r="E11" s="243" t="s">
        <v>265</v>
      </c>
    </row>
    <row r="12" spans="1:5" x14ac:dyDescent="0.3">
      <c r="A12" s="242" t="s">
        <v>239</v>
      </c>
      <c r="B12" s="243">
        <v>6.7463100000000003</v>
      </c>
      <c r="C12" s="243">
        <v>1436.72</v>
      </c>
      <c r="D12" s="243">
        <v>181</v>
      </c>
      <c r="E12" s="243" t="s">
        <v>233</v>
      </c>
    </row>
    <row r="13" spans="1:5" x14ac:dyDescent="0.3">
      <c r="A13" s="244" t="s">
        <v>300</v>
      </c>
      <c r="B13" s="243">
        <v>6.80898</v>
      </c>
      <c r="C13" s="243">
        <v>935.86</v>
      </c>
      <c r="D13" s="243">
        <v>238.73</v>
      </c>
      <c r="E13" s="243" t="s">
        <v>266</v>
      </c>
    </row>
    <row r="14" spans="1:5" x14ac:dyDescent="0.3">
      <c r="A14" s="242" t="s">
        <v>241</v>
      </c>
      <c r="B14" s="243">
        <v>6.9864699999999997</v>
      </c>
      <c r="C14" s="243">
        <v>1030.01</v>
      </c>
      <c r="D14" s="243">
        <v>238.61</v>
      </c>
      <c r="E14" s="243" t="s">
        <v>267</v>
      </c>
    </row>
    <row r="15" spans="1:5" x14ac:dyDescent="0.3">
      <c r="A15" s="242" t="s">
        <v>268</v>
      </c>
      <c r="B15" s="243">
        <v>6.8911699999999998</v>
      </c>
      <c r="C15" s="243">
        <v>905.01</v>
      </c>
      <c r="D15" s="243">
        <v>239.48</v>
      </c>
      <c r="E15" s="243" t="s">
        <v>269</v>
      </c>
    </row>
    <row r="16" spans="1:5" x14ac:dyDescent="0.3">
      <c r="A16" s="242" t="s">
        <v>242</v>
      </c>
      <c r="B16" s="243">
        <v>6.4934000000000003</v>
      </c>
      <c r="C16" s="243">
        <v>929.44</v>
      </c>
      <c r="D16" s="243">
        <v>196.03</v>
      </c>
      <c r="E16" s="243" t="s">
        <v>270</v>
      </c>
    </row>
    <row r="17" spans="1:5" x14ac:dyDescent="0.3">
      <c r="A17" s="242" t="s">
        <v>243</v>
      </c>
      <c r="B17" s="243">
        <v>7.0934900000000001</v>
      </c>
      <c r="C17" s="243">
        <v>948.58</v>
      </c>
      <c r="D17" s="243">
        <v>249.34</v>
      </c>
      <c r="E17" s="243" t="s">
        <v>271</v>
      </c>
    </row>
    <row r="18" spans="1:5" x14ac:dyDescent="0.3">
      <c r="A18" s="242" t="s">
        <v>272</v>
      </c>
      <c r="B18" s="243">
        <v>7.5685900000000004</v>
      </c>
      <c r="C18" s="243">
        <v>1251.8599999999999</v>
      </c>
      <c r="D18" s="243">
        <v>243.79</v>
      </c>
      <c r="E18" s="243" t="s">
        <v>273</v>
      </c>
    </row>
    <row r="19" spans="1:5" x14ac:dyDescent="0.3">
      <c r="A19" s="242" t="s">
        <v>244</v>
      </c>
      <c r="B19" s="243">
        <v>6.9163100000000002</v>
      </c>
      <c r="C19" s="243">
        <v>1054.54</v>
      </c>
      <c r="D19" s="243">
        <v>241.37</v>
      </c>
      <c r="E19" s="243" t="s">
        <v>274</v>
      </c>
    </row>
    <row r="20" spans="1:5" x14ac:dyDescent="0.3">
      <c r="A20" s="242" t="s">
        <v>245</v>
      </c>
      <c r="B20" s="243">
        <v>6.8413000000000004</v>
      </c>
      <c r="C20" s="243">
        <v>1201.53</v>
      </c>
      <c r="D20" s="243">
        <v>222.65</v>
      </c>
      <c r="E20" s="243" t="s">
        <v>275</v>
      </c>
    </row>
    <row r="21" spans="1:5" x14ac:dyDescent="0.3">
      <c r="A21" s="242" t="s">
        <v>246</v>
      </c>
      <c r="B21" s="243">
        <v>6.8867599999999998</v>
      </c>
      <c r="C21" s="243">
        <v>1124.162</v>
      </c>
      <c r="D21" s="243">
        <v>231.36</v>
      </c>
      <c r="E21" s="243" t="s">
        <v>276</v>
      </c>
    </row>
    <row r="22" spans="1:5" x14ac:dyDescent="0.3">
      <c r="A22" s="242" t="s">
        <v>247</v>
      </c>
      <c r="B22" s="243">
        <v>6.88788</v>
      </c>
      <c r="C22" s="243">
        <v>856.01</v>
      </c>
      <c r="D22" s="243">
        <v>246.5</v>
      </c>
      <c r="E22" s="243" t="s">
        <v>277</v>
      </c>
    </row>
    <row r="23" spans="1:5" x14ac:dyDescent="0.3">
      <c r="A23" s="242" t="s">
        <v>248</v>
      </c>
      <c r="B23" s="243">
        <v>6.9203200000000002</v>
      </c>
      <c r="C23" s="243">
        <v>1064.07</v>
      </c>
      <c r="D23" s="243">
        <v>228.8</v>
      </c>
      <c r="E23" s="243" t="s">
        <v>278</v>
      </c>
    </row>
    <row r="24" spans="1:5" x14ac:dyDescent="0.3">
      <c r="A24" s="242" t="s">
        <v>279</v>
      </c>
      <c r="B24" s="243">
        <v>5.8015999999999996</v>
      </c>
      <c r="C24" s="243">
        <v>583.29999999999995</v>
      </c>
      <c r="D24" s="243">
        <v>144.1</v>
      </c>
      <c r="E24" s="243" t="s">
        <v>280</v>
      </c>
    </row>
    <row r="25" spans="1:5" x14ac:dyDescent="0.3">
      <c r="A25" s="242" t="s">
        <v>249</v>
      </c>
      <c r="B25" s="243">
        <v>7.0821199999999997</v>
      </c>
      <c r="C25" s="243">
        <v>960.24199999999996</v>
      </c>
      <c r="D25" s="243">
        <v>221.67</v>
      </c>
      <c r="E25" s="243" t="s">
        <v>281</v>
      </c>
    </row>
    <row r="26" spans="1:5" x14ac:dyDescent="0.3">
      <c r="A26" s="242" t="s">
        <v>282</v>
      </c>
      <c r="B26" s="243">
        <v>7.4315800000000003</v>
      </c>
      <c r="C26" s="243">
        <v>1554.68</v>
      </c>
      <c r="D26" s="243">
        <v>240.34</v>
      </c>
      <c r="E26" s="243" t="s">
        <v>283</v>
      </c>
    </row>
    <row r="27" spans="1:5" x14ac:dyDescent="0.3">
      <c r="A27" s="242" t="s">
        <v>250</v>
      </c>
      <c r="B27" s="243">
        <v>6.9571899999999998</v>
      </c>
      <c r="C27" s="243">
        <v>1424.2550000000001</v>
      </c>
      <c r="D27" s="243">
        <v>213.21</v>
      </c>
      <c r="E27" s="243" t="s">
        <v>284</v>
      </c>
    </row>
    <row r="28" spans="1:5" x14ac:dyDescent="0.3">
      <c r="A28" s="242" t="s">
        <v>251</v>
      </c>
      <c r="B28" s="243">
        <v>7.1284299999999998</v>
      </c>
      <c r="C28" s="243">
        <v>1054.54</v>
      </c>
      <c r="D28" s="243">
        <v>237.76</v>
      </c>
      <c r="E28" s="243" t="s">
        <v>285</v>
      </c>
    </row>
    <row r="29" spans="1:5" x14ac:dyDescent="0.3">
      <c r="A29" s="242" t="s">
        <v>252</v>
      </c>
      <c r="B29" s="243">
        <v>6.8967700000000001</v>
      </c>
      <c r="C29" s="243">
        <v>1264.9000000000001</v>
      </c>
      <c r="D29" s="243">
        <v>216.54</v>
      </c>
      <c r="E29" s="243" t="s">
        <v>286</v>
      </c>
    </row>
    <row r="30" spans="1:5" x14ac:dyDescent="0.3">
      <c r="A30" s="242" t="s">
        <v>253</v>
      </c>
      <c r="B30" s="243">
        <v>6.87601</v>
      </c>
      <c r="C30" s="243">
        <v>1171.17</v>
      </c>
      <c r="D30" s="243">
        <v>224.41</v>
      </c>
      <c r="E30" s="243" t="s">
        <v>287</v>
      </c>
    </row>
    <row r="31" spans="1:5" x14ac:dyDescent="0.3">
      <c r="A31" s="242" t="s">
        <v>254</v>
      </c>
      <c r="B31" s="243">
        <v>7.8975</v>
      </c>
      <c r="C31" s="243">
        <v>1474.08</v>
      </c>
      <c r="D31" s="243">
        <v>229.13</v>
      </c>
      <c r="E31" s="243" t="s">
        <v>288</v>
      </c>
    </row>
    <row r="32" spans="1:5" x14ac:dyDescent="0.3">
      <c r="A32" s="242"/>
      <c r="B32" s="243">
        <v>7.9732799999999999</v>
      </c>
      <c r="C32" s="243">
        <v>1515.14</v>
      </c>
      <c r="D32" s="243">
        <v>232.85</v>
      </c>
      <c r="E32" s="243" t="s">
        <v>289</v>
      </c>
    </row>
    <row r="33" spans="1:5" x14ac:dyDescent="0.3">
      <c r="A33" s="242" t="s">
        <v>255</v>
      </c>
      <c r="B33" s="243">
        <v>6.9186800000000002</v>
      </c>
      <c r="C33" s="243">
        <v>1351.99</v>
      </c>
      <c r="D33" s="243">
        <v>209.15</v>
      </c>
      <c r="E33" s="243" t="s">
        <v>290</v>
      </c>
    </row>
    <row r="34" spans="1:5" x14ac:dyDescent="0.3">
      <c r="A34" s="242" t="s">
        <v>256</v>
      </c>
      <c r="B34" s="243">
        <v>6.8529600000000004</v>
      </c>
      <c r="C34" s="243">
        <v>1064.8399999999999</v>
      </c>
      <c r="D34" s="243">
        <v>233.01</v>
      </c>
      <c r="E34" s="243" t="s">
        <v>291</v>
      </c>
    </row>
    <row r="35" spans="1:5" x14ac:dyDescent="0.3">
      <c r="A35" s="242" t="s">
        <v>257</v>
      </c>
      <c r="B35" s="243">
        <v>6.9546400000000004</v>
      </c>
      <c r="C35" s="243">
        <v>1344.8</v>
      </c>
      <c r="D35" s="243">
        <v>219.48</v>
      </c>
      <c r="E35" s="243" t="s">
        <v>292</v>
      </c>
    </row>
    <row r="36" spans="1:5" x14ac:dyDescent="0.3">
      <c r="A36" s="242" t="s">
        <v>293</v>
      </c>
      <c r="B36" s="243">
        <v>7.2100999999999997</v>
      </c>
      <c r="C36" s="243">
        <v>1296.1300000000001</v>
      </c>
      <c r="D36" s="243">
        <v>226.66</v>
      </c>
      <c r="E36" s="243" t="s">
        <v>294</v>
      </c>
    </row>
    <row r="37" spans="1:5" x14ac:dyDescent="0.3">
      <c r="A37" s="244" t="s">
        <v>301</v>
      </c>
      <c r="B37" s="243">
        <v>6.9989100000000004</v>
      </c>
      <c r="C37" s="243">
        <v>1474.6790000000001</v>
      </c>
      <c r="D37" s="243">
        <v>213.69</v>
      </c>
      <c r="E37" s="243" t="s">
        <v>295</v>
      </c>
    </row>
    <row r="38" spans="1:5" x14ac:dyDescent="0.3">
      <c r="A38" s="244" t="s">
        <v>302</v>
      </c>
      <c r="B38" s="243">
        <v>7.00908</v>
      </c>
      <c r="C38" s="243">
        <v>1462.2660000000001</v>
      </c>
      <c r="D38" s="243">
        <v>215.11</v>
      </c>
      <c r="E38" s="243" t="s">
        <v>296</v>
      </c>
    </row>
    <row r="39" spans="1:5" ht="16.2" thickBot="1" x14ac:dyDescent="0.35">
      <c r="A39" s="245" t="s">
        <v>303</v>
      </c>
      <c r="B39" s="246">
        <v>6.9905200000000001</v>
      </c>
      <c r="C39" s="246">
        <v>1453.43</v>
      </c>
      <c r="D39" s="246">
        <v>215.31</v>
      </c>
      <c r="E39" s="246" t="s">
        <v>297</v>
      </c>
    </row>
    <row r="40" spans="1:5" x14ac:dyDescent="0.3">
      <c r="A40" s="247" t="s">
        <v>304</v>
      </c>
    </row>
    <row r="41" spans="1:5" x14ac:dyDescent="0.3">
      <c r="A41" s="240" t="s">
        <v>298</v>
      </c>
    </row>
  </sheetData>
  <mergeCells count="4">
    <mergeCell ref="A3:A4"/>
    <mergeCell ref="B3:D3"/>
    <mergeCell ref="E3:E4"/>
    <mergeCell ref="A1:E1"/>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Data Inputs</vt:lpstr>
      <vt:lpstr>Design Parameters</vt:lpstr>
      <vt:lpstr>Cost Estimate</vt:lpstr>
      <vt:lpstr>Table A</vt:lpstr>
      <vt:lpstr>Table 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2017-12-05T15:34:57Z</dcterms:created>
  <dcterms:modified xsi:type="dcterms:W3CDTF">2017-12-05T15:35:17Z</dcterms:modified>
</cp:coreProperties>
</file>