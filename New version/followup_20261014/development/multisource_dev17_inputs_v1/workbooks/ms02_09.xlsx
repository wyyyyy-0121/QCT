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elcome!" sheetId="1" state="visible" r:id="rId1"/>
    <sheet name="Enter Your Model Here" sheetId="2" state="visible" r:id="rId2"/>
    <sheet name="Optimistic Inucrring Technical " sheetId="3" state="visible" r:id="rId3"/>
    <sheet name="Realistic Steady-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Arial"/>
      <sz val="10"/>
    </font>
    <font/>
    <font>
      <sz val="14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9" fontId="1" fillId="0" borderId="1" pivotButton="0" quotePrefix="0" xfId="0"/>
    <xf numFmtId="0" fontId="2" fillId="2" borderId="1" applyAlignment="1" pivotButton="0" quotePrefix="0" xfId="0">
      <alignment horizontal="left"/>
    </xf>
    <xf numFmtId="164" fontId="1" fillId="0" borderId="1" pivotButton="0" quotePrefix="0" xfId="0"/>
    <xf numFmtId="9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72:C72"/>
  <sheetViews>
    <sheetView workbookViewId="0">
      <selection activeCell="A1" sqref="A1"/>
    </sheetView>
  </sheetViews>
  <sheetFormatPr baseColWidth="8" defaultColWidth="14.43" defaultRowHeight="15.75" customHeight="1"/>
  <sheetData>
    <row r="72">
      <c r="C72" s="1" t="inlineStr">
        <is>
          <t>Welcome to the Simple Software Maintenance Financial Model!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3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2">
      <c r="G2" s="1" t="inlineStr">
        <is>
          <t>It's impossible to talk about a future cost stream without the concept of a Discount Rate: http://en.wikipedia.org/wiki/Present_value</t>
        </is>
      </c>
    </row>
    <row r="3">
      <c r="D3" s="2" t="inlineStr">
        <is>
          <t>Step #1 : Choose a discount rate for E4</t>
        </is>
      </c>
    </row>
    <row r="4">
      <c r="B4" s="1" t="inlineStr">
        <is>
          <t>Discount rate:</t>
        </is>
      </c>
      <c r="E4" s="6" t="n">
        <v>0.05</v>
      </c>
      <c r="G4" s="1" t="inlineStr">
        <is>
          <t>&lt;== Enter as percentage</t>
        </is>
      </c>
    </row>
    <row r="5">
      <c r="D5" s="4" t="inlineStr">
        <is>
          <t>Step #2 : Choose an annual development costs before you go-live</t>
        </is>
      </c>
    </row>
    <row r="6">
      <c r="B6" s="1" t="inlineStr">
        <is>
          <t>Base Annual Development Cost:</t>
        </is>
      </c>
      <c r="E6" s="7" t="n">
        <v>-1000000</v>
      </c>
      <c r="G6" s="1" t="inlineStr">
        <is>
          <t>&lt;== Enter as a negative because it is a cost</t>
        </is>
      </c>
    </row>
    <row r="7">
      <c r="B7" s="1" t="n"/>
      <c r="E7" s="1" t="n"/>
      <c r="G7" s="1" t="n"/>
    </row>
    <row r="8">
      <c r="B8" s="1" t="n"/>
      <c r="D8" s="4" t="inlineStr">
        <is>
          <t>Step #3 : How many years do you think it will take?</t>
        </is>
      </c>
      <c r="E8" s="1" t="n"/>
      <c r="G8" s="1" t="n"/>
    </row>
    <row r="9">
      <c r="B9" s="1" t="inlineStr">
        <is>
          <t>Number of years before go-live:</t>
        </is>
      </c>
      <c r="E9" s="1" t="n">
        <v>2</v>
      </c>
      <c r="G9" s="1" t="inlineStr">
        <is>
          <t>Use this to Estimate the number of years before you start receiving a benefit.</t>
        </is>
      </c>
    </row>
    <row r="10">
      <c r="D10" s="4" t="inlineStr">
        <is>
          <t>Step #4 : What percentage of the base costs should you pay per year to stay modernized?</t>
        </is>
      </c>
    </row>
    <row r="11">
      <c r="B11" s="1" t="inlineStr">
        <is>
          <t>Yearly Rewrite Costs (% of Base)</t>
        </is>
      </c>
      <c r="E11" s="6" t="n">
        <v>0.15</v>
      </c>
      <c r="G11" s="1" t="inlineStr">
        <is>
          <t>&lt;== Enter as percentage</t>
        </is>
      </c>
    </row>
    <row r="12">
      <c r="B12" s="1" t="n"/>
      <c r="D12" s="4" t="inlineStr">
        <is>
          <t>Step #5 : What percentage of the base costs will you have to pay to deal with changing user expectations?</t>
        </is>
      </c>
      <c r="E12" s="6" t="n"/>
    </row>
    <row r="13">
      <c r="B13" s="1" t="inlineStr">
        <is>
          <t>Changing Requirement Costs (% of Base)</t>
        </is>
      </c>
      <c r="E13" s="6" t="n">
        <v>0.15</v>
      </c>
      <c r="G13" s="1" t="inlineStr">
        <is>
          <t>&lt;== Enter as percentage</t>
        </is>
      </c>
    </row>
    <row r="14">
      <c r="B14" s="1" t="n"/>
      <c r="D14" s="4" t="inlineStr">
        <is>
          <t>Step #5 : What percentage of the base costs will you have to pay to deal with changing user expectations?</t>
        </is>
      </c>
      <c r="E14" s="6" t="n"/>
    </row>
    <row r="15">
      <c r="B15" s="1" t="inlineStr">
        <is>
          <t>Changing Ecosystem Costs (% of Base)</t>
        </is>
      </c>
      <c r="E15" s="6" t="n">
        <v>0.12</v>
      </c>
      <c r="G15" s="1" t="inlineStr">
        <is>
          <t>&lt;== Enter as percentage</t>
        </is>
      </c>
    </row>
    <row r="16">
      <c r="B16" s="1" t="n"/>
      <c r="D16" s="2" t="inlineStr">
        <is>
          <t>Step #6: What percentage of the base annual costs will you expect to pay for minimal operations and maintenance not allocated to other costs?</t>
        </is>
      </c>
      <c r="E16" s="6" t="n"/>
    </row>
    <row r="17">
      <c r="B17" s="1" t="inlineStr">
        <is>
          <t>Operating and Maintenance Costs (% of Base)</t>
        </is>
      </c>
      <c r="E17" s="6" t="n">
        <v>0.1</v>
      </c>
      <c r="G17" s="1" t="inlineStr">
        <is>
          <t>&lt;== Enter as percentage</t>
        </is>
      </c>
    </row>
    <row r="18">
      <c r="D18" s="1" t="inlineStr">
        <is>
          <t>Yearly % Base:</t>
        </is>
      </c>
      <c r="E18" s="6">
        <f>SUM(E11:E17)</f>
        <v/>
      </c>
    </row>
    <row r="19" hidden="1">
      <c r="D19" s="1" t="inlineStr">
        <is>
          <t>Yearly Cost</t>
        </is>
      </c>
      <c r="E19" s="7">
        <f>E18+E6</f>
        <v/>
      </c>
    </row>
    <row r="20">
      <c r="B20" s="1" t="n"/>
      <c r="G20" s="1" t="n"/>
    </row>
    <row r="21">
      <c r="B21" s="1" t="inlineStr">
        <is>
          <t>Present Value of Total Costs</t>
        </is>
      </c>
      <c r="E21" s="8">
        <f>PV(E4,1000,E19)+PV(E4,E9,E6)</f>
        <v/>
      </c>
      <c r="G21" s="1" t="inlineStr">
        <is>
          <t>Actually, this assumes not perpetuity, but a mere millenium into the future</t>
        </is>
      </c>
    </row>
    <row r="23">
      <c r="B23" s="1" t="inlineStr">
        <is>
          <t>Ratio of Total Maintenance Costs to Total Development Costs:</t>
        </is>
      </c>
      <c r="E23">
        <f>round(-E21/(E9*E6),1)</f>
        <v/>
      </c>
      <c r="G23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0.1</v>
      </c>
    </row>
    <row r="9">
      <c r="B9" s="1" t="inlineStr">
        <is>
          <t>Changing Requirement Costs (% of Base)</t>
        </is>
      </c>
      <c r="E9" s="6" t="n">
        <v>0.1</v>
      </c>
    </row>
    <row r="10">
      <c r="B10" s="1" t="inlineStr">
        <is>
          <t>Changing Ecosystem Costs (% of Base)</t>
        </is>
      </c>
      <c r="E10" s="6" t="n">
        <v>0.1</v>
      </c>
    </row>
    <row r="11">
      <c r="B11" s="1" t="inlineStr">
        <is>
          <t>Operating and Maintenance Costs (% of Base)</t>
        </is>
      </c>
      <c r="E11" s="6" t="n">
        <v>0.1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0.25</v>
      </c>
    </row>
    <row r="9">
      <c r="B9" s="1" t="inlineStr">
        <is>
          <t>Changing Requirement Costs (% of Base)</t>
        </is>
      </c>
      <c r="E9" s="6" t="n">
        <v>0.25</v>
      </c>
    </row>
    <row r="10">
      <c r="B10" s="1" t="inlineStr">
        <is>
          <t>Changing Ecosystem Costs (% of Base)</t>
        </is>
      </c>
      <c r="E10" s="6" t="n">
        <v>0.25</v>
      </c>
    </row>
    <row r="11">
      <c r="B11" s="1" t="inlineStr">
        <is>
          <t>Operating and Maintenance Costs (% of Base)</t>
        </is>
      </c>
      <c r="E11" s="6" t="n">
        <v>0.25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2026-10-18T07:46:33Z</dcterms:created>
  <dcterms:modified xsi:type="dcterms:W3CDTF">2026-10-18T07:46:33Z</dcterms:modified>
</cp:coreProperties>
</file>