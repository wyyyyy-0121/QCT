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Cash Flow Budget" sheetId="1" state="visible" r:id="rId1"/>
  </sheets>
  <definedNames>
    <definedName name="_xlnm.Print_Area" localSheetId="0">'Cash Flow Budget'!$A$1:$N$63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_);[Red]\(0\)"/>
  </numFmts>
  <fonts count="14">
    <font>
      <name val="Arial"/>
      <sz val="10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0"/>
      <sz val="10"/>
    </font>
    <font>
      <name val="Univers"/>
      <family val="2"/>
      <color indexed="63"/>
      <sz val="6"/>
    </font>
    <font>
      <name val="Arial"/>
      <family val="2"/>
      <b val="1"/>
      <sz val="11"/>
    </font>
    <font>
      <name val="Arial"/>
      <family val="2"/>
      <color rgb="FFC00000"/>
      <sz val="10"/>
      <u val="single"/>
    </font>
    <font>
      <name val="Arial"/>
      <family val="2"/>
      <b val="1"/>
      <color indexed="9"/>
      <sz val="11"/>
    </font>
    <font>
      <name val="Arial"/>
      <family val="2"/>
      <b val="1"/>
      <color indexed="9"/>
      <sz val="16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"/>
      </bottom>
      <diagonal/>
    </border>
  </borders>
  <cellStyleXfs count="3">
    <xf numFmtId="0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</cellStyleXfs>
  <cellXfs count="13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8" fontId="5" fillId="0" borderId="0" applyAlignment="1" pivotButton="0" quotePrefix="0" xfId="0">
      <alignment horizontal="center"/>
    </xf>
    <xf numFmtId="38" fontId="0" fillId="0" borderId="0" pivotButton="0" quotePrefix="0" xfId="0"/>
    <xf numFmtId="164" fontId="0" fillId="3" borderId="13" pivotButton="0" quotePrefix="0" xfId="0"/>
    <xf numFmtId="38" fontId="0" fillId="2" borderId="17" applyProtection="1" pivotButton="0" quotePrefix="0" xfId="0">
      <protection locked="0" hidden="0"/>
    </xf>
    <xf numFmtId="38" fontId="0" fillId="2" borderId="18" applyProtection="1" pivotButton="0" quotePrefix="0" xfId="0">
      <protection locked="0" hidden="0"/>
    </xf>
    <xf numFmtId="164" fontId="5" fillId="0" borderId="6" pivotButton="0" quotePrefix="0" xfId="0"/>
    <xf numFmtId="38" fontId="0" fillId="3" borderId="0" pivotButton="0" quotePrefix="0" xfId="0"/>
    <xf numFmtId="164" fontId="0" fillId="3" borderId="25" pivotButton="0" quotePrefix="0" xfId="0"/>
    <xf numFmtId="164" fontId="5" fillId="0" borderId="10" pivotButton="0" quotePrefix="0" xfId="0"/>
    <xf numFmtId="164" fontId="5" fillId="0" borderId="11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5" fontId="0" fillId="3" borderId="0" applyProtection="1" pivotButton="0" quotePrefix="0" xfId="0">
      <protection locked="0" hidden="0"/>
    </xf>
    <xf numFmtId="38" fontId="0" fillId="2" borderId="29" applyProtection="1" pivotButton="0" quotePrefix="0" xfId="0">
      <protection locked="0" hidden="0"/>
    </xf>
    <xf numFmtId="164" fontId="0" fillId="3" borderId="30" pivotButton="0" quotePrefix="0" xfId="0"/>
    <xf numFmtId="164" fontId="5" fillId="0" borderId="31" pivotButton="0" quotePrefix="0" xfId="1"/>
    <xf numFmtId="164" fontId="5" fillId="0" borderId="30" pivotButton="0" quotePrefix="0" xfId="1"/>
    <xf numFmtId="164" fontId="5" fillId="0" borderId="34" pivotButton="0" quotePrefix="0" xfId="0"/>
    <xf numFmtId="164" fontId="5" fillId="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3" fontId="0" fillId="2" borderId="14" applyAlignment="1" applyProtection="1" pivotButton="0" quotePrefix="0" xfId="0">
      <alignment horizontal="left" indent="1"/>
      <protection locked="0" hidden="0"/>
    </xf>
    <xf numFmtId="3" fontId="5" fillId="0" borderId="20" applyAlignment="1" pivotButton="0" quotePrefix="0" xfId="0">
      <alignment horizontal="left" indent="1"/>
    </xf>
    <xf numFmtId="3" fontId="0" fillId="3" borderId="0" applyAlignment="1" pivotButton="0" quotePrefix="0" xfId="0">
      <alignment horizontal="left" indent="1"/>
    </xf>
    <xf numFmtId="3" fontId="5" fillId="0" borderId="26" applyAlignment="1" pivotButton="0" quotePrefix="0" xfId="0">
      <alignment horizontal="left" indent="1"/>
    </xf>
    <xf numFmtId="3" fontId="0" fillId="0" borderId="26" applyAlignment="1" pivotButton="0" quotePrefix="0" xfId="0">
      <alignment horizontal="left" indent="1"/>
    </xf>
    <xf numFmtId="0" fontId="11" fillId="0" borderId="0" applyAlignment="1" pivotButton="0" quotePrefix="0" xfId="2">
      <alignment horizontal="left" indent="1"/>
    </xf>
    <xf numFmtId="0" fontId="1" fillId="0" borderId="0" applyAlignment="1" pivotButton="0" quotePrefix="0" xfId="2">
      <alignment horizontal="left" indent="1"/>
    </xf>
    <xf numFmtId="0" fontId="1" fillId="0" borderId="0" applyAlignment="1" pivotButton="0" quotePrefix="0" xfId="0">
      <alignment horizontal="left" indent="1"/>
    </xf>
    <xf numFmtId="0" fontId="3" fillId="4" borderId="44" pivotButton="0" quotePrefix="0" xfId="0"/>
    <xf numFmtId="0" fontId="2" fillId="0" borderId="0" applyAlignment="1" pivotButton="0" quotePrefix="0" xfId="2">
      <alignment horizontal="left" indent="1"/>
    </xf>
    <xf numFmtId="0" fontId="2" fillId="0" borderId="0" applyAlignment="1" pivotButton="0" quotePrefix="0" xfId="2">
      <alignment horizontal="left" indent="1"/>
    </xf>
    <xf numFmtId="0" fontId="12" fillId="4" borderId="44" applyAlignment="1" pivotButton="0" quotePrefix="0" xfId="0">
      <alignment horizontal="right"/>
    </xf>
    <xf numFmtId="0" fontId="13" fillId="4" borderId="44" applyAlignment="1" pivotButton="0" quotePrefix="0" xfId="0">
      <alignment horizontal="left" indent="1"/>
    </xf>
    <xf numFmtId="164" fontId="5" fillId="0" borderId="27" pivotButton="0" quotePrefix="0" xfId="0"/>
    <xf numFmtId="164" fontId="5" fillId="0" borderId="42" pivotButton="0" quotePrefix="0" xfId="0"/>
    <xf numFmtId="14" fontId="1" fillId="0" borderId="0" applyAlignment="1" pivotButton="0" quotePrefix="0" xfId="0">
      <alignment horizontal="left" indent="1"/>
    </xf>
    <xf numFmtId="0" fontId="9" fillId="0" borderId="0" applyAlignment="1" pivotButton="0" quotePrefix="0" xfId="0">
      <alignment wrapText="1"/>
    </xf>
    <xf numFmtId="38" fontId="5" fillId="0" borderId="0" pivotButton="0" quotePrefix="0" xfId="0"/>
    <xf numFmtId="165" fontId="0" fillId="2" borderId="1" applyAlignment="1" applyProtection="1" pivotButton="0" quotePrefix="0" xfId="0">
      <alignment shrinkToFit="1"/>
      <protection locked="0" hidden="0"/>
    </xf>
    <xf numFmtId="3" fontId="0" fillId="2" borderId="1" applyAlignment="1" applyProtection="1" pivotButton="0" quotePrefix="0" xfId="0">
      <alignment horizontal="left" shrinkToFit="1" indent="1"/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38" fontId="0" fillId="2" borderId="15" applyAlignment="1" applyProtection="1" pivotButton="0" quotePrefix="0" xfId="0">
      <alignment shrinkToFit="1"/>
      <protection locked="0" hidden="0"/>
    </xf>
    <xf numFmtId="38" fontId="0" fillId="2" borderId="1" applyAlignment="1" applyProtection="1" pivotButton="0" quotePrefix="0" xfId="0">
      <alignment shrinkToFit="1"/>
      <protection locked="0" hidden="0"/>
    </xf>
    <xf numFmtId="38" fontId="0" fillId="2" borderId="16" applyAlignment="1" applyProtection="1" pivotButton="0" quotePrefix="0" xfId="0">
      <alignment shrinkToFit="1"/>
      <protection locked="0" hidden="0"/>
    </xf>
    <xf numFmtId="38" fontId="0" fillId="2" borderId="17" applyAlignment="1" applyProtection="1" pivotButton="0" quotePrefix="0" xfId="0">
      <alignment shrinkToFit="1"/>
      <protection locked="0" hidden="0"/>
    </xf>
    <xf numFmtId="38" fontId="0" fillId="2" borderId="18" applyAlignment="1" applyProtection="1" pivotButton="0" quotePrefix="0" xfId="0">
      <alignment shrinkToFit="1"/>
      <protection locked="0" hidden="0"/>
    </xf>
    <xf numFmtId="38" fontId="0" fillId="2" borderId="19" applyAlignment="1" applyProtection="1" pivotButton="0" quotePrefix="0" xfId="0">
      <alignment shrinkToFit="1"/>
      <protection locked="0" hidden="0"/>
    </xf>
    <xf numFmtId="3" fontId="0" fillId="2" borderId="24" applyAlignment="1" applyProtection="1" pivotButton="0" quotePrefix="0" xfId="0">
      <alignment horizontal="left" shrinkToFit="1"/>
      <protection locked="0" hidden="0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3" fontId="0" fillId="2" borderId="14" applyAlignment="1" applyProtection="1" pivotButton="0" quotePrefix="0" xfId="0">
      <alignment horizontal="left" shrinkToFit="1"/>
      <protection locked="0" hidden="0"/>
    </xf>
    <xf numFmtId="38" fontId="0" fillId="2" borderId="28" applyAlignment="1" applyProtection="1" pivotButton="0" quotePrefix="0" xfId="0">
      <alignment shrinkToFit="1"/>
      <protection locked="0" hidden="0"/>
    </xf>
    <xf numFmtId="3" fontId="4" fillId="2" borderId="14" applyAlignment="1" applyProtection="1" pivotButton="0" quotePrefix="0" xfId="0">
      <alignment horizontal="left" shrinkToFit="1"/>
      <protection locked="0" hidden="0"/>
    </xf>
    <xf numFmtId="3" fontId="0" fillId="2" borderId="9" applyAlignment="1" applyProtection="1" pivotButton="0" quotePrefix="0" xfId="0">
      <alignment horizontal="left" shrinkToFit="1" indent="1"/>
      <protection locked="0" hidden="0"/>
    </xf>
    <xf numFmtId="3" fontId="0" fillId="2" borderId="14" applyAlignment="1" applyProtection="1" pivotButton="0" quotePrefix="0" xfId="0">
      <alignment horizontal="left" shrinkToFit="1" indent="1"/>
      <protection locked="0" hidden="0"/>
    </xf>
    <xf numFmtId="3" fontId="4" fillId="2" borderId="14" applyAlignment="1" applyProtection="1" pivotButton="0" quotePrefix="0" xfId="0">
      <alignment horizontal="left" shrinkToFit="1" indent="1"/>
      <protection locked="0" hidden="0"/>
    </xf>
    <xf numFmtId="0" fontId="0" fillId="2" borderId="14" applyAlignment="1" applyProtection="1" pivotButton="0" quotePrefix="0" xfId="0">
      <alignment horizontal="left" shrinkToFit="1" indent="1"/>
      <protection locked="0" hidden="0"/>
    </xf>
    <xf numFmtId="0" fontId="0" fillId="5" borderId="2" applyAlignment="1" pivotButton="0" quotePrefix="0" xfId="0">
      <alignment horizontal="left" indent="1"/>
    </xf>
    <xf numFmtId="3" fontId="10" fillId="5" borderId="5" applyAlignment="1" pivotButton="0" quotePrefix="0" xfId="0">
      <alignment horizontal="left" indent="1"/>
    </xf>
    <xf numFmtId="38" fontId="0" fillId="5" borderId="24" applyAlignment="1" pivotButton="0" quotePrefix="0" xfId="0">
      <alignment horizontal="center"/>
    </xf>
    <xf numFmtId="38" fontId="0" fillId="5" borderId="3" applyAlignment="1" pivotButton="0" quotePrefix="0" xfId="0">
      <alignment horizontal="left"/>
    </xf>
    <xf numFmtId="0" fontId="0" fillId="5" borderId="22" pivotButton="0" quotePrefix="0" xfId="0"/>
    <xf numFmtId="38" fontId="0" fillId="5" borderId="3" applyAlignment="1" pivotButton="0" quotePrefix="0" xfId="0">
      <alignment horizontal="center"/>
    </xf>
    <xf numFmtId="38" fontId="0" fillId="5" borderId="4" applyAlignment="1" pivotButton="0" quotePrefix="0" xfId="0">
      <alignment horizontal="center"/>
    </xf>
    <xf numFmtId="38" fontId="0" fillId="5" borderId="2" applyAlignment="1" pivotButton="0" quotePrefix="0" xfId="0">
      <alignment horizontal="center"/>
    </xf>
    <xf numFmtId="38" fontId="0" fillId="5" borderId="5" applyAlignment="1" pivotButton="0" quotePrefix="0" xfId="0">
      <alignment horizontal="center"/>
    </xf>
    <xf numFmtId="0" fontId="0" fillId="5" borderId="21" applyAlignment="1" pivotButton="0" quotePrefix="0" xfId="0">
      <alignment horizontal="left" indent="1"/>
    </xf>
    <xf numFmtId="38" fontId="0" fillId="5" borderId="21" applyAlignment="1" pivotButton="0" quotePrefix="0" xfId="0">
      <alignment horizontal="center"/>
    </xf>
    <xf numFmtId="38" fontId="0" fillId="5" borderId="22" applyAlignment="1" pivotButton="0" quotePrefix="0" xfId="0">
      <alignment horizontal="center"/>
    </xf>
    <xf numFmtId="38" fontId="0" fillId="5" borderId="22" applyAlignment="1" pivotButton="0" quotePrefix="0" xfId="0">
      <alignment horizontal="left"/>
    </xf>
    <xf numFmtId="38" fontId="0" fillId="5" borderId="23" applyAlignment="1" pivotButton="0" quotePrefix="0" xfId="0">
      <alignment horizontal="center"/>
    </xf>
    <xf numFmtId="3" fontId="10" fillId="5" borderId="20" applyAlignment="1" pivotButton="0" quotePrefix="0" xfId="0">
      <alignment horizontal="left" indent="1"/>
    </xf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38" fontId="0" fillId="5" borderId="40" applyAlignment="1" pivotButton="0" quotePrefix="0" xfId="0">
      <alignment horizontal="center"/>
    </xf>
    <xf numFmtId="38" fontId="0" fillId="5" borderId="37" applyAlignment="1" pivotButton="0" quotePrefix="0" xfId="0">
      <alignment horizontal="center"/>
    </xf>
    <xf numFmtId="38" fontId="0" fillId="5" borderId="38" applyAlignment="1" pivotButton="0" quotePrefix="0" xfId="0">
      <alignment horizontal="center"/>
    </xf>
    <xf numFmtId="38" fontId="0" fillId="5" borderId="38" applyAlignment="1" pivotButton="0" quotePrefix="0" xfId="0">
      <alignment horizontal="left"/>
    </xf>
    <xf numFmtId="0" fontId="0" fillId="5" borderId="38" pivotButton="0" quotePrefix="0" xfId="0"/>
    <xf numFmtId="38" fontId="0" fillId="5" borderId="39" applyAlignment="1" pivotButton="0" quotePrefix="0" xfId="0">
      <alignment horizontal="center"/>
    </xf>
    <xf numFmtId="165" fontId="0" fillId="5" borderId="36" applyAlignment="1" pivotButton="0" quotePrefix="0" xfId="0">
      <alignment horizontal="center"/>
    </xf>
    <xf numFmtId="38" fontId="0" fillId="5" borderId="32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38" fontId="5" fillId="5" borderId="3" applyAlignment="1" pivotButton="0" quotePrefix="0" xfId="0">
      <alignment horizontal="left"/>
    </xf>
    <xf numFmtId="38" fontId="5" fillId="5" borderId="22" applyAlignment="1" pivotButton="0" quotePrefix="0" xfId="0">
      <alignment horizontal="left"/>
    </xf>
    <xf numFmtId="0" fontId="1" fillId="6" borderId="43" applyAlignment="1" pivotButton="0" quotePrefix="0" xfId="0">
      <alignment horizontal="left" indent="1"/>
    </xf>
    <xf numFmtId="0" fontId="2" fillId="0" borderId="0" applyAlignment="1" pivotButton="0" quotePrefix="0" xfId="2">
      <alignment horizontal="left" vertical="top" indent="1"/>
    </xf>
    <xf numFmtId="38" fontId="5" fillId="5" borderId="38" applyAlignment="1" pivotButton="0" quotePrefix="0" xfId="0">
      <alignment horizontal="left"/>
    </xf>
    <xf numFmtId="0" fontId="4" fillId="6" borderId="28" applyAlignment="1" pivotButton="0" quotePrefix="0" xfId="0">
      <alignment horizontal="left" indent="1"/>
    </xf>
    <xf numFmtId="165" fontId="0" fillId="2" borderId="1" applyAlignment="1" applyProtection="1" pivotButton="0" quotePrefix="0" xfId="0">
      <alignment shrinkToFit="1"/>
      <protection locked="0" hidden="0"/>
    </xf>
    <xf numFmtId="165" fontId="0" fillId="3" borderId="0" applyProtection="1" pivotButton="0" quotePrefix="0" xfId="0"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164" fontId="0" fillId="3" borderId="25" pivotButton="0" quotePrefix="0" xfId="0"/>
    <xf numFmtId="164" fontId="0" fillId="3" borderId="13" pivotButton="0" quotePrefix="0" xfId="0"/>
    <xf numFmtId="164" fontId="5" fillId="0" borderId="6" pivotButton="0" quotePrefix="0" xfId="0"/>
    <xf numFmtId="164" fontId="5" fillId="0" borderId="27" pivotButton="0" quotePrefix="0" xfId="0"/>
    <xf numFmtId="164" fontId="5" fillId="0" borderId="42" pivotButton="0" quotePrefix="0" xfId="0"/>
    <xf numFmtId="164" fontId="0" fillId="3" borderId="30" pivotButton="0" quotePrefix="0" xfId="0"/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165" fontId="0" fillId="5" borderId="36" applyAlignment="1" pivotButton="0" quotePrefix="0" xfId="0">
      <alignment horizontal="center"/>
    </xf>
    <xf numFmtId="164" fontId="5" fillId="0" borderId="10" pivotButton="0" quotePrefix="0" xfId="0"/>
    <xf numFmtId="164" fontId="5" fillId="0" borderId="11" pivotButton="0" quotePrefix="0" xfId="0"/>
    <xf numFmtId="164" fontId="5" fillId="0" borderId="34" pivotButton="0" quotePrefix="0" xfId="0"/>
    <xf numFmtId="164" fontId="5" fillId="0" borderId="2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4" fontId="5" fillId="0" borderId="31" pivotButton="0" quotePrefix="0" xfId="1"/>
    <xf numFmtId="164" fontId="5" fillId="0" borderId="30" pivotButton="0" quotePrefix="0" xfId="1"/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tension.iastate.edu/agdm/wholefarm/html/c3-14.html" TargetMode="External" Id="rId1" /><Relationship Type="http://schemas.openxmlformats.org/officeDocument/2006/relationships/hyperlink" Target="http://www.extension.iastate.edu/agdm/wholefarm/html/c3-14.html" TargetMode="External" Id="rId2" /><Relationship Type="http://schemas.openxmlformats.org/officeDocument/2006/relationships/hyperlink" Target="http://www.extension.iastate.edu/agdm/wholefarm/html/c3-14.html" TargetMode="External" Id="rId3" /><Relationship Type="http://schemas.openxmlformats.org/officeDocument/2006/relationships/hyperlink" Target="http://www.extension.iastate.edu/agdm/wholefarm/html/c3-14.html" TargetMode="External" Id="rId4" /><Relationship Type="http://schemas.openxmlformats.org/officeDocument/2006/relationships/hyperlink" Target="mailto:agdm@iastate.edu?subject=AgDM_c3-14cashflowbudget12month" TargetMode="External" Id="rId5" /><Relationship Type="http://schemas.openxmlformats.org/officeDocument/2006/relationships/hyperlink" Target="https://www.extension.iastate.edu/lega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tabSelected="1" zoomScaleNormal="100" workbookViewId="0">
      <selection activeCell="A1" sqref="A1"/>
    </sheetView>
  </sheetViews>
  <sheetFormatPr baseColWidth="10" defaultColWidth="8.83203125" defaultRowHeight="13"/>
  <cols>
    <col width="32.83203125" customWidth="1" style="27" min="1" max="1"/>
    <col width="12.6640625" customWidth="1" min="2" max="14"/>
  </cols>
  <sheetData>
    <row r="1" ht="30" customFormat="1" customHeight="1" s="38" thickBot="1">
      <c r="A1" s="42" t="inlineStr">
        <is>
          <t>CASH FLOW BUDGET (short form - 12 period)</t>
        </is>
      </c>
      <c r="N1" s="41" t="inlineStr">
        <is>
          <t>Ag Decision Maker File C3-14</t>
        </is>
      </c>
    </row>
    <row r="2" ht="15" customHeight="1" thickTop="1">
      <c r="A2" s="26" t="inlineStr">
        <is>
          <t>Ag Decision Maker -- Iowa State University Extension and Outreach</t>
        </is>
      </c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104" t="inlineStr">
        <is>
          <t>See Information File, Understanding Cash Flow Analysis to help in understanding cash flow budgeting.</t>
        </is>
      </c>
      <c r="B3" s="40" t="inlineStr">
        <is>
          <t>http://www.extension.iastate.edu/agdm/wholefarm/html/c3-14.html</t>
        </is>
      </c>
      <c r="C3" s="40" t="inlineStr">
        <is>
          <t>http://www.extension.iastate.edu/agdm/wholefarm/html/c3-14.html</t>
        </is>
      </c>
      <c r="D3" s="40" t="inlineStr">
        <is>
          <t>http://www.extension.iastate.edu/agdm/wholefarm/html/c3-14.html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24">
      <c r="A4" s="106" t="inlineStr">
        <is>
          <t>Enter your input values in unprotected, shaded cells.</t>
        </is>
      </c>
      <c r="B4" s="103" t="n"/>
      <c r="C4" s="37" t="n"/>
      <c r="D4" s="37" t="n"/>
    </row>
    <row r="5" ht="25.5" customHeight="1">
      <c r="A5" s="28" t="inlineStr">
        <is>
          <t xml:space="preserve"> Name:</t>
        </is>
      </c>
      <c r="C5" s="47" t="inlineStr">
        <is>
          <t xml:space="preserve"> Total Time Period:</t>
        </is>
      </c>
      <c r="D5" s="47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</row>
    <row r="6">
      <c r="A6" s="49" t="inlineStr">
        <is>
          <t> </t>
        </is>
      </c>
      <c r="C6" s="107" t="inlineStr">
        <is>
          <t> </t>
        </is>
      </c>
      <c r="D6" s="108" t="n"/>
      <c r="E6" s="108" t="n"/>
      <c r="F6" s="108" t="n"/>
      <c r="G6" s="4" t="n"/>
      <c r="H6" s="4" t="n"/>
      <c r="I6" s="4" t="n"/>
      <c r="J6" s="4" t="n"/>
      <c r="K6" s="4" t="n"/>
      <c r="L6" s="4" t="n"/>
      <c r="M6" s="4" t="n"/>
    </row>
    <row r="7" ht="14" customHeight="1" thickBot="1">
      <c r="A7" s="29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74" t="n"/>
      <c r="B8" s="76" t="inlineStr">
        <is>
          <t> </t>
        </is>
      </c>
      <c r="C8" s="77" t="inlineStr">
        <is>
          <t> </t>
        </is>
      </c>
      <c r="D8" s="77" t="n"/>
      <c r="E8" s="77" t="n"/>
      <c r="F8" s="101" t="inlineStr">
        <is>
          <t>Individual Time Periods</t>
        </is>
      </c>
      <c r="G8" s="77" t="n"/>
      <c r="H8" s="78" t="n"/>
      <c r="I8" s="77" t="n"/>
      <c r="J8" s="77" t="n"/>
      <c r="K8" s="77" t="n"/>
      <c r="L8" s="79" t="inlineStr">
        <is>
          <t> </t>
        </is>
      </c>
      <c r="M8" s="80" t="inlineStr">
        <is>
          <t> </t>
        </is>
      </c>
      <c r="N8" s="81" t="inlineStr">
        <is>
          <t>Total for</t>
        </is>
      </c>
    </row>
    <row r="9" ht="15" customHeight="1" thickBot="1">
      <c r="A9" s="75" t="inlineStr">
        <is>
          <t xml:space="preserve"> CASH INFLOWS</t>
        </is>
      </c>
      <c r="B9" s="109" t="inlineStr">
        <is>
          <t> </t>
        </is>
      </c>
      <c r="C9" s="110" t="inlineStr">
        <is>
          <t> </t>
        </is>
      </c>
      <c r="D9" s="110" t="inlineStr">
        <is>
          <t> </t>
        </is>
      </c>
      <c r="E9" s="110" t="inlineStr">
        <is>
          <t> </t>
        </is>
      </c>
      <c r="F9" s="110" t="inlineStr">
        <is>
          <t> </t>
        </is>
      </c>
      <c r="G9" s="110" t="inlineStr">
        <is>
          <t> </t>
        </is>
      </c>
      <c r="H9" s="111" t="inlineStr">
        <is>
          <t> </t>
        </is>
      </c>
      <c r="I9" s="110" t="inlineStr">
        <is>
          <t> </t>
        </is>
      </c>
      <c r="J9" s="110" t="inlineStr">
        <is>
          <t> </t>
        </is>
      </c>
      <c r="K9" s="110" t="inlineStr">
        <is>
          <t> </t>
        </is>
      </c>
      <c r="L9" s="110" t="inlineStr">
        <is>
          <t> </t>
        </is>
      </c>
      <c r="M9" s="112" t="inlineStr">
        <is>
          <t> </t>
        </is>
      </c>
      <c r="N9" s="82" t="inlineStr">
        <is>
          <t>All Periods</t>
        </is>
      </c>
    </row>
    <row r="10">
      <c r="A10" s="70" t="inlineStr">
        <is>
          <t> </t>
        </is>
      </c>
      <c r="B10" s="113" t="n">
        <v>192</v>
      </c>
      <c r="C10" s="114" t="n">
        <v>203</v>
      </c>
      <c r="D10" s="114" t="n">
        <v>214</v>
      </c>
      <c r="E10" s="114" t="n">
        <v>225</v>
      </c>
      <c r="F10" s="114" t="n">
        <v>236</v>
      </c>
      <c r="G10" s="114" t="n">
        <v>247</v>
      </c>
      <c r="H10" s="115" t="n">
        <v>258</v>
      </c>
      <c r="I10" s="114" t="n">
        <v>269</v>
      </c>
      <c r="J10" s="114" t="n">
        <v>280</v>
      </c>
      <c r="K10" s="114" t="n">
        <v>291</v>
      </c>
      <c r="L10" s="114" t="n">
        <v>302</v>
      </c>
      <c r="M10" s="116" t="n">
        <v>313</v>
      </c>
      <c r="N10" s="117">
        <f>SUM(B10:M10)</f>
        <v/>
      </c>
    </row>
    <row r="11">
      <c r="A11" s="71" t="inlineStr">
        <is>
          <t> </t>
        </is>
      </c>
      <c r="B11" s="58" t="n">
        <v>199</v>
      </c>
      <c r="C11" s="59" t="n">
        <v>210</v>
      </c>
      <c r="D11" s="59" t="n">
        <v>221</v>
      </c>
      <c r="E11" s="59" t="n">
        <v>232</v>
      </c>
      <c r="F11" s="59" t="n">
        <v>243</v>
      </c>
      <c r="G11" s="59" t="n">
        <v>254</v>
      </c>
      <c r="H11" s="59" t="n">
        <v>265</v>
      </c>
      <c r="I11" s="59" t="n">
        <v>276</v>
      </c>
      <c r="J11" s="59" t="n">
        <v>287</v>
      </c>
      <c r="K11" s="59" t="n">
        <v>298</v>
      </c>
      <c r="L11" s="59" t="n">
        <v>309</v>
      </c>
      <c r="M11" s="60" t="n">
        <v>320</v>
      </c>
      <c r="N11" s="118">
        <f>SUM(B11:M11)</f>
        <v/>
      </c>
    </row>
    <row r="12">
      <c r="A12" s="71" t="inlineStr">
        <is>
          <t> </t>
        </is>
      </c>
      <c r="B12" s="58" t="n">
        <v>206</v>
      </c>
      <c r="C12" s="59" t="n">
        <v>217</v>
      </c>
      <c r="D12" s="59" t="n">
        <v>228</v>
      </c>
      <c r="E12" s="59" t="n">
        <v>239</v>
      </c>
      <c r="F12" s="59" t="n">
        <v>250</v>
      </c>
      <c r="G12" s="59" t="n">
        <v>261</v>
      </c>
      <c r="H12" s="59" t="n">
        <v>272</v>
      </c>
      <c r="I12" s="59" t="n">
        <v>283</v>
      </c>
      <c r="J12" s="59" t="n">
        <v>294</v>
      </c>
      <c r="K12" s="59" t="n">
        <v>305</v>
      </c>
      <c r="L12" s="59" t="n">
        <v>316</v>
      </c>
      <c r="M12" s="60" t="n">
        <v>327</v>
      </c>
      <c r="N12" s="118">
        <f>SUM(B12:M12)</f>
        <v/>
      </c>
    </row>
    <row r="13">
      <c r="A13" s="71" t="inlineStr">
        <is>
          <t> </t>
        </is>
      </c>
      <c r="B13" s="58" t="n">
        <v>213</v>
      </c>
      <c r="C13" s="59" t="n">
        <v>224</v>
      </c>
      <c r="D13" s="59" t="n">
        <v>235</v>
      </c>
      <c r="E13" s="59" t="n">
        <v>246</v>
      </c>
      <c r="F13" s="59" t="n">
        <v>257</v>
      </c>
      <c r="G13" s="59" t="n">
        <v>268</v>
      </c>
      <c r="H13" s="59" t="n">
        <v>279</v>
      </c>
      <c r="I13" s="59" t="n">
        <v>290</v>
      </c>
      <c r="J13" s="59" t="n">
        <v>301</v>
      </c>
      <c r="K13" s="59" t="n">
        <v>312</v>
      </c>
      <c r="L13" s="59" t="n">
        <v>323</v>
      </c>
      <c r="M13" s="60" t="n">
        <v>334</v>
      </c>
      <c r="N13" s="118">
        <f>SUM(B13:M13)</f>
        <v/>
      </c>
    </row>
    <row r="14">
      <c r="A14" s="71" t="inlineStr">
        <is>
          <t> </t>
        </is>
      </c>
      <c r="B14" s="58" t="n">
        <v>220</v>
      </c>
      <c r="C14" s="59" t="n">
        <v>231</v>
      </c>
      <c r="D14" s="59" t="n">
        <v>242</v>
      </c>
      <c r="E14" s="59" t="n">
        <v>253</v>
      </c>
      <c r="F14" s="59" t="n">
        <v>264</v>
      </c>
      <c r="G14" s="59" t="n">
        <v>275</v>
      </c>
      <c r="H14" s="59" t="n">
        <v>286</v>
      </c>
      <c r="I14" s="59" t="n">
        <v>297</v>
      </c>
      <c r="J14" s="59" t="n">
        <v>308</v>
      </c>
      <c r="K14" s="59" t="n">
        <v>319</v>
      </c>
      <c r="L14" s="59" t="n">
        <v>330</v>
      </c>
      <c r="M14" s="60" t="n">
        <v>341</v>
      </c>
      <c r="N14" s="118">
        <f>SUM(B14:M14)</f>
        <v/>
      </c>
    </row>
    <row r="15">
      <c r="A15" s="71" t="inlineStr">
        <is>
          <t> </t>
        </is>
      </c>
      <c r="B15" s="58" t="n">
        <v>227</v>
      </c>
      <c r="C15" s="59" t="n">
        <v>238</v>
      </c>
      <c r="D15" s="59" t="n">
        <v>249</v>
      </c>
      <c r="E15" s="59" t="n">
        <v>260</v>
      </c>
      <c r="F15" s="59" t="n">
        <v>271</v>
      </c>
      <c r="G15" s="59" t="n">
        <v>282</v>
      </c>
      <c r="H15" s="59" t="n">
        <v>293</v>
      </c>
      <c r="I15" s="59" t="n">
        <v>304</v>
      </c>
      <c r="J15" s="59" t="n">
        <v>315</v>
      </c>
      <c r="K15" s="59" t="n">
        <v>326</v>
      </c>
      <c r="L15" s="59" t="n">
        <v>337</v>
      </c>
      <c r="M15" s="60" t="n">
        <v>348</v>
      </c>
      <c r="N15" s="118">
        <f>SUM(B15:M15)</f>
        <v/>
      </c>
    </row>
    <row r="16">
      <c r="A16" s="71" t="inlineStr">
        <is>
          <t> </t>
        </is>
      </c>
      <c r="B16" s="58" t="n">
        <v>234</v>
      </c>
      <c r="C16" s="59" t="n">
        <v>245</v>
      </c>
      <c r="D16" s="59" t="n">
        <v>256</v>
      </c>
      <c r="E16" s="59" t="n">
        <v>267</v>
      </c>
      <c r="F16" s="59" t="n">
        <v>278</v>
      </c>
      <c r="G16" s="59" t="n">
        <v>289</v>
      </c>
      <c r="H16" s="59" t="n">
        <v>300</v>
      </c>
      <c r="I16" s="59" t="n">
        <v>311</v>
      </c>
      <c r="J16" s="59" t="n">
        <v>322</v>
      </c>
      <c r="K16" s="59" t="n">
        <v>333</v>
      </c>
      <c r="L16" s="59" t="n">
        <v>344</v>
      </c>
      <c r="M16" s="60" t="n">
        <v>355</v>
      </c>
      <c r="N16" s="118">
        <f>SUM(B16:M16)</f>
        <v/>
      </c>
    </row>
    <row r="17">
      <c r="A17" s="71" t="inlineStr">
        <is>
          <t> </t>
        </is>
      </c>
      <c r="B17" s="58" t="n">
        <v>241</v>
      </c>
      <c r="C17" s="59" t="n">
        <v>252</v>
      </c>
      <c r="D17" s="59" t="n">
        <v>263</v>
      </c>
      <c r="E17" s="59" t="n">
        <v>274</v>
      </c>
      <c r="F17" s="59" t="n">
        <v>285</v>
      </c>
      <c r="G17" s="59" t="n">
        <v>296</v>
      </c>
      <c r="H17" s="59" t="n">
        <v>307</v>
      </c>
      <c r="I17" s="59" t="n">
        <v>318</v>
      </c>
      <c r="J17" s="59" t="n">
        <v>329</v>
      </c>
      <c r="K17" s="59" t="n">
        <v>340</v>
      </c>
      <c r="L17" s="59" t="n">
        <v>351</v>
      </c>
      <c r="M17" s="60" t="n">
        <v>362</v>
      </c>
      <c r="N17" s="118">
        <f>SUM(B17:M17)</f>
        <v/>
      </c>
    </row>
    <row r="18">
      <c r="A18" s="72" t="inlineStr">
        <is>
          <t> </t>
        </is>
      </c>
      <c r="B18" s="58" t="n">
        <v>248</v>
      </c>
      <c r="C18" s="59" t="n">
        <v>259</v>
      </c>
      <c r="D18" s="59" t="n">
        <v>270</v>
      </c>
      <c r="E18" s="59" t="n">
        <v>281</v>
      </c>
      <c r="F18" s="59" t="n">
        <v>292</v>
      </c>
      <c r="G18" s="59" t="n">
        <v>303</v>
      </c>
      <c r="H18" s="59" t="n">
        <v>314</v>
      </c>
      <c r="I18" s="59" t="n">
        <v>325</v>
      </c>
      <c r="J18" s="59" t="n">
        <v>336</v>
      </c>
      <c r="K18" s="59" t="n">
        <v>347</v>
      </c>
      <c r="L18" s="59" t="n">
        <v>358</v>
      </c>
      <c r="M18" s="60" t="n">
        <v>369</v>
      </c>
      <c r="N18" s="118">
        <f>SUM(B18:M18)</f>
        <v/>
      </c>
    </row>
    <row r="19">
      <c r="A19" s="71" t="inlineStr">
        <is>
          <t> </t>
        </is>
      </c>
      <c r="B19" s="58" t="n">
        <v>255</v>
      </c>
      <c r="C19" s="59" t="n">
        <v>266</v>
      </c>
      <c r="D19" s="59" t="n">
        <v>277</v>
      </c>
      <c r="E19" s="59" t="n">
        <v>288</v>
      </c>
      <c r="F19" s="59" t="n">
        <v>299</v>
      </c>
      <c r="G19" s="59" t="n">
        <v>310</v>
      </c>
      <c r="H19" s="59" t="n">
        <v>321</v>
      </c>
      <c r="I19" s="59" t="n">
        <v>332</v>
      </c>
      <c r="J19" s="59" t="n">
        <v>343</v>
      </c>
      <c r="K19" s="59" t="n">
        <v>354</v>
      </c>
      <c r="L19" s="59" t="n">
        <v>365</v>
      </c>
      <c r="M19" s="60" t="n">
        <v>376</v>
      </c>
      <c r="N19" s="118">
        <f>SUM(B19:M19)</f>
        <v/>
      </c>
    </row>
    <row r="20">
      <c r="A20" s="72" t="inlineStr">
        <is>
          <t> </t>
        </is>
      </c>
      <c r="B20" s="58" t="n">
        <v>262</v>
      </c>
      <c r="C20" s="59" t="n">
        <v>273</v>
      </c>
      <c r="D20" s="59" t="n">
        <v>284</v>
      </c>
      <c r="E20" s="59" t="n">
        <v>295</v>
      </c>
      <c r="F20" s="59" t="n">
        <v>306</v>
      </c>
      <c r="G20" s="59" t="n">
        <v>317</v>
      </c>
      <c r="H20" s="59" t="n">
        <v>328</v>
      </c>
      <c r="I20" s="59" t="n">
        <v>339</v>
      </c>
      <c r="J20" s="59" t="n">
        <v>350</v>
      </c>
      <c r="K20" s="59" t="n">
        <v>361</v>
      </c>
      <c r="L20" s="59" t="n">
        <v>372</v>
      </c>
      <c r="M20" s="60" t="n">
        <v>383</v>
      </c>
      <c r="N20" s="118">
        <f>SUM(B20:M20)</f>
        <v/>
      </c>
    </row>
    <row r="21">
      <c r="A21" s="71" t="inlineStr">
        <is>
          <t> </t>
        </is>
      </c>
      <c r="B21" s="58" t="n">
        <v>269</v>
      </c>
      <c r="C21" s="59" t="n">
        <v>280</v>
      </c>
      <c r="D21" s="59" t="n">
        <v>291</v>
      </c>
      <c r="E21" s="59" t="n">
        <v>302</v>
      </c>
      <c r="F21" s="59" t="n">
        <v>313</v>
      </c>
      <c r="G21" s="59" t="n">
        <v>324</v>
      </c>
      <c r="H21" s="59" t="n">
        <v>335</v>
      </c>
      <c r="I21" s="59" t="n">
        <v>346</v>
      </c>
      <c r="J21" s="59" t="n">
        <v>357</v>
      </c>
      <c r="K21" s="59" t="n">
        <v>368</v>
      </c>
      <c r="L21" s="59" t="n">
        <v>379</v>
      </c>
      <c r="M21" s="60" t="n">
        <v>390</v>
      </c>
      <c r="N21" s="118">
        <f>SUM(B21:M21)</f>
        <v/>
      </c>
    </row>
    <row r="22">
      <c r="A22" s="71" t="inlineStr">
        <is>
          <t> </t>
        </is>
      </c>
      <c r="B22" s="58" t="n">
        <v>276</v>
      </c>
      <c r="C22" s="59" t="n">
        <v>287</v>
      </c>
      <c r="D22" s="59" t="n">
        <v>298</v>
      </c>
      <c r="E22" s="59" t="n">
        <v>309</v>
      </c>
      <c r="F22" s="59" t="n">
        <v>320</v>
      </c>
      <c r="G22" s="59" t="n">
        <v>331</v>
      </c>
      <c r="H22" s="59" t="n">
        <v>342</v>
      </c>
      <c r="I22" s="59" t="n">
        <v>353</v>
      </c>
      <c r="J22" s="59" t="n">
        <v>364</v>
      </c>
      <c r="K22" s="59" t="n">
        <v>375</v>
      </c>
      <c r="L22" s="59" t="n">
        <v>386</v>
      </c>
      <c r="M22" s="60" t="n">
        <v>397</v>
      </c>
      <c r="N22" s="118">
        <f>SUM(B22:M22)</f>
        <v/>
      </c>
    </row>
    <row r="23">
      <c r="A23" s="73" t="inlineStr">
        <is>
          <t> </t>
        </is>
      </c>
      <c r="B23" s="58" t="n">
        <v>283</v>
      </c>
      <c r="C23" s="59" t="n">
        <v>294</v>
      </c>
      <c r="D23" s="59" t="n">
        <v>305</v>
      </c>
      <c r="E23" s="59" t="n">
        <v>316</v>
      </c>
      <c r="F23" s="59" t="n">
        <v>327</v>
      </c>
      <c r="G23" s="59" t="n">
        <v>338</v>
      </c>
      <c r="H23" s="59" t="n">
        <v>349</v>
      </c>
      <c r="I23" s="59" t="n">
        <v>360</v>
      </c>
      <c r="J23" s="59" t="n">
        <v>371</v>
      </c>
      <c r="K23" s="59" t="n">
        <v>382</v>
      </c>
      <c r="L23" s="59" t="n">
        <v>393</v>
      </c>
      <c r="M23" s="60" t="n">
        <v>404</v>
      </c>
      <c r="N23" s="118">
        <f>SUM(B23:M23)</f>
        <v/>
      </c>
    </row>
    <row r="24">
      <c r="A24" s="72" t="inlineStr">
        <is>
          <t> </t>
        </is>
      </c>
      <c r="B24" s="58" t="n">
        <v>290</v>
      </c>
      <c r="C24" s="59" t="n">
        <v>301</v>
      </c>
      <c r="D24" s="59" t="n">
        <v>312</v>
      </c>
      <c r="E24" s="59" t="n">
        <v>323</v>
      </c>
      <c r="F24" s="59" t="n">
        <v>334</v>
      </c>
      <c r="G24" s="59" t="n">
        <v>345</v>
      </c>
      <c r="H24" s="59" t="n">
        <v>356</v>
      </c>
      <c r="I24" s="59" t="n">
        <v>367</v>
      </c>
      <c r="J24" s="59" t="n">
        <v>378</v>
      </c>
      <c r="K24" s="59" t="n">
        <v>389</v>
      </c>
      <c r="L24" s="59" t="n">
        <v>400</v>
      </c>
      <c r="M24" s="60" t="n">
        <v>411</v>
      </c>
      <c r="N24" s="118">
        <f>SUM(B24:M24)</f>
        <v/>
      </c>
    </row>
    <row r="25">
      <c r="A25" s="71" t="inlineStr">
        <is>
          <t> </t>
        </is>
      </c>
      <c r="B25" s="61" t="n">
        <v>297</v>
      </c>
      <c r="C25" s="62" t="n">
        <v>308</v>
      </c>
      <c r="D25" s="62" t="n">
        <v>319</v>
      </c>
      <c r="E25" s="62" t="n">
        <v>330</v>
      </c>
      <c r="F25" s="62" t="n">
        <v>341</v>
      </c>
      <c r="G25" s="62" t="n">
        <v>352</v>
      </c>
      <c r="H25" s="62" t="n">
        <v>363</v>
      </c>
      <c r="I25" s="62" t="n">
        <v>374</v>
      </c>
      <c r="J25" s="62" t="n">
        <v>385</v>
      </c>
      <c r="K25" s="62" t="n">
        <v>396</v>
      </c>
      <c r="L25" s="62" t="n">
        <v>407</v>
      </c>
      <c r="M25" s="63" t="n">
        <v>418</v>
      </c>
      <c r="N25" s="118">
        <f>SUM(B25:M25)</f>
        <v/>
      </c>
    </row>
    <row r="26" ht="14" customHeight="1" thickBot="1">
      <c r="A26" s="31" t="inlineStr">
        <is>
          <t xml:space="preserve"> Total Cash Inflows</t>
        </is>
      </c>
      <c r="B26" s="119">
        <f>SUM(B10:B25)</f>
        <v/>
      </c>
      <c r="C26" s="120">
        <f>SUM(C10:C25)</f>
        <v/>
      </c>
      <c r="D26" s="120">
        <f>SUM(D10:D25)</f>
        <v/>
      </c>
      <c r="E26" s="120">
        <f>SUM(E10:E25)</f>
        <v/>
      </c>
      <c r="F26" s="120">
        <f>SUM(F10:F25)</f>
        <v/>
      </c>
      <c r="G26" s="120">
        <f>SUM(G10:G25)</f>
        <v/>
      </c>
      <c r="H26" s="120">
        <f>SUM(H10:H25)</f>
        <v/>
      </c>
      <c r="I26" s="120">
        <f>SUM(I10:I25)</f>
        <v/>
      </c>
      <c r="J26" s="120">
        <f>SUM(J10:J25)</f>
        <v/>
      </c>
      <c r="K26" s="120">
        <f>SUM(K10:K25)</f>
        <v/>
      </c>
      <c r="L26" s="120">
        <f>SUM(L10:L25)</f>
        <v/>
      </c>
      <c r="M26" s="121">
        <f>SUM(M10:M25)</f>
        <v/>
      </c>
      <c r="N26" s="122">
        <f>SUM(B26:M26)</f>
        <v/>
      </c>
    </row>
    <row r="27" ht="14" customHeight="1" thickBot="1">
      <c r="A27" s="32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3" t="n"/>
      <c r="B28" s="84" t="inlineStr">
        <is>
          <t> </t>
        </is>
      </c>
      <c r="C28" s="85" t="inlineStr">
        <is>
          <t> </t>
        </is>
      </c>
      <c r="D28" s="85" t="n"/>
      <c r="E28" s="85" t="n"/>
      <c r="F28" s="102" t="inlineStr">
        <is>
          <t>Individual Time Periods</t>
        </is>
      </c>
      <c r="G28" s="86" t="n"/>
      <c r="H28" s="78" t="n"/>
      <c r="I28" s="86" t="n"/>
      <c r="J28" s="86" t="n"/>
      <c r="K28" s="86" t="n"/>
      <c r="L28" s="85" t="inlineStr">
        <is>
          <t> </t>
        </is>
      </c>
      <c r="M28" s="87" t="inlineStr">
        <is>
          <t> </t>
        </is>
      </c>
      <c r="N28" s="87" t="inlineStr">
        <is>
          <t>Total for</t>
        </is>
      </c>
    </row>
    <row r="29" ht="15" customHeight="1" thickBot="1">
      <c r="A29" s="88" t="inlineStr">
        <is>
          <t xml:space="preserve"> CASH OUTFLOWS</t>
        </is>
      </c>
      <c r="B29" s="123">
        <f>B9</f>
        <v/>
      </c>
      <c r="C29" s="124">
        <f>C9</f>
        <v/>
      </c>
      <c r="D29" s="124">
        <f>D9</f>
        <v/>
      </c>
      <c r="E29" s="124">
        <f>E9</f>
        <v/>
      </c>
      <c r="F29" s="124">
        <f>F9</f>
        <v/>
      </c>
      <c r="G29" s="124">
        <f>G9</f>
        <v/>
      </c>
      <c r="H29" s="124">
        <f>H9</f>
        <v/>
      </c>
      <c r="I29" s="124">
        <f>I9</f>
        <v/>
      </c>
      <c r="J29" s="124">
        <f>J9</f>
        <v/>
      </c>
      <c r="K29" s="124">
        <f>K9</f>
        <v/>
      </c>
      <c r="L29" s="124">
        <f>L9</f>
        <v/>
      </c>
      <c r="M29" s="125">
        <f>M9</f>
        <v/>
      </c>
      <c r="N29" s="92" t="inlineStr">
        <is>
          <t>All Periods</t>
        </is>
      </c>
    </row>
    <row r="30">
      <c r="A30" s="64" t="n"/>
      <c r="B30" s="126" t="n">
        <v>332</v>
      </c>
      <c r="C30" s="115" t="n">
        <v>343</v>
      </c>
      <c r="D30" s="115" t="n">
        <v>354</v>
      </c>
      <c r="E30" s="115" t="n">
        <v>365</v>
      </c>
      <c r="F30" s="115" t="n">
        <v>376</v>
      </c>
      <c r="G30" s="115" t="n">
        <v>387</v>
      </c>
      <c r="H30" s="115" t="n">
        <v>398</v>
      </c>
      <c r="I30" s="115" t="n">
        <v>409</v>
      </c>
      <c r="J30" s="115" t="n">
        <v>420</v>
      </c>
      <c r="K30" s="115" t="n">
        <v>431</v>
      </c>
      <c r="L30" s="115" t="n">
        <v>442</v>
      </c>
      <c r="M30" s="127" t="n">
        <v>453</v>
      </c>
      <c r="N30" s="117">
        <f>SUM(B30:M30)</f>
        <v/>
      </c>
    </row>
    <row r="31">
      <c r="A31" s="67" t="inlineStr">
        <is>
          <t> </t>
        </is>
      </c>
      <c r="B31" s="58" t="n">
        <v>339</v>
      </c>
      <c r="C31" s="59" t="n">
        <v>350</v>
      </c>
      <c r="D31" s="59" t="n">
        <v>361</v>
      </c>
      <c r="E31" s="59" t="n">
        <v>372</v>
      </c>
      <c r="F31" s="59" t="n">
        <v>383</v>
      </c>
      <c r="G31" s="59" t="n">
        <v>394</v>
      </c>
      <c r="H31" s="59" t="n">
        <v>405</v>
      </c>
      <c r="I31" s="59" t="n">
        <v>416</v>
      </c>
      <c r="J31" s="59" t="n">
        <v>427</v>
      </c>
      <c r="K31" s="59" t="n">
        <v>438</v>
      </c>
      <c r="L31" s="59" t="n">
        <v>449</v>
      </c>
      <c r="M31" s="68" t="n">
        <v>460</v>
      </c>
      <c r="N31" s="118">
        <f>SUM(B31:M31)</f>
        <v/>
      </c>
    </row>
    <row r="32">
      <c r="A32" s="67" t="inlineStr">
        <is>
          <t> </t>
        </is>
      </c>
      <c r="B32" s="58" t="n">
        <v>346</v>
      </c>
      <c r="C32" s="59" t="n">
        <v>357</v>
      </c>
      <c r="D32" s="59" t="n">
        <v>368</v>
      </c>
      <c r="E32" s="59" t="n">
        <v>379</v>
      </c>
      <c r="F32" s="59" t="n">
        <v>390</v>
      </c>
      <c r="G32" s="59" t="n">
        <v>401</v>
      </c>
      <c r="H32" s="59" t="n">
        <v>412</v>
      </c>
      <c r="I32" s="59" t="n">
        <v>423</v>
      </c>
      <c r="J32" s="59" t="n">
        <v>434</v>
      </c>
      <c r="K32" s="59" t="n">
        <v>445</v>
      </c>
      <c r="L32" s="59" t="n">
        <v>456</v>
      </c>
      <c r="M32" s="68" t="n">
        <v>467</v>
      </c>
      <c r="N32" s="118">
        <f>SUM(B32:M32)</f>
        <v/>
      </c>
    </row>
    <row r="33">
      <c r="A33" s="67" t="inlineStr">
        <is>
          <t> </t>
        </is>
      </c>
      <c r="B33" s="58" t="n">
        <v>353</v>
      </c>
      <c r="C33" s="59" t="n">
        <v>364</v>
      </c>
      <c r="D33" s="59" t="n">
        <v>375</v>
      </c>
      <c r="E33" s="59" t="n">
        <v>386</v>
      </c>
      <c r="F33" s="59" t="n">
        <v>397</v>
      </c>
      <c r="G33" s="59" t="n">
        <v>408</v>
      </c>
      <c r="H33" s="59" t="n">
        <v>419</v>
      </c>
      <c r="I33" s="59" t="n">
        <v>430</v>
      </c>
      <c r="J33" s="59" t="n">
        <v>441</v>
      </c>
      <c r="K33" s="59" t="n">
        <v>452</v>
      </c>
      <c r="L33" s="59" t="n">
        <v>463</v>
      </c>
      <c r="M33" s="68" t="n">
        <v>474</v>
      </c>
      <c r="N33" s="118">
        <f>SUM(B33:M33)</f>
        <v/>
      </c>
    </row>
    <row r="34">
      <c r="A34" s="67" t="inlineStr">
        <is>
          <t> </t>
        </is>
      </c>
      <c r="B34" s="58" t="n">
        <v>360</v>
      </c>
      <c r="C34" s="59" t="n">
        <v>371</v>
      </c>
      <c r="D34" s="59" t="n">
        <v>382</v>
      </c>
      <c r="E34" s="59" t="n">
        <v>393</v>
      </c>
      <c r="F34" s="59" t="n">
        <v>404</v>
      </c>
      <c r="G34" s="59" t="n">
        <v>415</v>
      </c>
      <c r="H34" s="59" t="n">
        <v>426</v>
      </c>
      <c r="I34" s="59" t="n">
        <v>437</v>
      </c>
      <c r="J34" s="59" t="n">
        <v>448</v>
      </c>
      <c r="K34" s="59" t="n">
        <v>459</v>
      </c>
      <c r="L34" s="59" t="n">
        <v>470</v>
      </c>
      <c r="M34" s="68" t="n">
        <v>481</v>
      </c>
      <c r="N34" s="118">
        <f>SUM(B34:M34)</f>
        <v/>
      </c>
    </row>
    <row r="35">
      <c r="A35" s="67" t="inlineStr">
        <is>
          <t> </t>
        </is>
      </c>
      <c r="B35" s="58" t="n">
        <v>367</v>
      </c>
      <c r="C35" s="59" t="n">
        <v>378</v>
      </c>
      <c r="D35" s="59" t="n">
        <v>389</v>
      </c>
      <c r="E35" s="59" t="n">
        <v>400</v>
      </c>
      <c r="F35" s="59" t="n">
        <v>411</v>
      </c>
      <c r="G35" s="59" t="n">
        <v>422</v>
      </c>
      <c r="H35" s="59" t="n">
        <v>433</v>
      </c>
      <c r="I35" s="59" t="n">
        <v>444</v>
      </c>
      <c r="J35" s="59" t="n">
        <v>455</v>
      </c>
      <c r="K35" s="59" t="n">
        <v>466</v>
      </c>
      <c r="L35" s="59" t="n">
        <v>477</v>
      </c>
      <c r="M35" s="68" t="n">
        <v>488</v>
      </c>
      <c r="N35" s="118">
        <f>SUM(B35:M35)</f>
        <v/>
      </c>
    </row>
    <row r="36">
      <c r="A36" s="67" t="inlineStr">
        <is>
          <t> </t>
        </is>
      </c>
      <c r="B36" s="58" t="n">
        <v>374</v>
      </c>
      <c r="C36" s="59" t="n">
        <v>385</v>
      </c>
      <c r="D36" s="59" t="n">
        <v>396</v>
      </c>
      <c r="E36" s="59" t="n">
        <v>407</v>
      </c>
      <c r="F36" s="59" t="n">
        <v>418</v>
      </c>
      <c r="G36" s="59" t="n">
        <v>429</v>
      </c>
      <c r="H36" s="59" t="n">
        <v>440</v>
      </c>
      <c r="I36" s="59" t="n">
        <v>451</v>
      </c>
      <c r="J36" s="59" t="n">
        <v>462</v>
      </c>
      <c r="K36" s="59" t="n">
        <v>473</v>
      </c>
      <c r="L36" s="59" t="n">
        <v>484</v>
      </c>
      <c r="M36" s="68" t="n">
        <v>495</v>
      </c>
      <c r="N36" s="118">
        <f>SUM(B36:M36)</f>
        <v/>
      </c>
    </row>
    <row r="37">
      <c r="A37" s="67" t="inlineStr">
        <is>
          <t> </t>
        </is>
      </c>
      <c r="B37" s="58" t="n">
        <v>381</v>
      </c>
      <c r="C37" s="59" t="n">
        <v>392</v>
      </c>
      <c r="D37" s="59" t="n">
        <v>403</v>
      </c>
      <c r="E37" s="59" t="n">
        <v>414</v>
      </c>
      <c r="F37" s="59" t="n">
        <v>425</v>
      </c>
      <c r="G37" s="59" t="n">
        <v>436</v>
      </c>
      <c r="H37" s="59" t="n">
        <v>447</v>
      </c>
      <c r="I37" s="59" t="n">
        <v>458</v>
      </c>
      <c r="J37" s="59" t="n">
        <v>469</v>
      </c>
      <c r="K37" s="59" t="n">
        <v>480</v>
      </c>
      <c r="L37" s="59" t="n">
        <v>491</v>
      </c>
      <c r="M37" s="68" t="n">
        <v>502</v>
      </c>
      <c r="N37" s="118">
        <f>SUM(B37:M37)</f>
        <v/>
      </c>
    </row>
    <row r="38">
      <c r="A38" s="67" t="inlineStr">
        <is>
          <t> </t>
        </is>
      </c>
      <c r="B38" s="58" t="n">
        <v>388</v>
      </c>
      <c r="C38" s="59" t="n">
        <v>399</v>
      </c>
      <c r="D38" s="59" t="n">
        <v>410</v>
      </c>
      <c r="E38" s="59" t="n">
        <v>421</v>
      </c>
      <c r="F38" s="59" t="n">
        <v>432</v>
      </c>
      <c r="G38" s="59" t="n">
        <v>443</v>
      </c>
      <c r="H38" s="59" t="n">
        <v>454</v>
      </c>
      <c r="I38" s="59" t="n">
        <v>465</v>
      </c>
      <c r="J38" s="59" t="n">
        <v>476</v>
      </c>
      <c r="K38" s="59" t="n">
        <v>487</v>
      </c>
      <c r="L38" s="59" t="n">
        <v>498</v>
      </c>
      <c r="M38" s="68" t="n">
        <v>509</v>
      </c>
      <c r="N38" s="118">
        <f>SUM(B38:M38)</f>
        <v/>
      </c>
    </row>
    <row r="39">
      <c r="A39" s="67" t="inlineStr">
        <is>
          <t> </t>
        </is>
      </c>
      <c r="B39" s="58" t="n">
        <v>395</v>
      </c>
      <c r="C39" s="59" t="n">
        <v>406</v>
      </c>
      <c r="D39" s="59" t="n">
        <v>417</v>
      </c>
      <c r="E39" s="59" t="n">
        <v>428</v>
      </c>
      <c r="F39" s="59" t="n">
        <v>439</v>
      </c>
      <c r="G39" s="59" t="n">
        <v>450</v>
      </c>
      <c r="H39" s="59" t="n">
        <v>461</v>
      </c>
      <c r="I39" s="59" t="n">
        <v>472</v>
      </c>
      <c r="J39" s="59" t="n">
        <v>483</v>
      </c>
      <c r="K39" s="59" t="n">
        <v>494</v>
      </c>
      <c r="L39" s="59" t="n">
        <v>505</v>
      </c>
      <c r="M39" s="68" t="n">
        <v>516</v>
      </c>
      <c r="N39" s="118">
        <f>SUM(B39:M39)</f>
        <v/>
      </c>
    </row>
    <row r="40">
      <c r="A40" s="67" t="inlineStr">
        <is>
          <t> </t>
        </is>
      </c>
      <c r="B40" s="58" t="n">
        <v>402</v>
      </c>
      <c r="C40" s="59" t="n">
        <v>413</v>
      </c>
      <c r="D40" s="59" t="n">
        <v>424</v>
      </c>
      <c r="E40" s="59" t="n">
        <v>435</v>
      </c>
      <c r="F40" s="59" t="n">
        <v>446</v>
      </c>
      <c r="G40" s="59" t="n">
        <v>457</v>
      </c>
      <c r="H40" s="59" t="n">
        <v>468</v>
      </c>
      <c r="I40" s="59" t="n">
        <v>479</v>
      </c>
      <c r="J40" s="59" t="n">
        <v>490</v>
      </c>
      <c r="K40" s="59" t="n">
        <v>501</v>
      </c>
      <c r="L40" s="59" t="n">
        <v>512</v>
      </c>
      <c r="M40" s="68" t="n">
        <v>523</v>
      </c>
      <c r="N40" s="118">
        <f>SUM(B40:M40)</f>
        <v/>
      </c>
    </row>
    <row r="41">
      <c r="A41" s="69" t="inlineStr">
        <is>
          <t> </t>
        </is>
      </c>
      <c r="B41" s="58" t="n">
        <v>409</v>
      </c>
      <c r="C41" s="59" t="n">
        <v>420</v>
      </c>
      <c r="D41" s="59" t="n">
        <v>431</v>
      </c>
      <c r="E41" s="59" t="n">
        <v>442</v>
      </c>
      <c r="F41" s="59" t="n">
        <v>453</v>
      </c>
      <c r="G41" s="59" t="n">
        <v>464</v>
      </c>
      <c r="H41" s="59" t="n">
        <v>475</v>
      </c>
      <c r="I41" s="59" t="n">
        <v>486</v>
      </c>
      <c r="J41" s="59" t="n">
        <v>497</v>
      </c>
      <c r="K41" s="59" t="n">
        <v>508</v>
      </c>
      <c r="L41" s="59" t="n">
        <v>519</v>
      </c>
      <c r="M41" s="68" t="n">
        <v>530</v>
      </c>
      <c r="N41" s="118">
        <f>SUM(B41:M41)</f>
        <v/>
      </c>
    </row>
    <row r="42">
      <c r="A42" s="67" t="inlineStr">
        <is>
          <t> </t>
        </is>
      </c>
      <c r="B42" s="58" t="n">
        <v>416</v>
      </c>
      <c r="C42" s="59" t="n">
        <v>427</v>
      </c>
      <c r="D42" s="59" t="n">
        <v>438</v>
      </c>
      <c r="E42" s="59" t="n">
        <v>449</v>
      </c>
      <c r="F42" s="59" t="n">
        <v>460</v>
      </c>
      <c r="G42" s="59" t="n">
        <v>471</v>
      </c>
      <c r="H42" s="59" t="n">
        <v>482</v>
      </c>
      <c r="I42" s="59" t="n">
        <v>493</v>
      </c>
      <c r="J42" s="59" t="n">
        <v>504</v>
      </c>
      <c r="K42" s="59" t="n">
        <v>515</v>
      </c>
      <c r="L42" s="59" t="n">
        <v>526</v>
      </c>
      <c r="M42" s="68" t="n">
        <v>537</v>
      </c>
      <c r="N42" s="118">
        <f>SUM(B42:M42)</f>
        <v/>
      </c>
    </row>
    <row r="43">
      <c r="A43" s="69" t="inlineStr">
        <is>
          <t> </t>
        </is>
      </c>
      <c r="B43" s="58" t="n">
        <v>423</v>
      </c>
      <c r="C43" s="59" t="n">
        <v>434</v>
      </c>
      <c r="D43" s="59" t="n">
        <v>445</v>
      </c>
      <c r="E43" s="59" t="n">
        <v>456</v>
      </c>
      <c r="F43" s="59" t="n">
        <v>467</v>
      </c>
      <c r="G43" s="59" t="n">
        <v>478</v>
      </c>
      <c r="H43" s="59" t="n">
        <v>489</v>
      </c>
      <c r="I43" s="59" t="n">
        <v>500</v>
      </c>
      <c r="J43" s="59" t="n">
        <v>511</v>
      </c>
      <c r="K43" s="59" t="n">
        <v>522</v>
      </c>
      <c r="L43" s="59" t="n">
        <v>533</v>
      </c>
      <c r="M43" s="68" t="n">
        <v>544</v>
      </c>
      <c r="N43" s="118">
        <f>SUM(B43:M43)</f>
        <v/>
      </c>
    </row>
    <row r="44">
      <c r="A44" s="67" t="inlineStr">
        <is>
          <t> </t>
        </is>
      </c>
      <c r="B44" s="58" t="n">
        <v>430</v>
      </c>
      <c r="C44" s="59" t="n">
        <v>441</v>
      </c>
      <c r="D44" s="59" t="n">
        <v>452</v>
      </c>
      <c r="E44" s="59" t="n">
        <v>463</v>
      </c>
      <c r="F44" s="59" t="n">
        <v>474</v>
      </c>
      <c r="G44" s="59" t="n">
        <v>485</v>
      </c>
      <c r="H44" s="59" t="n">
        <v>496</v>
      </c>
      <c r="I44" s="59" t="n">
        <v>507</v>
      </c>
      <c r="J44" s="59" t="n">
        <v>518</v>
      </c>
      <c r="K44" s="59" t="n">
        <v>529</v>
      </c>
      <c r="L44" s="59" t="n">
        <v>540</v>
      </c>
      <c r="M44" s="68" t="n">
        <v>551</v>
      </c>
      <c r="N44" s="118">
        <f>SUM(B44:M44)</f>
        <v/>
      </c>
    </row>
    <row r="45">
      <c r="A45" s="67" t="inlineStr">
        <is>
          <t> </t>
        </is>
      </c>
      <c r="B45" s="58" t="n">
        <v>437</v>
      </c>
      <c r="C45" s="59" t="n">
        <v>448</v>
      </c>
      <c r="D45" s="59" t="n">
        <v>459</v>
      </c>
      <c r="E45" s="59" t="n">
        <v>470</v>
      </c>
      <c r="F45" s="59" t="n">
        <v>481</v>
      </c>
      <c r="G45" s="59" t="n">
        <v>492</v>
      </c>
      <c r="H45" s="59" t="n">
        <v>503</v>
      </c>
      <c r="I45" s="59" t="n">
        <v>514</v>
      </c>
      <c r="J45" s="59" t="n">
        <v>525</v>
      </c>
      <c r="K45" s="59" t="n">
        <v>536</v>
      </c>
      <c r="L45" s="59" t="n">
        <v>547</v>
      </c>
      <c r="M45" s="68" t="n">
        <v>558</v>
      </c>
      <c r="N45" s="118">
        <f>SUM(B45:M45)</f>
        <v/>
      </c>
    </row>
    <row r="46">
      <c r="A46" s="67" t="inlineStr">
        <is>
          <t> </t>
        </is>
      </c>
      <c r="B46" s="58" t="n">
        <v>444</v>
      </c>
      <c r="C46" s="59" t="n">
        <v>455</v>
      </c>
      <c r="D46" s="59" t="n">
        <v>466</v>
      </c>
      <c r="E46" s="59" t="n">
        <v>477</v>
      </c>
      <c r="F46" s="59" t="n">
        <v>488</v>
      </c>
      <c r="G46" s="59" t="n">
        <v>499</v>
      </c>
      <c r="H46" s="59" t="n">
        <v>510</v>
      </c>
      <c r="I46" s="59" t="n">
        <v>521</v>
      </c>
      <c r="J46" s="59" t="n">
        <v>532</v>
      </c>
      <c r="K46" s="59" t="n">
        <v>543</v>
      </c>
      <c r="L46" s="59" t="n">
        <v>554</v>
      </c>
      <c r="M46" s="68" t="n">
        <v>565</v>
      </c>
      <c r="N46" s="118">
        <f>SUM(B46:M46)</f>
        <v/>
      </c>
    </row>
    <row r="47">
      <c r="A47" s="67" t="inlineStr">
        <is>
          <t> </t>
        </is>
      </c>
      <c r="B47" s="58" t="n">
        <v>451</v>
      </c>
      <c r="C47" s="59" t="n">
        <v>462</v>
      </c>
      <c r="D47" s="59" t="n">
        <v>473</v>
      </c>
      <c r="E47" s="59" t="n">
        <v>484</v>
      </c>
      <c r="F47" s="59" t="n">
        <v>495</v>
      </c>
      <c r="G47" s="59" t="n">
        <v>506</v>
      </c>
      <c r="H47" s="59" t="n">
        <v>517</v>
      </c>
      <c r="I47" s="59" t="n">
        <v>528</v>
      </c>
      <c r="J47" s="59" t="n">
        <v>539</v>
      </c>
      <c r="K47" s="59" t="n">
        <v>550</v>
      </c>
      <c r="L47" s="59" t="n">
        <v>561</v>
      </c>
      <c r="M47" s="68" t="n">
        <v>572</v>
      </c>
      <c r="N47" s="118">
        <f>SUM(B47:M47)</f>
        <v/>
      </c>
    </row>
    <row r="48">
      <c r="A48" s="69" t="inlineStr">
        <is>
          <t> </t>
        </is>
      </c>
      <c r="B48" s="58" t="n">
        <v>458</v>
      </c>
      <c r="C48" s="59" t="n">
        <v>469</v>
      </c>
      <c r="D48" s="59" t="n">
        <v>480</v>
      </c>
      <c r="E48" s="59" t="n">
        <v>491</v>
      </c>
      <c r="F48" s="59" t="n">
        <v>502</v>
      </c>
      <c r="G48" s="59" t="n">
        <v>513</v>
      </c>
      <c r="H48" s="59" t="n">
        <v>524</v>
      </c>
      <c r="I48" s="59" t="n">
        <v>535</v>
      </c>
      <c r="J48" s="59" t="n">
        <v>546</v>
      </c>
      <c r="K48" s="59" t="n">
        <v>557</v>
      </c>
      <c r="L48" s="59" t="n">
        <v>568</v>
      </c>
      <c r="M48" s="68" t="n">
        <v>579</v>
      </c>
      <c r="N48" s="118">
        <f>SUM(B48:M48)</f>
        <v/>
      </c>
    </row>
    <row r="49">
      <c r="A49" s="69" t="inlineStr">
        <is>
          <t> </t>
        </is>
      </c>
      <c r="B49" s="58" t="n">
        <v>465</v>
      </c>
      <c r="C49" s="59" t="n">
        <v>476</v>
      </c>
      <c r="D49" s="59" t="n">
        <v>487</v>
      </c>
      <c r="E49" s="59" t="n">
        <v>498</v>
      </c>
      <c r="F49" s="59" t="n">
        <v>509</v>
      </c>
      <c r="G49" s="59" t="n">
        <v>520</v>
      </c>
      <c r="H49" s="59" t="n">
        <v>531</v>
      </c>
      <c r="I49" s="59" t="n">
        <v>542</v>
      </c>
      <c r="J49" s="59" t="n">
        <v>553</v>
      </c>
      <c r="K49" s="59" t="n">
        <v>564</v>
      </c>
      <c r="L49" s="59" t="n">
        <v>575</v>
      </c>
      <c r="M49" s="68" t="n">
        <v>586</v>
      </c>
      <c r="N49" s="118">
        <f>SUM(B49:M49)</f>
        <v/>
      </c>
    </row>
    <row r="50">
      <c r="A50" s="69" t="inlineStr">
        <is>
          <t> </t>
        </is>
      </c>
      <c r="B50" s="58" t="n">
        <v>472</v>
      </c>
      <c r="C50" s="59" t="n">
        <v>483</v>
      </c>
      <c r="D50" s="59" t="n">
        <v>494</v>
      </c>
      <c r="E50" s="59" t="n">
        <v>505</v>
      </c>
      <c r="F50" s="59" t="n">
        <v>516</v>
      </c>
      <c r="G50" s="59" t="n">
        <v>527</v>
      </c>
      <c r="H50" s="59" t="n">
        <v>538</v>
      </c>
      <c r="I50" s="59" t="n">
        <v>549</v>
      </c>
      <c r="J50" s="59" t="n">
        <v>560</v>
      </c>
      <c r="K50" s="59" t="n">
        <v>571</v>
      </c>
      <c r="L50" s="59" t="n">
        <v>582</v>
      </c>
      <c r="M50" s="68" t="n">
        <v>593</v>
      </c>
      <c r="N50" s="118">
        <f>SUM(B50:M50)</f>
        <v/>
      </c>
    </row>
    <row r="51">
      <c r="A51" s="30" t="inlineStr">
        <is>
          <t> </t>
        </is>
      </c>
      <c r="B51" s="6" t="n">
        <v>479</v>
      </c>
      <c r="C51" s="7" t="n">
        <v>490</v>
      </c>
      <c r="D51" s="7" t="n">
        <v>501</v>
      </c>
      <c r="E51" s="7" t="n">
        <v>512</v>
      </c>
      <c r="F51" s="7" t="n">
        <v>523</v>
      </c>
      <c r="G51" s="7" t="n">
        <v>534</v>
      </c>
      <c r="H51" s="7" t="n">
        <v>545</v>
      </c>
      <c r="I51" s="7" t="n">
        <v>556</v>
      </c>
      <c r="J51" s="7" t="n">
        <v>567</v>
      </c>
      <c r="K51" s="7" t="n">
        <v>578</v>
      </c>
      <c r="L51" s="7" t="n">
        <v>589</v>
      </c>
      <c r="M51" s="17" t="n">
        <v>600</v>
      </c>
      <c r="N51" s="118">
        <f>SUM(B51:M51)</f>
        <v/>
      </c>
    </row>
    <row r="52" ht="14" customHeight="1" thickBot="1">
      <c r="A52" s="31" t="inlineStr">
        <is>
          <t xml:space="preserve"> Total Cash Outflows</t>
        </is>
      </c>
      <c r="B52" s="119">
        <f>SUM(B30:B51)</f>
        <v/>
      </c>
      <c r="C52" s="120">
        <f>SUM(C30:C51)</f>
        <v/>
      </c>
      <c r="D52" s="120">
        <f>SUM(D30:D51)</f>
        <v/>
      </c>
      <c r="E52" s="120">
        <f>SUM(E30:E51)</f>
        <v/>
      </c>
      <c r="F52" s="120">
        <f>SUM(F30:F51)</f>
        <v/>
      </c>
      <c r="G52" s="120">
        <f>SUM(G30:G51)</f>
        <v/>
      </c>
      <c r="H52" s="120">
        <f>SUM(H30:H51)</f>
        <v/>
      </c>
      <c r="I52" s="120">
        <f>SUM(I30:I51)</f>
        <v/>
      </c>
      <c r="J52" s="120">
        <f>SUM(J30:J51)</f>
        <v/>
      </c>
      <c r="K52" s="120">
        <f>SUM(K30:K51)</f>
        <v/>
      </c>
      <c r="L52" s="120">
        <f>SUM(L30:L51)</f>
        <v/>
      </c>
      <c r="M52" s="121">
        <f>SUM(M30:M51)</f>
        <v/>
      </c>
      <c r="N52" s="122">
        <f>SUM(B52:M52)</f>
        <v/>
      </c>
    </row>
    <row r="53" ht="14" customHeight="1" thickBot="1">
      <c r="A53" s="32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14" customHeight="1" thickBot="1">
      <c r="A54" s="74" t="n"/>
      <c r="B54" s="93" t="inlineStr">
        <is>
          <t> </t>
        </is>
      </c>
      <c r="C54" s="94" t="inlineStr">
        <is>
          <t> </t>
        </is>
      </c>
      <c r="D54" s="94" t="n"/>
      <c r="E54" s="94" t="n"/>
      <c r="F54" s="105" t="inlineStr">
        <is>
          <t>Individual Time Periods</t>
        </is>
      </c>
      <c r="G54" s="95" t="n"/>
      <c r="H54" s="96" t="n"/>
      <c r="I54" s="95" t="n"/>
      <c r="J54" s="95" t="n"/>
      <c r="K54" s="95" t="n"/>
      <c r="L54" s="94" t="inlineStr">
        <is>
          <t> </t>
        </is>
      </c>
      <c r="M54" s="97" t="inlineStr">
        <is>
          <t> </t>
        </is>
      </c>
      <c r="N54" s="81" t="inlineStr">
        <is>
          <t xml:space="preserve">Total for </t>
        </is>
      </c>
    </row>
    <row r="55" ht="15" customHeight="1" thickBot="1">
      <c r="A55" s="75" t="inlineStr">
        <is>
          <t xml:space="preserve"> SUMMARY</t>
        </is>
      </c>
      <c r="B55" s="128">
        <f>B29</f>
        <v/>
      </c>
      <c r="C55" s="128">
        <f>C29</f>
        <v/>
      </c>
      <c r="D55" s="128">
        <f>D29</f>
        <v/>
      </c>
      <c r="E55" s="128">
        <f>E29</f>
        <v/>
      </c>
      <c r="F55" s="128">
        <f>F29</f>
        <v/>
      </c>
      <c r="G55" s="128">
        <f>G29</f>
        <v/>
      </c>
      <c r="H55" s="128">
        <f>H29</f>
        <v/>
      </c>
      <c r="I55" s="128">
        <f>I29</f>
        <v/>
      </c>
      <c r="J55" s="128">
        <f>J29</f>
        <v/>
      </c>
      <c r="K55" s="128">
        <f>K29</f>
        <v/>
      </c>
      <c r="L55" s="128">
        <f>L29</f>
        <v/>
      </c>
      <c r="M55" s="128">
        <f>M29</f>
        <v/>
      </c>
      <c r="N55" s="99" t="inlineStr">
        <is>
          <t>All Periods</t>
        </is>
      </c>
    </row>
    <row r="56">
      <c r="A56" s="33" t="inlineStr">
        <is>
          <t xml:space="preserve"> Net Cash Flow</t>
        </is>
      </c>
      <c r="B56" s="129">
        <f>B25-B52</f>
        <v/>
      </c>
      <c r="C56" s="130">
        <f>C26-C52</f>
        <v/>
      </c>
      <c r="D56" s="130">
        <f>D26-D52</f>
        <v/>
      </c>
      <c r="E56" s="130">
        <f>E26-E52</f>
        <v/>
      </c>
      <c r="F56" s="130">
        <f>F26-F52</f>
        <v/>
      </c>
      <c r="G56" s="130">
        <f>G26-G52</f>
        <v/>
      </c>
      <c r="H56" s="130">
        <f>H26-H52</f>
        <v/>
      </c>
      <c r="I56" s="130">
        <f>I26-I52</f>
        <v/>
      </c>
      <c r="J56" s="130">
        <f>J26-J52</f>
        <v/>
      </c>
      <c r="K56" s="130">
        <f>K26-K52</f>
        <v/>
      </c>
      <c r="L56" s="130">
        <f>L26-L52</f>
        <v/>
      </c>
      <c r="M56" s="131">
        <f>M26-M52</f>
        <v/>
      </c>
      <c r="N56" s="132">
        <f>N26-N52</f>
        <v/>
      </c>
    </row>
    <row r="57">
      <c r="A57" s="34" t="inlineStr">
        <is>
          <t xml:space="preserve"> Beginning cash balance</t>
        </is>
      </c>
      <c r="B57" s="126" t="n">
        <v>321</v>
      </c>
      <c r="C57" s="4" t="inlineStr">
        <is>
          <t> </t>
        </is>
      </c>
      <c r="D57" s="4" t="n"/>
      <c r="E57" s="4" t="n"/>
      <c r="F57" s="4" t="n"/>
      <c r="G57" s="4" t="inlineStr">
        <is>
          <t> </t>
        </is>
      </c>
      <c r="H57" s="4" t="inlineStr">
        <is>
          <t> </t>
        </is>
      </c>
      <c r="I57" s="4" t="n"/>
      <c r="J57" s="4" t="n"/>
      <c r="K57" s="4" t="n"/>
      <c r="L57" s="4" t="inlineStr">
        <is>
          <t> </t>
        </is>
      </c>
      <c r="M57" s="4" t="inlineStr">
        <is>
          <t> </t>
        </is>
      </c>
      <c r="N57" s="133">
        <f>B57</f>
        <v/>
      </c>
    </row>
    <row r="58" ht="14" customHeight="1" thickBot="1">
      <c r="A58" s="31" t="inlineStr">
        <is>
          <t xml:space="preserve"> Cumulative Net Cash Flow</t>
        </is>
      </c>
      <c r="B58" s="134">
        <f>B56+B57</f>
        <v/>
      </c>
      <c r="C58" s="135">
        <f>B58+C56</f>
        <v/>
      </c>
      <c r="D58" s="135">
        <f>C58+D56</f>
        <v/>
      </c>
      <c r="E58" s="135">
        <f>D58+E56</f>
        <v/>
      </c>
      <c r="F58" s="135">
        <f>E58+F56</f>
        <v/>
      </c>
      <c r="G58" s="135">
        <f>F58+G56</f>
        <v/>
      </c>
      <c r="H58" s="135">
        <f>G58+H56</f>
        <v/>
      </c>
      <c r="I58" s="135">
        <f>H58+I56</f>
        <v/>
      </c>
      <c r="J58" s="135">
        <f>I58+J56</f>
        <v/>
      </c>
      <c r="K58" s="135">
        <f>J58+K56</f>
        <v/>
      </c>
      <c r="L58" s="135">
        <f>K58+L56</f>
        <v/>
      </c>
      <c r="M58" s="136">
        <f>L58+M56</f>
        <v/>
      </c>
      <c r="N58" s="137">
        <f>N57+N56</f>
        <v/>
      </c>
    </row>
    <row r="59" ht="27.75" customFormat="1" customHeight="1" s="24">
      <c r="A59" s="100" t="inlineStr">
        <is>
          <t>Version 1.2_112025</t>
        </is>
      </c>
      <c r="B59" s="23" t="n"/>
      <c r="C59" s="23" t="n"/>
    </row>
    <row r="60" customFormat="1" s="24">
      <c r="A60" s="35" t="inlineStr">
        <is>
          <t>Author: Don Hofstrand</t>
        </is>
      </c>
    </row>
    <row r="61" customFormat="1" s="24">
      <c r="A61" s="36" t="inlineStr">
        <is>
          <t>Date Printed:</t>
        </is>
      </c>
    </row>
    <row r="62" customFormat="1" s="2">
      <c r="A62" s="45">
        <f>TODAY()</f>
        <v/>
      </c>
      <c r="B62" s="45" t="n"/>
      <c r="F62" s="25" t="n"/>
    </row>
    <row r="63">
      <c r="A63" s="40" t="inlineStr">
        <is>
          <t xml:space="preserve">This institution is an equal opportunity provider. For the full non-discrimination statement or accommodation inquiries, go to www.extension.iastate.edu/legal.
</t>
        </is>
      </c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3" r:id="rId1"/>
    <hyperlink xmlns:r="http://schemas.openxmlformats.org/officeDocument/2006/relationships" ref="B3" display="An Information File is available to help you understand cash flow budgeting." r:id="rId2"/>
    <hyperlink xmlns:r="http://schemas.openxmlformats.org/officeDocument/2006/relationships" ref="C3" display="An Information File is available to help you understand cash flow budgeting." r:id="rId3"/>
    <hyperlink xmlns:r="http://schemas.openxmlformats.org/officeDocument/2006/relationships" ref="D3" display="An Information File is available to help you understand cash flow budgeting." r:id="rId4"/>
    <hyperlink xmlns:r="http://schemas.openxmlformats.org/officeDocument/2006/relationships" ref="A60" r:id="rId5"/>
    <hyperlink xmlns:r="http://schemas.openxmlformats.org/officeDocument/2006/relationships" ref="A63" display="https://www.extension.iastate.edu/legal" r:id="rId6"/>
  </hyperlinks>
  <pageMargins left="0.75" right="0.75" top="0.75" bottom="0.75" header="0.5" footer="0.5"/>
  <pageSetup orientation="landscape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ISU_AgDM</dc:creator>
  <dc:title>C3-14 Cash Flow Budget</dc:title>
  <dcterms:created xsi:type="dcterms:W3CDTF">2006-03-21T15:23:47Z</dcterms:created>
  <dcterms:modified xsi:type="dcterms:W3CDTF">2026-10-18T07:46:32Z</dcterms:modified>
  <cp:lastModifiedBy>Jarvinen, Liisa</cp:lastModifiedBy>
  <cp:lastPrinted>2021-04-09T18:23:28Z</cp:lastPrinted>
</cp:coreProperties>
</file>