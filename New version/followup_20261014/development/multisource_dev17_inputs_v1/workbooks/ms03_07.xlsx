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SUM(AB12:AB15)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('Input Assumptions'!$D$35+'Input Assumptions'!$D$36)*Q33*TBA!P14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>
        <f>'Input Assumptions'!$D$15*(1+'Input Assumptions'!$D$17)^(SUM(TBA!$D$10:'TBA'!R10)-1)*TBA!R10</f>
        <v/>
      </c>
      <c r="T8" s="33">
        <f>'Input Assumptions'!$D$15*(1+'Input Assumptions'!$D$17)^(SUM(TBA!$D$10:'TBA'!S10)-1)*TBA!S10</f>
        <v/>
      </c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>
        <f>K12*(1+'Input Assumptions'!$D$18)^(K2-$E$2)</f>
        <v/>
      </c>
      <c r="L14" s="37">
        <f>L12*(1+'Input Assumptions'!$D$18)^(L2-$E$2)</f>
        <v/>
      </c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>
        <f>'Input Assumptions'!$D$29/1000*(1+'Input Assumptions'!$D$31)^(AC2-$E$2)*TBA!AB10</f>
        <v/>
      </c>
      <c r="AD20" s="33">
        <f>'Input Assumptions'!$D$29/1000*(1+'Input Assumptions'!$D$31)^(AD2-$E$2)*TBA!AC10</f>
        <v/>
      </c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>
        <f>SUM(M19:M20)</f>
        <v/>
      </c>
      <c r="N21" s="37">
        <f>SUM(N19:N20)</f>
        <v/>
      </c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S17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(X11)*1.1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SUM(F8:F10)*1.1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SUM(AR8:AR10)*1.1</f>
        <v/>
      </c>
      <c r="AS11" s="60">
        <f>SUM(AS8:AS10)</f>
        <v/>
      </c>
    </row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min="47" max="47"/>
    <col hidden="1" width="9" customWidth="1" min="48" max="16384"/>
  </cols>
  <sheetData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-Operation!AO21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Amortization!AI13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>
        <f>IF(AS21&lt;0,0,-'Input Assumptions'!$D$44*'P&amp;L'!AS21)</f>
        <v/>
      </c>
    </row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SUM(R8:R13)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L19+L21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>
        <f>AR25+AS23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>
        <f>'P&amp;L'!F25+CFS!F21+'Balance Sheet'!E14</f>
        <v/>
      </c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-Construction!AH14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SUM(AC8:AC11)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-Operation!X21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>
        <f>'P&amp;L'!F23</f>
        <v/>
      </c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2026-10-18T07:46:33Z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