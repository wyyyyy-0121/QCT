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3" yWindow="-93" windowWidth="21786" windowHeight="13986" tabRatio="600" firstSheet="3" activeTab="3" autoFilterDateGrouping="1"/>
  </bookViews>
  <sheets>
    <sheet name="Input Assumptions" sheetId="1" state="visible" r:id="rId1"/>
    <sheet name="TBA" sheetId="2" state="visible" r:id="rId2"/>
    <sheet name="Construction" sheetId="3" state="visible" r:id="rId3"/>
    <sheet name="Operation" sheetId="4" state="visible" r:id="rId4"/>
    <sheet name="Amortization" sheetId="5" state="visible" r:id="rId5"/>
    <sheet name="Debt" sheetId="6" state="visible" r:id="rId6"/>
    <sheet name="P&amp;L" sheetId="7" state="visible" r:id="rId7"/>
    <sheet name="CFS" sheetId="8" state="visible" r:id="rId8"/>
    <sheet name="Balance Sheet" sheetId="9" state="visible" r:id="rId9"/>
    <sheet name="Ratios" sheetId="10" state="visible" r:id="rId10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rgb="FF0000FF"/>
      <sz val="11"/>
      <scheme val="minor"/>
    </font>
    <font>
      <name val="Calibri"/>
      <family val="2"/>
      <b val="1"/>
      <i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7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2" fillId="2" borderId="1" pivotButton="0" quotePrefix="0" xfId="0"/>
    <xf numFmtId="0" fontId="0" fillId="2" borderId="2" pivotButton="0" quotePrefix="0" xfId="0"/>
    <xf numFmtId="0" fontId="3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38" fontId="5" fillId="2" borderId="0" applyAlignment="1" pivotButton="0" quotePrefix="0" xfId="0">
      <alignment horizontal="center"/>
    </xf>
    <xf numFmtId="164" fontId="5" fillId="2" borderId="0" applyAlignment="1" pivotButton="0" quotePrefix="0" xfId="1">
      <alignment horizontal="center"/>
    </xf>
    <xf numFmtId="0" fontId="2" fillId="0" borderId="3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38" fontId="0" fillId="2" borderId="0" applyAlignment="1" pivotButton="0" quotePrefix="0" xfId="0">
      <alignment horizontal="center"/>
    </xf>
    <xf numFmtId="164" fontId="0" fillId="2" borderId="0" applyAlignment="1" pivotButton="0" quotePrefix="0" xfId="1">
      <alignment horizontal="center"/>
    </xf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" borderId="2" pivotButton="0" quotePrefix="0" xfId="0"/>
    <xf numFmtId="0" fontId="2" fillId="2" borderId="2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0" fillId="0" borderId="2" pivotButton="0" quotePrefix="0" xfId="0"/>
    <xf numFmtId="0" fontId="0" fillId="2" borderId="6" pivotButton="0" quotePrefix="0" xfId="0"/>
    <xf numFmtId="0" fontId="0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0" borderId="7" pivotButton="0" quotePrefix="0" xfId="0"/>
    <xf numFmtId="0" fontId="2" fillId="2" borderId="7" pivotButton="0" quotePrefix="0" xfId="0"/>
    <xf numFmtId="38" fontId="0" fillId="0" borderId="0" pivotButton="0" quotePrefix="0" xfId="0"/>
    <xf numFmtId="38" fontId="0" fillId="0" borderId="0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38" fontId="2" fillId="2" borderId="7" applyAlignment="1" pivotButton="0" quotePrefix="0" xfId="0">
      <alignment horizontal="center"/>
    </xf>
    <xf numFmtId="0" fontId="2" fillId="2" borderId="7" applyAlignment="1" pivotButton="0" quotePrefix="0" xfId="0">
      <alignment vertical="center"/>
    </xf>
    <xf numFmtId="38" fontId="2" fillId="2" borderId="7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12" pivotButton="0" quotePrefix="0" xfId="0"/>
    <xf numFmtId="38" fontId="5" fillId="0" borderId="0" applyAlignment="1" pivotButton="0" quotePrefix="0" xfId="0">
      <alignment horizontal="center"/>
    </xf>
    <xf numFmtId="38" fontId="0" fillId="0" borderId="9" applyAlignment="1" pivotButton="0" quotePrefix="0" xfId="0">
      <alignment horizontal="center"/>
    </xf>
    <xf numFmtId="38" fontId="0" fillId="0" borderId="11" applyAlignment="1" pivotButton="0" quotePrefix="0" xfId="0">
      <alignment horizontal="center"/>
    </xf>
    <xf numFmtId="38" fontId="0" fillId="0" borderId="13" applyAlignment="1" pivotButton="0" quotePrefix="0" xfId="0">
      <alignment horizontal="center"/>
    </xf>
    <xf numFmtId="0" fontId="2" fillId="2" borderId="3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2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vertical="center"/>
    </xf>
    <xf numFmtId="0" fontId="0" fillId="2" borderId="2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38" fontId="2" fillId="2" borderId="2" applyAlignment="1" pivotButton="0" quotePrefix="0" xfId="0">
      <alignment horizontal="center"/>
    </xf>
    <xf numFmtId="38" fontId="2" fillId="2" borderId="6" applyAlignment="1" pivotButton="0" quotePrefix="0" xfId="0">
      <alignment horizontal="center"/>
    </xf>
    <xf numFmtId="38" fontId="0" fillId="2" borderId="2" applyAlignment="1" pivotButton="0" quotePrefix="0" xfId="0">
      <alignment horizontal="center"/>
    </xf>
    <xf numFmtId="38" fontId="0" fillId="2" borderId="6" applyAlignment="1" pivotButton="0" quotePrefix="0" xfId="0">
      <alignment horizontal="center"/>
    </xf>
    <xf numFmtId="38" fontId="0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6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/>
    </xf>
    <xf numFmtId="38" fontId="2" fillId="0" borderId="2" applyAlignment="1" pivotButton="0" quotePrefix="0" xfId="0">
      <alignment horizontal="center"/>
    </xf>
    <xf numFmtId="38" fontId="0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2" fillId="0" borderId="3" pivotButton="0" quotePrefix="0" xfId="0"/>
    <xf numFmtId="0" fontId="2" fillId="0" borderId="4" applyAlignment="1" pivotButton="0" quotePrefix="0" xfId="0">
      <alignment horizontal="center"/>
    </xf>
    <xf numFmtId="0" fontId="0" fillId="0" borderId="4" pivotButton="0" quotePrefix="0" xfId="0"/>
    <xf numFmtId="164" fontId="2" fillId="0" borderId="5" applyAlignment="1" pivotButton="0" quotePrefix="0" xfId="0">
      <alignment horizontal="center"/>
    </xf>
    <xf numFmtId="38" fontId="0" fillId="0" borderId="7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</cellXfs>
  <cellStyles count="2">
    <cellStyle name="Normal" xfId="0" builtinId="0"/>
    <cellStyle name="Percent" xfId="1" builtinId="5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R45"/>
  <sheetViews>
    <sheetView showGridLines="0" zoomScale="90" zoomScaleNormal="90" workbookViewId="0">
      <selection activeCell="D3" sqref="D3"/>
    </sheetView>
  </sheetViews>
  <sheetFormatPr baseColWidth="8" defaultColWidth="0" defaultRowHeight="14.45"/>
  <cols>
    <col width="9" customWidth="1" min="1" max="1"/>
    <col width="48.85546875" customWidth="1" min="2" max="2"/>
    <col width="11.42578125" customWidth="1" style="6" min="3" max="3"/>
    <col width="15.7109375" customWidth="1" style="9" min="4" max="4"/>
    <col width="9" customWidth="1" min="5" max="5"/>
    <col width="13.5703125" customWidth="1" style="9" min="6" max="6"/>
    <col width="13.28515625" customWidth="1" style="9" min="7" max="8"/>
    <col width="14.28515625" customWidth="1" style="9" min="9" max="9"/>
    <col width="10.7109375" customWidth="1" style="9" min="10" max="15"/>
    <col width="9" customWidth="1" min="16" max="18"/>
    <col hidden="1" width="9" customWidth="1" min="19" max="16384"/>
  </cols>
  <sheetData>
    <row r="2" ht="14.65" customHeight="1" thickBot="1">
      <c r="F2" s="9" t="inlineStr">
        <is>
          <t>Base Case</t>
        </is>
      </c>
      <c r="G2" s="9" t="inlineStr">
        <is>
          <t>Scenario 2</t>
        </is>
      </c>
      <c r="H2" s="9" t="inlineStr">
        <is>
          <t>Gearing+</t>
        </is>
      </c>
      <c r="I2" s="9" t="inlineStr">
        <is>
          <t>Scenario 4</t>
        </is>
      </c>
      <c r="J2" s="9" t="inlineStr">
        <is>
          <t>Scenario 5</t>
        </is>
      </c>
      <c r="K2" s="9" t="inlineStr">
        <is>
          <t>Scenario 6</t>
        </is>
      </c>
      <c r="L2" s="9" t="inlineStr">
        <is>
          <t>Scenario 7</t>
        </is>
      </c>
      <c r="M2" s="9" t="inlineStr">
        <is>
          <t>Scenario 8</t>
        </is>
      </c>
      <c r="N2" s="9" t="inlineStr">
        <is>
          <t>Scenario 9</t>
        </is>
      </c>
      <c r="O2" s="9" t="inlineStr">
        <is>
          <t>Scenario 10</t>
        </is>
      </c>
    </row>
    <row r="3" ht="19.35" customHeight="1" thickBot="1">
      <c r="B3" s="14" t="inlineStr">
        <is>
          <t>Scenario Chosen</t>
        </is>
      </c>
      <c r="C3" s="15" t="n"/>
      <c r="D3" s="16" t="n">
        <v>1</v>
      </c>
      <c r="F3" s="9" t="n">
        <v>1</v>
      </c>
      <c r="G3" s="9" t="n">
        <v>2</v>
      </c>
      <c r="H3" s="9" t="n">
        <v>3</v>
      </c>
      <c r="I3" s="9" t="n">
        <v>4</v>
      </c>
      <c r="J3" s="9" t="n">
        <v>5</v>
      </c>
      <c r="K3" s="9" t="n">
        <v>6</v>
      </c>
      <c r="L3" s="9" t="n">
        <v>7</v>
      </c>
      <c r="M3" s="9" t="n">
        <v>8</v>
      </c>
      <c r="N3" s="9" t="n">
        <v>9</v>
      </c>
      <c r="O3" s="9" t="n">
        <v>10</v>
      </c>
    </row>
    <row r="5">
      <c r="C5" s="6" t="inlineStr">
        <is>
          <t>Units</t>
        </is>
      </c>
      <c r="D5" s="6" t="inlineStr">
        <is>
          <t>Values</t>
        </is>
      </c>
    </row>
    <row r="6" customFormat="1" s="5">
      <c r="B6" s="4" t="inlineStr">
        <is>
          <t>TIME ASSUMPTIONS</t>
        </is>
      </c>
      <c r="C6" s="7" t="n"/>
      <c r="D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8">
      <c r="B8" t="inlineStr">
        <is>
          <t>Concession Duration</t>
        </is>
      </c>
      <c r="C8" s="6" t="inlineStr">
        <is>
          <t>years</t>
        </is>
      </c>
      <c r="D8" s="10">
        <f>INDEX(F8:O8,$D$3)</f>
        <v/>
      </c>
      <c r="F8" s="11" t="n">
        <v>40</v>
      </c>
      <c r="G8" s="11" t="n">
        <v>36.5</v>
      </c>
      <c r="H8" s="11" t="n">
        <v>38</v>
      </c>
      <c r="I8" s="11" t="n">
        <v>35.5</v>
      </c>
      <c r="J8" s="10" t="n"/>
      <c r="K8" s="10" t="n"/>
      <c r="L8" s="10" t="n"/>
      <c r="M8" s="10" t="n"/>
      <c r="N8" s="10" t="n"/>
      <c r="O8" s="10" t="n"/>
      <c r="P8" s="3" t="n"/>
      <c r="Q8" s="3" t="n"/>
      <c r="R8" s="3" t="n"/>
    </row>
    <row r="9">
      <c r="B9" t="inlineStr">
        <is>
          <t>Construction Duration</t>
        </is>
      </c>
      <c r="C9" s="6" t="inlineStr">
        <is>
          <t>years</t>
        </is>
      </c>
      <c r="D9" s="10">
        <f>INDEX(F9:O9,$D$3)</f>
        <v/>
      </c>
      <c r="F9" s="11" t="n">
        <v>4</v>
      </c>
      <c r="G9" s="11" t="n">
        <v>4</v>
      </c>
      <c r="H9" s="11" t="n">
        <v>4</v>
      </c>
      <c r="I9" s="11" t="n">
        <v>4</v>
      </c>
      <c r="J9" s="10" t="n"/>
      <c r="K9" s="10" t="n"/>
      <c r="L9" s="10" t="n"/>
      <c r="M9" s="10" t="n"/>
      <c r="N9" s="10" t="n"/>
      <c r="O9" s="10" t="n"/>
      <c r="P9" s="3" t="n"/>
      <c r="Q9" s="3" t="n"/>
      <c r="R9" s="3" t="n"/>
    </row>
    <row r="10">
      <c r="B10" t="inlineStr">
        <is>
          <t>Operations Duration</t>
        </is>
      </c>
      <c r="C10" s="6" t="inlineStr">
        <is>
          <t>years</t>
        </is>
      </c>
      <c r="D10" s="10">
        <f>INDEX(F10:O10,$D$3)</f>
        <v/>
      </c>
      <c r="F10" s="11" t="n">
        <v>36</v>
      </c>
      <c r="G10" s="11" t="n">
        <v>36</v>
      </c>
      <c r="H10" s="11" t="n">
        <v>36</v>
      </c>
      <c r="I10" s="11" t="n">
        <v>36</v>
      </c>
      <c r="J10" s="10" t="n"/>
      <c r="K10" s="10" t="n"/>
      <c r="L10" s="10" t="n"/>
      <c r="M10" s="10" t="n"/>
      <c r="N10" s="10" t="n"/>
      <c r="O10" s="10" t="n"/>
      <c r="P10" s="3" t="n"/>
      <c r="Q10" s="3" t="n"/>
      <c r="R10" s="3" t="n"/>
    </row>
    <row r="12" customFormat="1" s="5">
      <c r="B12" s="4" t="inlineStr">
        <is>
          <t>TRAFFIC &amp; REVENUE ASSUMPTIONS</t>
        </is>
      </c>
      <c r="C12" s="7" t="n"/>
      <c r="D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4">
      <c r="B14" t="inlineStr">
        <is>
          <t>Traffic - Passenger Car (PC)</t>
        </is>
      </c>
      <c r="C14" s="6" t="inlineStr">
        <is>
          <t>veh/year</t>
        </is>
      </c>
      <c r="D14" s="17">
        <f>INDEX(F14:O14,$D$3)</f>
        <v/>
      </c>
      <c r="F14" s="12" t="n">
        <v>3125000</v>
      </c>
      <c r="G14" s="12" t="n">
        <v>2500000</v>
      </c>
      <c r="H14" s="12" t="n">
        <v>3125000</v>
      </c>
      <c r="I14" s="12" t="n">
        <v>1990000</v>
      </c>
      <c r="J14" s="10" t="n"/>
      <c r="K14" s="10" t="n"/>
      <c r="L14" s="10" t="n"/>
      <c r="M14" s="10" t="n"/>
      <c r="N14" s="10" t="n"/>
      <c r="O14" s="10" t="n"/>
      <c r="P14" s="3" t="n"/>
      <c r="Q14" s="3" t="n"/>
      <c r="R14" s="3" t="n"/>
    </row>
    <row r="15">
      <c r="B15" t="inlineStr">
        <is>
          <t>Traffic - Heavy Vehicule (HV)</t>
        </is>
      </c>
      <c r="C15" s="6" t="inlineStr">
        <is>
          <t>veh/year</t>
        </is>
      </c>
      <c r="D15" s="17">
        <f>INDEX(F15:O15,$D$3)</f>
        <v/>
      </c>
      <c r="F15" s="12" t="n">
        <v>2800000</v>
      </c>
      <c r="G15" s="12" t="n">
        <v>2100000</v>
      </c>
      <c r="H15" s="12" t="n">
        <v>2800000</v>
      </c>
      <c r="I15" s="12" t="n">
        <v>2390000</v>
      </c>
      <c r="J15" s="10" t="n"/>
      <c r="K15" s="10" t="n"/>
      <c r="L15" s="10" t="n"/>
      <c r="M15" s="10" t="n"/>
      <c r="N15" s="10" t="n"/>
      <c r="O15" s="10" t="n"/>
      <c r="P15" s="3" t="n"/>
      <c r="Q15" s="3" t="n"/>
      <c r="R15" s="3" t="n"/>
    </row>
    <row r="17">
      <c r="B17" t="inlineStr">
        <is>
          <t>Traffic Evolution per year (PC &amp; HV)</t>
        </is>
      </c>
      <c r="C17" s="6" t="inlineStr">
        <is>
          <t>%</t>
        </is>
      </c>
      <c r="D17" s="18">
        <f>INDEX(F17:O17,$D$3)</f>
        <v/>
      </c>
      <c r="F17" s="13" t="n">
        <v>0.02</v>
      </c>
      <c r="G17" s="13" t="n">
        <v>0.01</v>
      </c>
      <c r="H17" s="13" t="n">
        <v>0.02</v>
      </c>
      <c r="I17" s="13" t="n">
        <v>0.02</v>
      </c>
      <c r="J17" s="10" t="n"/>
      <c r="K17" s="10" t="n"/>
      <c r="L17" s="10" t="n"/>
      <c r="M17" s="10" t="n"/>
      <c r="N17" s="10" t="n"/>
      <c r="O17" s="10" t="n"/>
      <c r="P17" s="3" t="n"/>
      <c r="Q17" s="3" t="n"/>
      <c r="R17" s="3" t="n"/>
    </row>
    <row r="18">
      <c r="B18" t="inlineStr">
        <is>
          <t>Inflation per year</t>
        </is>
      </c>
      <c r="C18" s="6" t="inlineStr">
        <is>
          <t>%</t>
        </is>
      </c>
      <c r="D18" s="18">
        <f>INDEX(F18:O18,$D$3)</f>
        <v/>
      </c>
      <c r="F18" s="13" t="n">
        <v>0.04</v>
      </c>
      <c r="G18" s="13" t="n">
        <v>0.025</v>
      </c>
      <c r="H18" s="13" t="n">
        <v>0.04</v>
      </c>
      <c r="I18" s="13" t="n">
        <v>0.04</v>
      </c>
      <c r="J18" s="10" t="n"/>
      <c r="K18" s="10" t="n"/>
      <c r="L18" s="10" t="n"/>
      <c r="M18" s="10" t="n"/>
      <c r="N18" s="10" t="n"/>
      <c r="O18" s="10" t="n"/>
      <c r="P18" s="3" t="n"/>
      <c r="Q18" s="3" t="n"/>
      <c r="R18" s="3" t="n"/>
    </row>
    <row r="20">
      <c r="B20" t="inlineStr">
        <is>
          <t>Toll Rate - Passenger Car (PC)</t>
        </is>
      </c>
      <c r="C20" s="6" t="inlineStr">
        <is>
          <t>£</t>
        </is>
      </c>
      <c r="D20" s="10">
        <f>INDEX(F20:O20,$D$3)</f>
        <v/>
      </c>
      <c r="F20" s="11" t="n">
        <v>3.56</v>
      </c>
      <c r="G20" s="11" t="n">
        <v>3.56</v>
      </c>
      <c r="H20" s="11" t="n">
        <v>3.56</v>
      </c>
      <c r="I20" s="11" t="n">
        <v>3.56</v>
      </c>
      <c r="J20" s="10" t="n"/>
      <c r="K20" s="10" t="n"/>
      <c r="L20" s="10" t="n"/>
      <c r="M20" s="10" t="n"/>
      <c r="N20" s="10" t="n"/>
      <c r="O20" s="10" t="n"/>
      <c r="P20" s="3" t="n"/>
      <c r="Q20" s="3" t="n"/>
      <c r="R20" s="3" t="n"/>
    </row>
    <row r="21">
      <c r="B21" t="inlineStr">
        <is>
          <t>Toll Rate - Heavy Vehicule (HV)</t>
        </is>
      </c>
      <c r="C21" s="6" t="inlineStr">
        <is>
          <t>£</t>
        </is>
      </c>
      <c r="D21" s="10">
        <f>INDEX(F21:O21,$D$3)</f>
        <v/>
      </c>
      <c r="F21" s="11" t="n">
        <v>19.38265539099569</v>
      </c>
      <c r="G21" s="11" t="n">
        <v>13.96</v>
      </c>
      <c r="H21" s="11" t="n">
        <v>13.96</v>
      </c>
      <c r="I21" s="11" t="n">
        <v>13.96</v>
      </c>
      <c r="J21" s="10" t="n"/>
      <c r="K21" s="10" t="n"/>
      <c r="L21" s="10" t="n"/>
      <c r="M21" s="10" t="n"/>
      <c r="N21" s="10" t="n"/>
      <c r="O21" s="10" t="n"/>
      <c r="P21" s="3" t="n"/>
      <c r="Q21" s="3" t="n"/>
      <c r="R21" s="3" t="n"/>
    </row>
    <row r="23" customFormat="1" s="5">
      <c r="B23" s="4" t="inlineStr">
        <is>
          <t>COSTS DURING CONSTRUCTION</t>
        </is>
      </c>
      <c r="C23" s="7" t="n"/>
      <c r="D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5">
      <c r="B25" t="inlineStr">
        <is>
          <t>CAPEX (including SPV costs)</t>
        </is>
      </c>
      <c r="C25" s="6" t="inlineStr">
        <is>
          <t>£</t>
        </is>
      </c>
      <c r="D25" s="17">
        <f>INDEX(F25:O25,$D$3)</f>
        <v/>
      </c>
      <c r="F25" s="12" t="n">
        <v>300000000</v>
      </c>
      <c r="G25" s="12" t="n">
        <v>300000000</v>
      </c>
      <c r="H25" s="12" t="n">
        <v>300000000</v>
      </c>
      <c r="I25" s="12" t="n">
        <v>300000000</v>
      </c>
      <c r="J25" s="10" t="n"/>
      <c r="K25" s="10" t="n"/>
      <c r="L25" s="10" t="n"/>
      <c r="M25" s="10" t="n"/>
      <c r="N25" s="10" t="n"/>
      <c r="O25" s="10" t="n"/>
      <c r="P25" s="3" t="n"/>
      <c r="Q25" s="3" t="n"/>
      <c r="R25" s="3" t="n"/>
    </row>
    <row r="27" customFormat="1" s="5">
      <c r="B27" s="4" t="inlineStr">
        <is>
          <t>COSTS DURING OPERATION</t>
        </is>
      </c>
      <c r="C27" s="7" t="n"/>
      <c r="D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9">
      <c r="B29" t="inlineStr">
        <is>
          <t>Maintenance (including heavy maintenance &amp; SPV costs)</t>
        </is>
      </c>
      <c r="C29" s="6" t="inlineStr">
        <is>
          <t>£/year</t>
        </is>
      </c>
      <c r="D29" s="17">
        <f>INDEX(F29:O29,$D$3)</f>
        <v/>
      </c>
      <c r="F29" s="12" t="n">
        <v>8900000</v>
      </c>
      <c r="G29" s="12" t="n">
        <v>8900000</v>
      </c>
      <c r="H29" s="12" t="n">
        <v>8900000</v>
      </c>
      <c r="I29" s="12" t="n">
        <v>8900000</v>
      </c>
      <c r="J29" s="10" t="n"/>
      <c r="K29" s="10" t="n"/>
      <c r="L29" s="10" t="n"/>
      <c r="M29" s="10" t="n"/>
      <c r="N29" s="10" t="n"/>
      <c r="O29" s="10" t="n"/>
      <c r="P29" s="3" t="n"/>
      <c r="Q29" s="3" t="n"/>
      <c r="R29" s="3" t="n"/>
    </row>
    <row r="31">
      <c r="B31" t="inlineStr">
        <is>
          <t>Inflation per year (costs) from beginning of concession</t>
        </is>
      </c>
      <c r="C31" s="6" t="inlineStr">
        <is>
          <t>%</t>
        </is>
      </c>
      <c r="D31" s="18">
        <f>INDEX(F31:O31,$D$3)</f>
        <v/>
      </c>
      <c r="F31" s="13" t="n">
        <v>0.04</v>
      </c>
      <c r="G31" s="13" t="n">
        <v>0.04</v>
      </c>
      <c r="H31" s="13" t="n">
        <v>0.04</v>
      </c>
      <c r="I31" s="13" t="n">
        <v>0.04</v>
      </c>
      <c r="J31" s="10" t="n"/>
      <c r="K31" s="10" t="n"/>
      <c r="L31" s="10" t="n"/>
      <c r="M31" s="10" t="n"/>
      <c r="N31" s="10" t="n"/>
      <c r="O31" s="10" t="n"/>
      <c r="P31" s="3" t="n"/>
      <c r="Q31" s="3" t="n"/>
      <c r="R31" s="3" t="n"/>
    </row>
    <row r="33" customFormat="1" s="5">
      <c r="B33" s="4" t="inlineStr">
        <is>
          <t>PROJECT FINANCING</t>
        </is>
      </c>
      <c r="C33" s="7" t="n"/>
      <c r="D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5">
      <c r="B35" t="inlineStr">
        <is>
          <t>Base Interest Rate</t>
        </is>
      </c>
      <c r="C35" s="6" t="inlineStr">
        <is>
          <t>per year</t>
        </is>
      </c>
      <c r="D35" s="18">
        <f>INDEX(F35:O35,$D$3)</f>
        <v/>
      </c>
      <c r="F35" s="13" t="n">
        <v>0.015</v>
      </c>
      <c r="G35" s="13" t="n">
        <v>0.015</v>
      </c>
      <c r="H35" s="13" t="n">
        <v>0.015</v>
      </c>
      <c r="I35" s="13" t="n">
        <v>0.015</v>
      </c>
      <c r="J35" s="10" t="n"/>
      <c r="K35" s="10" t="n"/>
      <c r="L35" s="10" t="n"/>
      <c r="M35" s="10" t="n"/>
      <c r="N35" s="10" t="n"/>
      <c r="O35" s="10" t="n"/>
      <c r="P35" s="3" t="n"/>
      <c r="Q35" s="3" t="n"/>
      <c r="R35" s="3" t="n"/>
    </row>
    <row r="36">
      <c r="B36" t="inlineStr">
        <is>
          <t>Fixed Rate Margin</t>
        </is>
      </c>
      <c r="C36" s="6" t="inlineStr">
        <is>
          <t>per year</t>
        </is>
      </c>
      <c r="D36" s="18">
        <f>INDEX(F36:O36,$D$3)</f>
        <v/>
      </c>
      <c r="F36" s="13" t="n">
        <v>0.0585</v>
      </c>
      <c r="G36" s="13" t="n">
        <v>0.0585</v>
      </c>
      <c r="H36" s="13" t="n">
        <v>0.0585</v>
      </c>
      <c r="I36" s="13" t="n">
        <v>0.0585</v>
      </c>
      <c r="J36" s="10" t="n"/>
      <c r="K36" s="10" t="n"/>
      <c r="L36" s="10" t="n"/>
      <c r="M36" s="10" t="n"/>
      <c r="N36" s="10" t="n"/>
      <c r="O36" s="10" t="n"/>
      <c r="P36" s="3" t="n"/>
      <c r="Q36" s="3" t="n"/>
      <c r="R36" s="3" t="n"/>
    </row>
    <row r="37">
      <c r="B37" t="inlineStr">
        <is>
          <t>Arrangement fee</t>
        </is>
      </c>
      <c r="C37" s="6" t="inlineStr">
        <is>
          <t>per year</t>
        </is>
      </c>
      <c r="D37" s="18">
        <f>INDEX(F37:O37,$D$3)</f>
        <v/>
      </c>
      <c r="F37" s="13" t="n">
        <v>0.015</v>
      </c>
      <c r="G37" s="13" t="n">
        <v>0.015</v>
      </c>
      <c r="H37" s="13" t="n">
        <v>0.015</v>
      </c>
      <c r="I37" s="13" t="n">
        <v>0.015</v>
      </c>
      <c r="J37" s="10" t="n"/>
      <c r="K37" s="10" t="n"/>
      <c r="L37" s="10" t="n"/>
      <c r="M37" s="10" t="n"/>
      <c r="N37" s="10" t="n"/>
      <c r="O37" s="10" t="n"/>
      <c r="P37" s="3" t="n"/>
      <c r="Q37" s="3" t="n"/>
      <c r="R37" s="3" t="n"/>
    </row>
    <row r="38">
      <c r="B38" t="inlineStr">
        <is>
          <t>Engagement fee</t>
        </is>
      </c>
      <c r="C38" s="6" t="inlineStr">
        <is>
          <t>of margin</t>
        </is>
      </c>
      <c r="D38" s="18">
        <f>INDEX(F38:O38,$D$3)</f>
        <v/>
      </c>
      <c r="F38" s="13" t="n">
        <v>0.35</v>
      </c>
      <c r="G38" s="13" t="n">
        <v>0.35</v>
      </c>
      <c r="H38" s="13" t="n">
        <v>0.35</v>
      </c>
      <c r="I38" s="13" t="n">
        <v>0.35</v>
      </c>
      <c r="J38" s="10" t="n"/>
      <c r="K38" s="10" t="n"/>
      <c r="L38" s="10" t="n"/>
      <c r="M38" s="10" t="n"/>
      <c r="N38" s="10" t="n"/>
      <c r="O38" s="10" t="n"/>
      <c r="P38" s="3" t="n"/>
      <c r="Q38" s="3" t="n"/>
      <c r="R38" s="3" t="n"/>
    </row>
    <row r="40">
      <c r="B40" t="inlineStr">
        <is>
          <t>Gearing</t>
        </is>
      </c>
      <c r="C40" s="6" t="inlineStr">
        <is>
          <t>%</t>
        </is>
      </c>
      <c r="D40" s="18">
        <f>INDEX(F40:O40,$D$3)</f>
        <v/>
      </c>
      <c r="F40" s="13" t="n">
        <v>0.65</v>
      </c>
      <c r="G40" s="13" t="n">
        <v>0.65</v>
      </c>
      <c r="H40" s="13" t="n">
        <v>0.8</v>
      </c>
      <c r="I40" s="13" t="n">
        <v>0.8</v>
      </c>
      <c r="J40" s="10" t="n"/>
      <c r="K40" s="10" t="n"/>
      <c r="L40" s="10" t="n"/>
      <c r="M40" s="10" t="n"/>
      <c r="N40" s="10" t="n"/>
      <c r="O40" s="10" t="n"/>
      <c r="P40" s="3" t="n"/>
      <c r="Q40" s="3" t="n"/>
      <c r="R40" s="3" t="n"/>
    </row>
    <row r="42" customFormat="1" s="5">
      <c r="B42" s="4" t="inlineStr">
        <is>
          <t>TAX &amp; ACCOUNTING ASSUMPTIONS</t>
        </is>
      </c>
      <c r="C42" s="7" t="n"/>
      <c r="D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4">
      <c r="B44" t="inlineStr">
        <is>
          <t>Tax Rate</t>
        </is>
      </c>
      <c r="C44" s="6" t="inlineStr">
        <is>
          <t>%</t>
        </is>
      </c>
      <c r="D44" s="18">
        <f>INDEX(F44:O44,$D$3)</f>
        <v/>
      </c>
      <c r="F44" s="13" t="n">
        <v>0.3</v>
      </c>
      <c r="G44" s="13" t="n">
        <v>0.3</v>
      </c>
      <c r="H44" s="13" t="n">
        <v>0.3</v>
      </c>
      <c r="I44" s="13" t="n">
        <v>0.3</v>
      </c>
      <c r="J44" s="10" t="n"/>
      <c r="K44" s="10" t="n"/>
      <c r="L44" s="10" t="n"/>
      <c r="M44" s="10" t="n"/>
      <c r="N44" s="10" t="n"/>
      <c r="O44" s="10" t="n"/>
      <c r="P44" s="3" t="n"/>
      <c r="Q44" s="3" t="n"/>
      <c r="R44" s="3" t="n"/>
    </row>
    <row r="45">
      <c r="B45" t="inlineStr">
        <is>
          <t>Dividend distribution policy</t>
        </is>
      </c>
      <c r="C45" s="6" t="inlineStr">
        <is>
          <t>%</t>
        </is>
      </c>
      <c r="D45" s="18">
        <f>INDEX(F45:O45,$D$3)</f>
        <v/>
      </c>
      <c r="F45" s="13" t="n">
        <v>1</v>
      </c>
      <c r="G45" s="13" t="n">
        <v>1</v>
      </c>
      <c r="H45" s="13" t="n">
        <v>1</v>
      </c>
      <c r="I45" s="13" t="n">
        <v>1</v>
      </c>
      <c r="J45" s="10" t="n"/>
      <c r="K45" s="10" t="n"/>
      <c r="L45" s="10" t="n"/>
      <c r="M45" s="10" t="n"/>
      <c r="N45" s="10" t="n"/>
      <c r="O45" s="10" t="n"/>
      <c r="P45" s="3" t="n"/>
      <c r="Q45" s="3" t="n"/>
      <c r="R45" s="3" t="n"/>
    </row>
  </sheetData>
  <dataValidations count="1">
    <dataValidation sqref="D3" showDropDown="0" showInputMessage="1" showErrorMessage="1" allowBlank="1" type="list">
      <formula1>$F$3:$O$3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Q20"/>
  <sheetViews>
    <sheetView showGridLines="0" workbookViewId="0">
      <pane xSplit="3" topLeftCell="D1" activePane="topRight" state="frozen"/>
      <selection pane="topRight" activeCell="B21" sqref="B21"/>
    </sheetView>
  </sheetViews>
  <sheetFormatPr baseColWidth="8" defaultColWidth="0" defaultRowHeight="14.45"/>
  <cols>
    <col width="9" customWidth="1" min="1" max="1"/>
    <col width="26" customWidth="1" min="2" max="2"/>
    <col width="9" customWidth="1" min="3" max="44"/>
    <col hidden="1" width="9" customWidth="1" min="45" max="16384"/>
  </cols>
  <sheetData>
    <row r="2">
      <c r="B2" s="20" t="inlineStr">
        <is>
          <t>Year</t>
        </is>
      </c>
      <c r="C2" s="21" t="n"/>
      <c r="D2" s="22" t="n">
        <v>1</v>
      </c>
      <c r="E2" s="22" t="n">
        <v>2</v>
      </c>
      <c r="F2" s="22" t="n">
        <v>3</v>
      </c>
      <c r="G2" s="22" t="n">
        <v>4</v>
      </c>
      <c r="H2" s="22" t="n">
        <v>5</v>
      </c>
      <c r="I2" s="22" t="n">
        <v>6</v>
      </c>
      <c r="J2" s="22" t="n">
        <v>7</v>
      </c>
      <c r="K2" s="22" t="n">
        <v>8</v>
      </c>
      <c r="L2" s="22" t="n">
        <v>9</v>
      </c>
      <c r="M2" s="22" t="n">
        <v>10</v>
      </c>
      <c r="N2" s="22" t="n">
        <v>11</v>
      </c>
      <c r="O2" s="22" t="n">
        <v>12</v>
      </c>
      <c r="P2" s="22" t="n">
        <v>13</v>
      </c>
      <c r="Q2" s="22" t="n">
        <v>14</v>
      </c>
      <c r="R2" s="22" t="n">
        <v>15</v>
      </c>
      <c r="S2" s="22" t="n">
        <v>16</v>
      </c>
      <c r="T2" s="22" t="n">
        <v>17</v>
      </c>
      <c r="U2" s="22" t="n">
        <v>18</v>
      </c>
      <c r="V2" s="22" t="n">
        <v>19</v>
      </c>
      <c r="W2" s="22" t="n">
        <v>20</v>
      </c>
      <c r="X2" s="22" t="n">
        <v>21</v>
      </c>
      <c r="Y2" s="22" t="n">
        <v>22</v>
      </c>
      <c r="Z2" s="22" t="n">
        <v>23</v>
      </c>
      <c r="AA2" s="22" t="n">
        <v>24</v>
      </c>
      <c r="AB2" s="22" t="n">
        <v>25</v>
      </c>
      <c r="AC2" s="22" t="n">
        <v>26</v>
      </c>
      <c r="AD2" s="22" t="n">
        <v>27</v>
      </c>
      <c r="AE2" s="22" t="n">
        <v>28</v>
      </c>
      <c r="AF2" s="22" t="n">
        <v>29</v>
      </c>
      <c r="AG2" s="22" t="n">
        <v>30</v>
      </c>
      <c r="AH2" s="22" t="n">
        <v>31</v>
      </c>
      <c r="AI2" s="22" t="n">
        <v>32</v>
      </c>
      <c r="AJ2" s="22" t="n">
        <v>33</v>
      </c>
      <c r="AK2" s="22" t="n">
        <v>34</v>
      </c>
      <c r="AL2" s="22" t="n">
        <v>35</v>
      </c>
      <c r="AM2" s="22" t="n">
        <v>36</v>
      </c>
      <c r="AN2" s="22" t="n">
        <v>37</v>
      </c>
      <c r="AO2" s="22" t="n">
        <v>38</v>
      </c>
      <c r="AP2" s="22" t="n">
        <v>39</v>
      </c>
      <c r="AQ2" s="23" t="n">
        <v>40</v>
      </c>
    </row>
    <row r="5" ht="17.65" customHeight="1">
      <c r="B5" s="26" t="inlineStr">
        <is>
          <t>Flags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25" t="n"/>
    </row>
    <row r="7">
      <c r="B7" t="inlineStr">
        <is>
          <t>Beginning of construction</t>
        </is>
      </c>
      <c r="C7" s="9">
        <f>SUM(D7:AQ7)</f>
        <v/>
      </c>
      <c r="D7" s="28" t="n">
        <v>1</v>
      </c>
      <c r="E7" s="28" t="n">
        <v>0</v>
      </c>
      <c r="F7" s="28" t="n">
        <v>0</v>
      </c>
      <c r="G7" s="28" t="n">
        <v>0</v>
      </c>
      <c r="H7" s="28" t="n">
        <v>0</v>
      </c>
      <c r="I7" s="28" t="n">
        <v>0</v>
      </c>
      <c r="J7" s="28" t="n">
        <v>0</v>
      </c>
      <c r="K7" s="28" t="n">
        <v>0</v>
      </c>
      <c r="L7" s="28" t="n">
        <v>0</v>
      </c>
      <c r="M7" s="28" t="n">
        <v>0</v>
      </c>
      <c r="N7" s="28" t="n">
        <v>0</v>
      </c>
      <c r="O7" s="28" t="n">
        <v>0</v>
      </c>
      <c r="P7" s="28" t="n">
        <v>0</v>
      </c>
      <c r="Q7" s="28" t="n">
        <v>0</v>
      </c>
      <c r="R7" s="28" t="n">
        <v>0</v>
      </c>
      <c r="S7" s="28" t="n">
        <v>0</v>
      </c>
      <c r="T7" s="28" t="n">
        <v>0</v>
      </c>
      <c r="U7" s="28" t="n">
        <v>0</v>
      </c>
      <c r="V7" s="28" t="n">
        <v>0</v>
      </c>
      <c r="W7" s="28" t="n">
        <v>0</v>
      </c>
      <c r="X7" s="28" t="n">
        <v>0</v>
      </c>
      <c r="Y7" s="28" t="n">
        <v>0</v>
      </c>
      <c r="Z7" s="28" t="n">
        <v>0</v>
      </c>
      <c r="AA7" s="28" t="n">
        <v>0</v>
      </c>
      <c r="AB7" s="28" t="n">
        <v>0</v>
      </c>
      <c r="AC7" s="28" t="n">
        <v>0</v>
      </c>
      <c r="AD7" s="28" t="n">
        <v>0</v>
      </c>
      <c r="AE7" s="28" t="n">
        <v>0</v>
      </c>
      <c r="AF7" s="28" t="n">
        <v>0</v>
      </c>
      <c r="AG7" s="28" t="n">
        <v>0</v>
      </c>
      <c r="AH7" s="28" t="n">
        <v>0</v>
      </c>
      <c r="AI7" s="28" t="n">
        <v>0</v>
      </c>
      <c r="AJ7" s="28" t="n">
        <v>0</v>
      </c>
      <c r="AK7" s="28" t="n">
        <v>0</v>
      </c>
      <c r="AL7" s="28" t="n">
        <v>0</v>
      </c>
      <c r="AM7" s="28" t="n">
        <v>0</v>
      </c>
      <c r="AN7" s="28" t="n">
        <v>0</v>
      </c>
      <c r="AO7" s="28" t="n">
        <v>0</v>
      </c>
      <c r="AP7" s="28" t="n">
        <v>0</v>
      </c>
      <c r="AQ7" s="28" t="n">
        <v>0</v>
      </c>
    </row>
    <row r="8">
      <c r="B8" t="inlineStr">
        <is>
          <t>Construction</t>
        </is>
      </c>
      <c r="C8" s="9">
        <f>SUM(D8:AQ8)</f>
        <v/>
      </c>
      <c r="D8" s="28" t="n">
        <v>1</v>
      </c>
      <c r="E8" s="28" t="n">
        <v>1</v>
      </c>
      <c r="F8" s="28" t="n">
        <v>1</v>
      </c>
      <c r="G8" s="28" t="n">
        <v>1</v>
      </c>
      <c r="H8" s="28" t="n">
        <v>0</v>
      </c>
      <c r="I8" s="28" t="n">
        <v>0</v>
      </c>
      <c r="J8" s="28" t="n">
        <v>0</v>
      </c>
      <c r="K8" s="28" t="n">
        <v>0</v>
      </c>
      <c r="L8" s="28" t="n">
        <v>0</v>
      </c>
      <c r="M8" s="28" t="n">
        <v>0</v>
      </c>
      <c r="N8" s="28" t="n">
        <v>0</v>
      </c>
      <c r="O8" s="28" t="n">
        <v>0</v>
      </c>
      <c r="P8" s="28" t="n">
        <v>0</v>
      </c>
      <c r="Q8" s="28" t="n">
        <v>0</v>
      </c>
      <c r="R8" s="28" t="n">
        <v>0</v>
      </c>
      <c r="S8" s="28" t="n">
        <v>0</v>
      </c>
      <c r="T8" s="28" t="n">
        <v>0</v>
      </c>
      <c r="U8" s="28" t="n">
        <v>0</v>
      </c>
      <c r="V8" s="28" t="n">
        <v>0</v>
      </c>
      <c r="W8" s="28" t="n">
        <v>0</v>
      </c>
      <c r="X8" s="28" t="n">
        <v>0</v>
      </c>
      <c r="Y8" s="28" t="n">
        <v>0</v>
      </c>
      <c r="Z8" s="28" t="n">
        <v>0</v>
      </c>
      <c r="AA8" s="28" t="n">
        <v>0</v>
      </c>
      <c r="AB8" s="28" t="n">
        <v>0</v>
      </c>
      <c r="AC8" s="28" t="n">
        <v>0</v>
      </c>
      <c r="AD8" s="28" t="n">
        <v>0</v>
      </c>
      <c r="AE8" s="28" t="n">
        <v>0</v>
      </c>
      <c r="AF8" s="28" t="n">
        <v>0</v>
      </c>
      <c r="AG8" s="28" t="n">
        <v>0</v>
      </c>
      <c r="AH8" s="28" t="n">
        <v>0</v>
      </c>
      <c r="AI8" s="28" t="n">
        <v>0</v>
      </c>
      <c r="AJ8" s="28" t="n">
        <v>0</v>
      </c>
      <c r="AK8" s="28" t="n">
        <v>0</v>
      </c>
      <c r="AL8" s="28" t="n">
        <v>0</v>
      </c>
      <c r="AM8" s="28" t="n">
        <v>0</v>
      </c>
      <c r="AN8" s="28" t="n">
        <v>0</v>
      </c>
      <c r="AO8" s="28" t="n">
        <v>0</v>
      </c>
      <c r="AP8" s="28" t="n">
        <v>0</v>
      </c>
      <c r="AQ8" s="28" t="n">
        <v>0</v>
      </c>
    </row>
    <row r="9">
      <c r="B9" t="inlineStr">
        <is>
          <t>End of construction</t>
        </is>
      </c>
      <c r="C9" s="9">
        <f>SUM(D9:AQ9)</f>
        <v/>
      </c>
      <c r="D9" s="28" t="n">
        <v>0</v>
      </c>
      <c r="E9" s="28" t="n">
        <v>0</v>
      </c>
      <c r="F9" s="28" t="n">
        <v>0</v>
      </c>
      <c r="G9" s="28" t="n">
        <v>1</v>
      </c>
      <c r="H9" s="28" t="n">
        <v>0</v>
      </c>
      <c r="I9" s="28" t="n">
        <v>0</v>
      </c>
      <c r="J9" s="28" t="n">
        <v>0</v>
      </c>
      <c r="K9" s="28" t="n">
        <v>0</v>
      </c>
      <c r="L9" s="28" t="n">
        <v>0</v>
      </c>
      <c r="M9" s="28" t="n">
        <v>0</v>
      </c>
      <c r="N9" s="28" t="n">
        <v>0</v>
      </c>
      <c r="O9" s="28" t="n">
        <v>0</v>
      </c>
      <c r="P9" s="28" t="n">
        <v>0</v>
      </c>
      <c r="Q9" s="28" t="n">
        <v>0</v>
      </c>
      <c r="R9" s="28" t="n">
        <v>0</v>
      </c>
      <c r="S9" s="28" t="n">
        <v>0</v>
      </c>
      <c r="T9" s="28" t="n">
        <v>0</v>
      </c>
      <c r="U9" s="28" t="n">
        <v>0</v>
      </c>
      <c r="V9" s="28" t="n">
        <v>0</v>
      </c>
      <c r="W9" s="28" t="n">
        <v>0</v>
      </c>
      <c r="X9" s="28" t="n">
        <v>0</v>
      </c>
      <c r="Y9" s="28" t="n">
        <v>0</v>
      </c>
      <c r="Z9" s="28" t="n">
        <v>0</v>
      </c>
      <c r="AA9" s="28" t="n">
        <v>0</v>
      </c>
      <c r="AB9" s="28" t="n">
        <v>0</v>
      </c>
      <c r="AC9" s="28" t="n">
        <v>0</v>
      </c>
      <c r="AD9" s="28" t="n">
        <v>0</v>
      </c>
      <c r="AE9" s="28" t="n">
        <v>0</v>
      </c>
      <c r="AF9" s="28" t="n">
        <v>0</v>
      </c>
      <c r="AG9" s="28" t="n">
        <v>0</v>
      </c>
      <c r="AH9" s="28" t="n">
        <v>0</v>
      </c>
      <c r="AI9" s="28" t="n">
        <v>0</v>
      </c>
      <c r="AJ9" s="28" t="n">
        <v>0</v>
      </c>
      <c r="AK9" s="28" t="n">
        <v>0</v>
      </c>
      <c r="AL9" s="28" t="n">
        <v>0</v>
      </c>
      <c r="AM9" s="28" t="n">
        <v>0</v>
      </c>
      <c r="AN9" s="28" t="n">
        <v>0</v>
      </c>
      <c r="AO9" s="28" t="n">
        <v>0</v>
      </c>
      <c r="AP9" s="28" t="n">
        <v>0</v>
      </c>
      <c r="AQ9" s="28" t="n">
        <v>0</v>
      </c>
    </row>
    <row r="10">
      <c r="B10" t="inlineStr">
        <is>
          <t>Operation</t>
        </is>
      </c>
      <c r="C10" s="9">
        <f>SUM(D10:AQ10)</f>
        <v/>
      </c>
      <c r="D10" s="28" t="n">
        <v>0</v>
      </c>
      <c r="E10" s="28" t="n">
        <v>0</v>
      </c>
      <c r="F10" s="28" t="n">
        <v>0</v>
      </c>
      <c r="G10" s="28" t="n">
        <v>0</v>
      </c>
      <c r="H10" s="28" t="n">
        <v>1</v>
      </c>
      <c r="I10" s="28" t="n">
        <v>1</v>
      </c>
      <c r="J10" s="28" t="n">
        <v>1</v>
      </c>
      <c r="K10" s="28" t="n">
        <v>1</v>
      </c>
      <c r="L10" s="28" t="n">
        <v>1</v>
      </c>
      <c r="M10" s="28" t="n">
        <v>1</v>
      </c>
      <c r="N10" s="28" t="n">
        <v>1</v>
      </c>
      <c r="O10" s="28" t="n">
        <v>1</v>
      </c>
      <c r="P10" s="28" t="n">
        <v>1</v>
      </c>
      <c r="Q10" s="28" t="n">
        <v>1</v>
      </c>
      <c r="R10" s="28" t="n">
        <v>1</v>
      </c>
      <c r="S10" s="28" t="n">
        <v>1</v>
      </c>
      <c r="T10" s="28" t="n">
        <v>1</v>
      </c>
      <c r="U10" s="28" t="n">
        <v>1</v>
      </c>
      <c r="V10" s="28" t="n">
        <v>1</v>
      </c>
      <c r="W10" s="28" t="n">
        <v>1</v>
      </c>
      <c r="X10" s="28" t="n">
        <v>1</v>
      </c>
      <c r="Y10" s="28" t="n">
        <v>1</v>
      </c>
      <c r="Z10" s="28" t="n">
        <v>1</v>
      </c>
      <c r="AA10" s="28" t="n">
        <v>1</v>
      </c>
      <c r="AB10" s="28" t="n">
        <v>1</v>
      </c>
      <c r="AC10" s="28" t="n">
        <v>1</v>
      </c>
      <c r="AD10" s="28" t="n">
        <v>1</v>
      </c>
      <c r="AE10" s="28" t="n">
        <v>1</v>
      </c>
      <c r="AF10" s="28" t="n">
        <v>1</v>
      </c>
      <c r="AG10" s="28" t="n">
        <v>1</v>
      </c>
      <c r="AH10" s="28" t="n">
        <v>1</v>
      </c>
      <c r="AI10" s="28" t="n">
        <v>1</v>
      </c>
      <c r="AJ10" s="28" t="n">
        <v>1</v>
      </c>
      <c r="AK10" s="28" t="n">
        <v>1</v>
      </c>
      <c r="AL10" s="28" t="n">
        <v>1</v>
      </c>
      <c r="AM10" s="28" t="n">
        <v>1</v>
      </c>
      <c r="AN10" s="28" t="n">
        <v>1</v>
      </c>
      <c r="AO10" s="28" t="n">
        <v>1</v>
      </c>
      <c r="AP10" s="28" t="n">
        <v>1</v>
      </c>
      <c r="AQ10" s="28" t="n">
        <v>1</v>
      </c>
    </row>
    <row r="11"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8" t="n"/>
      <c r="AK11" s="28" t="n"/>
      <c r="AL11" s="28" t="n"/>
      <c r="AM11" s="28" t="n"/>
      <c r="AN11" s="28" t="n"/>
      <c r="AO11" s="28" t="n"/>
      <c r="AP11" s="28" t="n"/>
      <c r="AQ11" s="28" t="n"/>
    </row>
    <row r="12">
      <c r="B12" s="19" t="inlineStr">
        <is>
          <t>DEBT TIMELINE</t>
        </is>
      </c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  <c r="AA12" s="28" t="n"/>
      <c r="AB12" s="28" t="n"/>
      <c r="AC12" s="28" t="n"/>
      <c r="AD12" s="28" t="n"/>
      <c r="AE12" s="28" t="n"/>
      <c r="AF12" s="28" t="n"/>
      <c r="AG12" s="28" t="n"/>
      <c r="AH12" s="28" t="n"/>
      <c r="AI12" s="28" t="n"/>
      <c r="AJ12" s="28" t="n"/>
      <c r="AK12" s="28" t="n"/>
      <c r="AL12" s="28" t="n"/>
      <c r="AM12" s="28" t="n"/>
      <c r="AN12" s="28" t="n"/>
      <c r="AO12" s="28" t="n"/>
      <c r="AP12" s="28" t="n"/>
      <c r="AQ12" s="28" t="n"/>
    </row>
    <row r="13">
      <c r="B13" t="inlineStr">
        <is>
          <t>Availability Start Date</t>
        </is>
      </c>
      <c r="C13" s="9">
        <f>SUM(D13:AQ13)</f>
        <v/>
      </c>
      <c r="D13" s="28" t="n">
        <v>1</v>
      </c>
      <c r="E13" s="28" t="n">
        <v>0</v>
      </c>
      <c r="F13" s="28" t="n">
        <v>0</v>
      </c>
      <c r="G13" s="28" t="n">
        <v>0</v>
      </c>
      <c r="H13" s="28" t="n">
        <v>0</v>
      </c>
      <c r="I13" s="28" t="n">
        <v>0</v>
      </c>
      <c r="J13" s="28" t="n">
        <v>0</v>
      </c>
      <c r="K13" s="28" t="n">
        <v>0</v>
      </c>
      <c r="L13" s="28" t="n">
        <v>0</v>
      </c>
      <c r="M13" s="28" t="n">
        <v>0</v>
      </c>
      <c r="N13" s="28" t="n">
        <v>0</v>
      </c>
      <c r="O13" s="28" t="n">
        <v>0</v>
      </c>
      <c r="P13" s="28" t="n">
        <v>0</v>
      </c>
      <c r="Q13" s="28" t="n">
        <v>0</v>
      </c>
      <c r="R13" s="28" t="n">
        <v>0</v>
      </c>
      <c r="S13" s="28" t="n">
        <v>0</v>
      </c>
      <c r="T13" s="28" t="n">
        <v>0</v>
      </c>
      <c r="U13" s="28" t="n">
        <v>0</v>
      </c>
      <c r="V13" s="28" t="n">
        <v>0</v>
      </c>
      <c r="W13" s="28" t="n">
        <v>0</v>
      </c>
      <c r="X13" s="28" t="n">
        <v>0</v>
      </c>
      <c r="Y13" s="28" t="n">
        <v>0</v>
      </c>
      <c r="Z13" s="28" t="n">
        <v>0</v>
      </c>
      <c r="AA13" s="28" t="n">
        <v>0</v>
      </c>
      <c r="AB13" s="28" t="n">
        <v>0</v>
      </c>
      <c r="AC13" s="28" t="n">
        <v>0</v>
      </c>
      <c r="AD13" s="28" t="n">
        <v>0</v>
      </c>
      <c r="AE13" s="28" t="n">
        <v>0</v>
      </c>
      <c r="AF13" s="28" t="n">
        <v>0</v>
      </c>
      <c r="AG13" s="28" t="n">
        <v>0</v>
      </c>
      <c r="AH13" s="28" t="n">
        <v>0</v>
      </c>
      <c r="AI13" s="28" t="n">
        <v>0</v>
      </c>
      <c r="AJ13" s="28" t="n">
        <v>0</v>
      </c>
      <c r="AK13" s="28" t="n">
        <v>0</v>
      </c>
      <c r="AL13" s="28" t="n">
        <v>0</v>
      </c>
      <c r="AM13" s="28" t="n">
        <v>0</v>
      </c>
      <c r="AN13" s="28" t="n">
        <v>0</v>
      </c>
      <c r="AO13" s="28" t="n">
        <v>0</v>
      </c>
      <c r="AP13" s="28" t="n">
        <v>0</v>
      </c>
      <c r="AQ13" s="28" t="n">
        <v>0</v>
      </c>
    </row>
    <row r="14">
      <c r="B14" t="inlineStr">
        <is>
          <t>Active</t>
        </is>
      </c>
      <c r="C14" s="9">
        <f>SUM(D14:AQ14)</f>
        <v/>
      </c>
      <c r="D14" s="28" t="n">
        <v>1</v>
      </c>
      <c r="E14" s="28" t="n">
        <v>1</v>
      </c>
      <c r="F14" s="28" t="n">
        <v>1</v>
      </c>
      <c r="G14" s="28" t="n">
        <v>1</v>
      </c>
      <c r="H14" s="28" t="n">
        <v>0</v>
      </c>
      <c r="I14" s="28" t="n">
        <v>0</v>
      </c>
      <c r="J14" s="28" t="n">
        <v>0</v>
      </c>
      <c r="K14" s="28" t="n">
        <v>0</v>
      </c>
      <c r="L14" s="28" t="n">
        <v>0</v>
      </c>
      <c r="M14" s="28" t="n">
        <v>0</v>
      </c>
      <c r="N14" s="28" t="n">
        <v>0</v>
      </c>
      <c r="O14" s="28" t="n">
        <v>0</v>
      </c>
      <c r="P14" s="28" t="n">
        <v>0</v>
      </c>
      <c r="Q14" s="28" t="n">
        <v>0</v>
      </c>
      <c r="R14" s="28" t="n">
        <v>0</v>
      </c>
      <c r="S14" s="28" t="n">
        <v>0</v>
      </c>
      <c r="T14" s="28" t="n">
        <v>0</v>
      </c>
      <c r="U14" s="28" t="n">
        <v>0</v>
      </c>
      <c r="V14" s="28" t="n">
        <v>0</v>
      </c>
      <c r="W14" s="28" t="n">
        <v>0</v>
      </c>
      <c r="X14" s="28" t="n">
        <v>0</v>
      </c>
      <c r="Y14" s="28" t="n">
        <v>0</v>
      </c>
      <c r="Z14" s="28" t="n">
        <v>0</v>
      </c>
      <c r="AA14" s="28" t="n">
        <v>0</v>
      </c>
      <c r="AB14" s="28" t="n">
        <v>0</v>
      </c>
      <c r="AC14" s="28" t="n">
        <v>0</v>
      </c>
      <c r="AD14" s="28" t="n">
        <v>0</v>
      </c>
      <c r="AE14" s="28" t="n">
        <v>0</v>
      </c>
      <c r="AF14" s="28" t="n">
        <v>0</v>
      </c>
      <c r="AG14" s="28" t="n">
        <v>0</v>
      </c>
      <c r="AH14" s="28" t="n">
        <v>0</v>
      </c>
      <c r="AI14" s="28" t="n">
        <v>0</v>
      </c>
      <c r="AJ14" s="28" t="n">
        <v>0</v>
      </c>
      <c r="AK14" s="28" t="n">
        <v>0</v>
      </c>
      <c r="AL14" s="28" t="n">
        <v>0</v>
      </c>
      <c r="AM14" s="28" t="n">
        <v>0</v>
      </c>
      <c r="AN14" s="28" t="n">
        <v>0</v>
      </c>
      <c r="AO14" s="28" t="n">
        <v>0</v>
      </c>
      <c r="AP14" s="28" t="n">
        <v>0</v>
      </c>
      <c r="AQ14" s="28" t="n">
        <v>0</v>
      </c>
    </row>
    <row r="15">
      <c r="B15" t="inlineStr">
        <is>
          <t>Availability End Date</t>
        </is>
      </c>
      <c r="C15" s="9">
        <f>SUM(D15:AQ15)</f>
        <v/>
      </c>
      <c r="D15" s="28" t="n">
        <v>0</v>
      </c>
      <c r="E15" s="28" t="n">
        <v>0</v>
      </c>
      <c r="F15" s="28" t="n">
        <v>0</v>
      </c>
      <c r="G15" s="28" t="n">
        <v>1</v>
      </c>
      <c r="H15" s="28" t="n">
        <v>0</v>
      </c>
      <c r="I15" s="28" t="n">
        <v>0</v>
      </c>
      <c r="J15" s="28" t="n">
        <v>0</v>
      </c>
      <c r="K15" s="28" t="n">
        <v>0</v>
      </c>
      <c r="L15" s="28" t="n">
        <v>0</v>
      </c>
      <c r="M15" s="28" t="n">
        <v>0</v>
      </c>
      <c r="N15" s="28" t="n">
        <v>0</v>
      </c>
      <c r="O15" s="28" t="n">
        <v>0</v>
      </c>
      <c r="P15" s="28" t="n">
        <v>0</v>
      </c>
      <c r="Q15" s="28" t="n">
        <v>0</v>
      </c>
      <c r="R15" s="28" t="n">
        <v>0</v>
      </c>
      <c r="S15" s="28" t="n">
        <v>0</v>
      </c>
      <c r="T15" s="28" t="n">
        <v>0</v>
      </c>
      <c r="U15" s="28" t="n">
        <v>0</v>
      </c>
      <c r="V15" s="28" t="n">
        <v>0</v>
      </c>
      <c r="W15" s="28" t="n">
        <v>0</v>
      </c>
      <c r="X15" s="28" t="n">
        <v>0</v>
      </c>
      <c r="Y15" s="28" t="n">
        <v>0</v>
      </c>
      <c r="Z15" s="28" t="n">
        <v>0</v>
      </c>
      <c r="AA15" s="28" t="n">
        <v>0</v>
      </c>
      <c r="AB15" s="28" t="n">
        <v>0</v>
      </c>
      <c r="AC15" s="28" t="n">
        <v>0</v>
      </c>
      <c r="AD15" s="28" t="n">
        <v>0</v>
      </c>
      <c r="AE15" s="28" t="n">
        <v>0</v>
      </c>
      <c r="AF15" s="28" t="n">
        <v>0</v>
      </c>
      <c r="AG15" s="28" t="n">
        <v>0</v>
      </c>
      <c r="AH15" s="28" t="n">
        <v>0</v>
      </c>
      <c r="AI15" s="28" t="n">
        <v>0</v>
      </c>
      <c r="AJ15" s="28" t="n">
        <v>0</v>
      </c>
      <c r="AK15" s="28" t="n">
        <v>0</v>
      </c>
      <c r="AL15" s="28" t="n">
        <v>0</v>
      </c>
      <c r="AM15" s="28" t="n">
        <v>0</v>
      </c>
      <c r="AN15" s="28" t="n">
        <v>0</v>
      </c>
      <c r="AO15" s="28" t="n">
        <v>0</v>
      </c>
      <c r="AP15" s="28" t="n">
        <v>0</v>
      </c>
      <c r="AQ15" s="28" t="n">
        <v>0</v>
      </c>
    </row>
    <row r="16"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8" t="n"/>
      <c r="AK16" s="28" t="n"/>
      <c r="AL16" s="28" t="n"/>
      <c r="AM16" s="28" t="n"/>
      <c r="AN16" s="28" t="n"/>
      <c r="AO16" s="28" t="n"/>
      <c r="AP16" s="28" t="n"/>
      <c r="AQ16" s="28" t="n"/>
    </row>
    <row r="17">
      <c r="B17" t="inlineStr">
        <is>
          <t>Repayment Start Date</t>
        </is>
      </c>
      <c r="C17" s="9">
        <f>SUM(D17:AQ17)</f>
        <v/>
      </c>
      <c r="D17" s="28" t="n">
        <v>0</v>
      </c>
      <c r="E17" s="28" t="n">
        <v>0</v>
      </c>
      <c r="F17" s="28" t="n">
        <v>0</v>
      </c>
      <c r="G17" s="28" t="n">
        <v>0</v>
      </c>
      <c r="H17" s="28" t="n">
        <v>1</v>
      </c>
      <c r="I17" s="28" t="n">
        <v>0</v>
      </c>
      <c r="J17" s="28" t="n">
        <v>0</v>
      </c>
      <c r="K17" s="28" t="n">
        <v>0</v>
      </c>
      <c r="L17" s="28" t="n">
        <v>0</v>
      </c>
      <c r="M17" s="28" t="n">
        <v>0</v>
      </c>
      <c r="N17" s="28" t="n">
        <v>0</v>
      </c>
      <c r="O17" s="28" t="n">
        <v>0</v>
      </c>
      <c r="P17" s="28" t="n">
        <v>0</v>
      </c>
      <c r="Q17" s="28" t="n">
        <v>0</v>
      </c>
      <c r="R17" s="28" t="n">
        <v>0</v>
      </c>
      <c r="S17" s="28" t="n">
        <v>0</v>
      </c>
      <c r="T17" s="28" t="n">
        <v>0</v>
      </c>
      <c r="U17" s="28" t="n">
        <v>0</v>
      </c>
      <c r="V17" s="28" t="n">
        <v>0</v>
      </c>
      <c r="W17" s="28" t="n">
        <v>0</v>
      </c>
      <c r="X17" s="28" t="n">
        <v>0</v>
      </c>
      <c r="Y17" s="28" t="n">
        <v>0</v>
      </c>
      <c r="Z17" s="28" t="n">
        <v>0</v>
      </c>
      <c r="AA17" s="28" t="n">
        <v>0</v>
      </c>
      <c r="AB17" s="28" t="n">
        <v>0</v>
      </c>
      <c r="AC17" s="28" t="n">
        <v>0</v>
      </c>
      <c r="AD17" s="28" t="n">
        <v>0</v>
      </c>
      <c r="AE17" s="28" t="n">
        <v>0</v>
      </c>
      <c r="AF17" s="28" t="n">
        <v>0</v>
      </c>
      <c r="AG17" s="28" t="n">
        <v>0</v>
      </c>
      <c r="AH17" s="28" t="n">
        <v>0</v>
      </c>
      <c r="AI17" s="28" t="n">
        <v>0</v>
      </c>
      <c r="AJ17" s="28" t="n">
        <v>0</v>
      </c>
      <c r="AK17" s="28" t="n">
        <v>0</v>
      </c>
      <c r="AL17" s="28" t="n">
        <v>0</v>
      </c>
      <c r="AM17" s="28" t="n">
        <v>0</v>
      </c>
      <c r="AN17" s="28" t="n">
        <v>0</v>
      </c>
      <c r="AO17" s="28" t="n">
        <v>0</v>
      </c>
      <c r="AP17" s="28" t="n">
        <v>0</v>
      </c>
      <c r="AQ17" s="28" t="n">
        <v>0</v>
      </c>
    </row>
    <row r="18">
      <c r="B18" t="inlineStr">
        <is>
          <t>Active</t>
        </is>
      </c>
      <c r="C18" s="9">
        <f>SUM(D18:AQ18)</f>
        <v/>
      </c>
      <c r="D18" s="28" t="n">
        <v>0</v>
      </c>
      <c r="E18" s="28" t="n">
        <v>0</v>
      </c>
      <c r="F18" s="28" t="n">
        <v>0</v>
      </c>
      <c r="G18" s="28" t="n">
        <v>0</v>
      </c>
      <c r="H18" s="28" t="n">
        <v>1</v>
      </c>
      <c r="I18" s="28" t="n">
        <v>1</v>
      </c>
      <c r="J18" s="28" t="n">
        <v>1</v>
      </c>
      <c r="K18" s="28" t="n">
        <v>1</v>
      </c>
      <c r="L18" s="28" t="n">
        <v>1</v>
      </c>
      <c r="M18" s="28" t="n">
        <v>1</v>
      </c>
      <c r="N18" s="28" t="n">
        <v>1</v>
      </c>
      <c r="O18" s="28" t="n">
        <v>1</v>
      </c>
      <c r="P18" s="28" t="n">
        <v>1</v>
      </c>
      <c r="Q18" s="28" t="n">
        <v>1</v>
      </c>
      <c r="R18" s="28" t="n">
        <v>1</v>
      </c>
      <c r="S18" s="28" t="n">
        <v>1</v>
      </c>
      <c r="T18" s="28" t="n">
        <v>1</v>
      </c>
      <c r="U18" s="28" t="n">
        <v>1</v>
      </c>
      <c r="V18" s="28" t="n">
        <v>1</v>
      </c>
      <c r="W18" s="28" t="n">
        <v>1</v>
      </c>
      <c r="X18" s="28" t="n">
        <v>1</v>
      </c>
      <c r="Y18" s="28" t="n">
        <v>1</v>
      </c>
      <c r="Z18" s="28" t="n">
        <v>1</v>
      </c>
      <c r="AA18" s="28" t="n">
        <v>1</v>
      </c>
      <c r="AB18" s="28" t="n">
        <v>1</v>
      </c>
      <c r="AC18" s="28" t="n">
        <v>1</v>
      </c>
      <c r="AD18" s="28" t="n">
        <v>1</v>
      </c>
      <c r="AE18" s="28" t="n">
        <v>1</v>
      </c>
      <c r="AF18" s="28" t="n">
        <v>1</v>
      </c>
      <c r="AG18" s="28" t="n">
        <v>1</v>
      </c>
      <c r="AH18" s="28" t="n">
        <v>1</v>
      </c>
      <c r="AI18" s="28" t="n">
        <v>1</v>
      </c>
      <c r="AJ18" s="28" t="n">
        <v>1</v>
      </c>
      <c r="AK18" s="28" t="n">
        <v>1</v>
      </c>
      <c r="AL18" s="28" t="n">
        <v>1</v>
      </c>
      <c r="AM18" s="28" t="n">
        <v>1</v>
      </c>
      <c r="AN18" s="28" t="n">
        <v>1</v>
      </c>
      <c r="AO18" s="28" t="n">
        <v>1</v>
      </c>
      <c r="AP18" s="28" t="n">
        <v>1</v>
      </c>
      <c r="AQ18" s="28" t="n">
        <v>1</v>
      </c>
    </row>
    <row r="19">
      <c r="B19" t="inlineStr">
        <is>
          <t>Repayment End Date</t>
        </is>
      </c>
      <c r="C19" s="9">
        <f>SUM(D19:AQ19)</f>
        <v/>
      </c>
      <c r="D19" s="28" t="n">
        <v>0</v>
      </c>
      <c r="E19" s="28" t="n">
        <v>0</v>
      </c>
      <c r="F19" s="28" t="n">
        <v>0</v>
      </c>
      <c r="G19" s="28" t="n">
        <v>0</v>
      </c>
      <c r="H19" s="28" t="n">
        <v>0</v>
      </c>
      <c r="I19" s="28" t="n">
        <v>0</v>
      </c>
      <c r="J19" s="28" t="n">
        <v>0</v>
      </c>
      <c r="K19" s="28" t="n">
        <v>0</v>
      </c>
      <c r="L19" s="28" t="n">
        <v>0</v>
      </c>
      <c r="M19" s="28" t="n">
        <v>0</v>
      </c>
      <c r="N19" s="28" t="n">
        <v>0</v>
      </c>
      <c r="O19" s="28" t="n">
        <v>0</v>
      </c>
      <c r="P19" s="28" t="n">
        <v>0</v>
      </c>
      <c r="Q19" s="28" t="n">
        <v>0</v>
      </c>
      <c r="R19" s="28" t="n">
        <v>0</v>
      </c>
      <c r="S19" s="28" t="n">
        <v>0</v>
      </c>
      <c r="T19" s="28" t="n">
        <v>0</v>
      </c>
      <c r="U19" s="28" t="n">
        <v>0</v>
      </c>
      <c r="V19" s="28" t="n">
        <v>0</v>
      </c>
      <c r="W19" s="28" t="n">
        <v>0</v>
      </c>
      <c r="X19" s="28" t="n">
        <v>0</v>
      </c>
      <c r="Y19" s="28" t="n">
        <v>0</v>
      </c>
      <c r="Z19" s="28" t="n">
        <v>0</v>
      </c>
      <c r="AA19" s="28" t="n">
        <v>0</v>
      </c>
      <c r="AB19" s="28" t="n">
        <v>0</v>
      </c>
      <c r="AC19" s="28" t="n">
        <v>0</v>
      </c>
      <c r="AD19" s="28" t="n">
        <v>0</v>
      </c>
      <c r="AE19" s="28" t="n">
        <v>0</v>
      </c>
      <c r="AF19" s="28" t="n">
        <v>0</v>
      </c>
      <c r="AG19" s="28" t="n">
        <v>0</v>
      </c>
      <c r="AH19" s="28" t="n">
        <v>0</v>
      </c>
      <c r="AI19" s="28" t="n">
        <v>0</v>
      </c>
      <c r="AJ19" s="28" t="n">
        <v>0</v>
      </c>
      <c r="AK19" s="28" t="n">
        <v>0</v>
      </c>
      <c r="AL19" s="28" t="n">
        <v>0</v>
      </c>
      <c r="AM19" s="28" t="n">
        <v>0</v>
      </c>
      <c r="AN19" s="28" t="n">
        <v>0</v>
      </c>
      <c r="AO19" s="28" t="n">
        <v>0</v>
      </c>
      <c r="AP19" s="28" t="n">
        <v>0</v>
      </c>
      <c r="AQ19" s="28" t="n">
        <v>1</v>
      </c>
    </row>
    <row r="20"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7" t="n"/>
      <c r="AK20" s="27" t="n"/>
      <c r="AL20" s="27" t="n"/>
      <c r="AM20" s="27" t="n"/>
      <c r="AN20" s="27" t="n"/>
      <c r="AO20" s="27" t="n"/>
      <c r="AP20" s="27" t="n"/>
      <c r="AQ20" s="2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R43"/>
  <sheetViews>
    <sheetView showGridLines="0" zoomScale="80" zoomScaleNormal="80" workbookViewId="0">
      <pane xSplit="4" topLeftCell="E1" activePane="topRight" state="frozen"/>
      <selection pane="topRight" activeCell="B32" sqref="B32"/>
    </sheetView>
  </sheetViews>
  <sheetFormatPr baseColWidth="8" defaultColWidth="0" defaultRowHeight="14.45"/>
  <cols>
    <col width="9" customWidth="1" min="1" max="1"/>
    <col width="34.7109375" customWidth="1" min="2" max="2"/>
    <col width="13.5703125" customWidth="1" min="3" max="3"/>
    <col width="2.5703125" customWidth="1" min="4" max="4"/>
    <col width="10.7109375" customWidth="1" min="5" max="45"/>
    <col hidden="1" width="9" customWidth="1" min="46" max="16384"/>
  </cols>
  <sheetData>
    <row r="2">
      <c r="B2" s="20" t="inlineStr">
        <is>
          <t>Year</t>
        </is>
      </c>
      <c r="C2" s="22" t="n"/>
      <c r="D2" s="21" t="n"/>
      <c r="E2" s="22" t="n">
        <v>1</v>
      </c>
      <c r="F2" s="22" t="n">
        <v>2</v>
      </c>
      <c r="G2" s="22" t="n">
        <v>3</v>
      </c>
      <c r="H2" s="22" t="n">
        <v>4</v>
      </c>
      <c r="I2" s="22" t="n">
        <v>5</v>
      </c>
      <c r="J2" s="22" t="n">
        <v>6</v>
      </c>
      <c r="K2" s="22" t="n">
        <v>7</v>
      </c>
      <c r="L2" s="22" t="n">
        <v>8</v>
      </c>
      <c r="M2" s="22" t="n">
        <v>9</v>
      </c>
      <c r="N2" s="22" t="n">
        <v>10</v>
      </c>
      <c r="O2" s="22" t="n">
        <v>11</v>
      </c>
      <c r="P2" s="22" t="n">
        <v>12</v>
      </c>
      <c r="Q2" s="22" t="n">
        <v>13</v>
      </c>
      <c r="R2" s="22" t="n">
        <v>14</v>
      </c>
      <c r="S2" s="22" t="n">
        <v>15</v>
      </c>
      <c r="T2" s="22" t="n">
        <v>16</v>
      </c>
      <c r="U2" s="22" t="n">
        <v>17</v>
      </c>
      <c r="V2" s="22" t="n">
        <v>18</v>
      </c>
      <c r="W2" s="22" t="n">
        <v>19</v>
      </c>
      <c r="X2" s="22" t="n">
        <v>20</v>
      </c>
      <c r="Y2" s="22" t="n">
        <v>21</v>
      </c>
      <c r="Z2" s="22" t="n">
        <v>22</v>
      </c>
      <c r="AA2" s="22" t="n">
        <v>23</v>
      </c>
      <c r="AB2" s="22" t="n">
        <v>24</v>
      </c>
      <c r="AC2" s="22" t="n">
        <v>25</v>
      </c>
      <c r="AD2" s="22" t="n">
        <v>26</v>
      </c>
      <c r="AE2" s="22" t="n">
        <v>27</v>
      </c>
      <c r="AF2" s="22" t="n">
        <v>28</v>
      </c>
      <c r="AG2" s="22" t="n">
        <v>29</v>
      </c>
      <c r="AH2" s="22" t="n">
        <v>30</v>
      </c>
      <c r="AI2" s="22" t="n">
        <v>31</v>
      </c>
      <c r="AJ2" s="22" t="n">
        <v>32</v>
      </c>
      <c r="AK2" s="22" t="n">
        <v>33</v>
      </c>
      <c r="AL2" s="22" t="n">
        <v>34</v>
      </c>
      <c r="AM2" s="22" t="n">
        <v>35</v>
      </c>
      <c r="AN2" s="22" t="n">
        <v>36</v>
      </c>
      <c r="AO2" s="22" t="n">
        <v>37</v>
      </c>
      <c r="AP2" s="22" t="n">
        <v>38</v>
      </c>
      <c r="AQ2" s="22" t="n">
        <v>39</v>
      </c>
      <c r="AR2" s="23" t="n">
        <v>40</v>
      </c>
    </row>
    <row r="5" ht="17.65" customHeight="1">
      <c r="B5" s="29" t="inlineStr">
        <is>
          <t>CAPEX</t>
        </is>
      </c>
      <c r="C5" s="38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25" t="n"/>
    </row>
    <row r="6">
      <c r="B6" s="9" t="inlineStr">
        <is>
          <t>Construction Cost (k£)</t>
        </is>
      </c>
      <c r="C6" s="33">
        <f>SUM(E6:AR6)</f>
        <v/>
      </c>
      <c r="E6" s="33">
        <f>'Input Assumptions'!$D$25/'Input Assumptions'!$D$9/1000*TBA!D8</f>
        <v/>
      </c>
      <c r="F6" s="33">
        <f>'Input Assumptions'!$D$25/'Input Assumptions'!$D$9/1000*TBA!E8</f>
        <v/>
      </c>
      <c r="G6" s="33">
        <f>'Input Assumptions'!$D$25/'Input Assumptions'!$D$9/1000*TBA!F8</f>
        <v/>
      </c>
      <c r="H6" s="33">
        <f>'Input Assumptions'!$D$25/'Input Assumptions'!$D$9/1000*TBA!G8</f>
        <v/>
      </c>
      <c r="I6" s="33">
        <f>'Input Assumptions'!$D$25/'Input Assumptions'!$D$9/1000*TBA!H8</f>
        <v/>
      </c>
      <c r="J6" s="33">
        <f>'Input Assumptions'!$D$25/'Input Assumptions'!$D$9/1000*TBA!I8</f>
        <v/>
      </c>
      <c r="K6" s="33">
        <f>'Input Assumptions'!$D$25/'Input Assumptions'!$D$9/1000*TBA!J8</f>
        <v/>
      </c>
      <c r="L6" s="33">
        <f>'Input Assumptions'!$D$25/'Input Assumptions'!$D$9/1000*TBA!K8</f>
        <v/>
      </c>
      <c r="M6" s="33">
        <f>'Input Assumptions'!$D$25/'Input Assumptions'!$D$9/1000*TBA!L8</f>
        <v/>
      </c>
      <c r="N6" s="33">
        <f>'Input Assumptions'!$D$25/'Input Assumptions'!$D$9/1000*TBA!M8</f>
        <v/>
      </c>
      <c r="O6" s="33">
        <f>'Input Assumptions'!$D$25/'Input Assumptions'!$D$9/1000*TBA!N8</f>
        <v/>
      </c>
      <c r="P6" s="33">
        <f>'Input Assumptions'!$D$25/'Input Assumptions'!$D$9/1000*TBA!O8</f>
        <v/>
      </c>
      <c r="Q6" s="33">
        <f>'Input Assumptions'!$D$25/'Input Assumptions'!$D$9/1000*TBA!P8</f>
        <v/>
      </c>
      <c r="R6" s="33">
        <f>'Input Assumptions'!$D$25/'Input Assumptions'!$D$9/1000*TBA!Q8</f>
        <v/>
      </c>
      <c r="S6" s="33">
        <f>'Input Assumptions'!$D$25/'Input Assumptions'!$D$9/1000*TBA!R8</f>
        <v/>
      </c>
      <c r="T6" s="33">
        <f>'Input Assumptions'!$D$25/'Input Assumptions'!$D$9/1000*TBA!S8</f>
        <v/>
      </c>
      <c r="U6" s="33">
        <f>'Input Assumptions'!$D$25/'Input Assumptions'!$D$9/1000*TBA!T8</f>
        <v/>
      </c>
      <c r="V6" s="33">
        <f>'Input Assumptions'!$D$25/'Input Assumptions'!$D$9/1000*TBA!U8</f>
        <v/>
      </c>
      <c r="W6" s="33">
        <f>'Input Assumptions'!$D$25/'Input Assumptions'!$D$9/1000*TBA!V8</f>
        <v/>
      </c>
      <c r="X6" s="33">
        <f>'Input Assumptions'!$D$25/'Input Assumptions'!$D$9/1000*TBA!W8</f>
        <v/>
      </c>
      <c r="Y6" s="33">
        <f>'Input Assumptions'!$D$25/'Input Assumptions'!$D$9/1000*TBA!X8</f>
        <v/>
      </c>
      <c r="Z6" s="33">
        <f>'Input Assumptions'!$D$25/'Input Assumptions'!$D$9/1000*TBA!Y8</f>
        <v/>
      </c>
      <c r="AA6" s="33">
        <f>'Input Assumptions'!$D$25/'Input Assumptions'!$D$9/1000*TBA!Z8</f>
        <v/>
      </c>
      <c r="AB6" s="33">
        <f>'Input Assumptions'!$D$25/'Input Assumptions'!$D$9/1000*TBA!AA8</f>
        <v/>
      </c>
      <c r="AC6" s="33">
        <f>'Input Assumptions'!$D$25/'Input Assumptions'!$D$9/1000*TBA!AB8</f>
        <v/>
      </c>
      <c r="AD6" s="33">
        <f>'Input Assumptions'!$D$25/'Input Assumptions'!$D$9/1000*TBA!AC8</f>
        <v/>
      </c>
      <c r="AE6" s="33">
        <f>'Input Assumptions'!$D$25/'Input Assumptions'!$D$9/1000*TBA!AD8</f>
        <v/>
      </c>
      <c r="AF6" s="33">
        <f>'Input Assumptions'!$D$25/'Input Assumptions'!$D$9/1000*TBA!AE8</f>
        <v/>
      </c>
      <c r="AG6" s="33">
        <f>'Input Assumptions'!$D$25/'Input Assumptions'!$D$9/1000*TBA!AF8</f>
        <v/>
      </c>
      <c r="AH6" s="33">
        <f>'Input Assumptions'!$D$25/'Input Assumptions'!$D$9/1000*TBA!AG8</f>
        <v/>
      </c>
      <c r="AI6" s="33">
        <f>'Input Assumptions'!$D$25/'Input Assumptions'!$D$9/1000*TBA!AH8</f>
        <v/>
      </c>
      <c r="AJ6" s="33">
        <f>'Input Assumptions'!$D$25/'Input Assumptions'!$D$9/1000*TBA!AI8</f>
        <v/>
      </c>
      <c r="AK6" s="33">
        <f>'Input Assumptions'!$D$25/'Input Assumptions'!$D$9/1000*TBA!AJ8</f>
        <v/>
      </c>
      <c r="AL6" s="33">
        <f>'Input Assumptions'!$D$25/'Input Assumptions'!$D$9/1000*TBA!AK8</f>
        <v/>
      </c>
      <c r="AM6" s="33">
        <f>'Input Assumptions'!$D$25/'Input Assumptions'!$D$9/1000*TBA!AL8</f>
        <v/>
      </c>
      <c r="AN6" s="33">
        <f>'Input Assumptions'!$D$25/'Input Assumptions'!$D$9/1000*TBA!AM8</f>
        <v/>
      </c>
      <c r="AO6" s="33">
        <f>'Input Assumptions'!$D$25/'Input Assumptions'!$D$9/1000*TBA!AN8</f>
        <v/>
      </c>
      <c r="AP6" s="33">
        <f>'Input Assumptions'!$D$25/'Input Assumptions'!$D$9/1000*TBA!AO8</f>
        <v/>
      </c>
      <c r="AQ6" s="33">
        <f>'Input Assumptions'!$D$25/'Input Assumptions'!$D$9/1000*TBA!AP8</f>
        <v/>
      </c>
      <c r="AR6" s="33">
        <f>'Input Assumptions'!$D$25/'Input Assumptions'!$D$9/1000*TBA!AQ8</f>
        <v/>
      </c>
    </row>
    <row r="7">
      <c r="B7" s="9" t="n"/>
      <c r="C7" s="9" t="n"/>
    </row>
    <row r="8" ht="16.7" customHeight="1">
      <c r="B8" s="34" t="inlineStr">
        <is>
          <t>Total Costs (k£)</t>
        </is>
      </c>
      <c r="C8" s="37">
        <f>SUM(E8:AR8)</f>
        <v/>
      </c>
      <c r="D8" s="36" t="n"/>
      <c r="E8" s="37">
        <f>SUM(E6:E7)</f>
        <v/>
      </c>
      <c r="F8" s="37">
        <f>SUM(F6:F7)</f>
        <v/>
      </c>
      <c r="G8" s="37">
        <f>SUM(G6:G7)</f>
        <v/>
      </c>
      <c r="H8" s="37">
        <f>SUM(H6:H7)</f>
        <v/>
      </c>
      <c r="I8" s="37">
        <f>SUM(I6:I7)</f>
        <v/>
      </c>
      <c r="J8" s="37">
        <f>SUM(J6:J7)</f>
        <v/>
      </c>
      <c r="K8" s="37">
        <f>SUM(K6:K7)</f>
        <v/>
      </c>
      <c r="L8" s="37">
        <f>SUM(L6:L7)</f>
        <v/>
      </c>
      <c r="M8" s="37">
        <f>SUM(M6:M7)</f>
        <v/>
      </c>
      <c r="N8" s="37">
        <f>SUM(N6:N7)</f>
        <v/>
      </c>
      <c r="O8" s="37">
        <f>SUM(O6:O7)</f>
        <v/>
      </c>
      <c r="P8" s="37">
        <f>SUM(P6:P7)</f>
        <v/>
      </c>
      <c r="Q8" s="37">
        <f>SUM(Q6:Q7)</f>
        <v/>
      </c>
      <c r="R8" s="37">
        <f>SUM(R6:R7)</f>
        <v/>
      </c>
      <c r="S8" s="37">
        <f>SUM(S6:S7)</f>
        <v/>
      </c>
      <c r="T8" s="37">
        <f>SUM(T6:T7)</f>
        <v/>
      </c>
      <c r="U8" s="37">
        <f>SUM(U6:U7)</f>
        <v/>
      </c>
      <c r="V8" s="37">
        <f>SUM(V6:V7)</f>
        <v/>
      </c>
      <c r="W8" s="37">
        <f>SUM(W6:W7)</f>
        <v/>
      </c>
      <c r="X8" s="37">
        <f>SUM(X6:X7)</f>
        <v/>
      </c>
      <c r="Y8" s="37">
        <f>SUM(Y6:Y7)</f>
        <v/>
      </c>
      <c r="Z8" s="37">
        <f>SUM(Z6:Z7)</f>
        <v/>
      </c>
      <c r="AA8" s="37">
        <f>SUM(AA6:AA7)</f>
        <v/>
      </c>
      <c r="AB8" s="37">
        <f>SUM(AB6:AB7)</f>
        <v/>
      </c>
      <c r="AC8" s="37">
        <f>SUM(AC6:AC7)</f>
        <v/>
      </c>
      <c r="AD8" s="37">
        <f>SUM(AD6:AD7)</f>
        <v/>
      </c>
      <c r="AE8" s="37">
        <f>SUM(AE6:AE7)</f>
        <v/>
      </c>
      <c r="AF8" s="37">
        <f>SUM(AF6:AF7)</f>
        <v/>
      </c>
      <c r="AG8" s="37">
        <f>SUM(AG6:AG7)</f>
        <v/>
      </c>
      <c r="AH8" s="37">
        <f>SUM(AH6:AH7)</f>
        <v/>
      </c>
      <c r="AI8" s="37">
        <f>SUM(AI6:AI7)</f>
        <v/>
      </c>
      <c r="AJ8" s="37">
        <f>SUM(AJ6:AJ7)</f>
        <v/>
      </c>
      <c r="AK8" s="37">
        <f>SUM(AK6:AK7)</f>
        <v/>
      </c>
      <c r="AL8" s="37">
        <f>SUM(AL6:AL7)</f>
        <v/>
      </c>
      <c r="AM8" s="37">
        <f>SUM(AM6:AM7)</f>
        <v/>
      </c>
      <c r="AN8" s="37">
        <f>SUM(AN6:AN7)</f>
        <v/>
      </c>
      <c r="AO8" s="37">
        <f>SUM(AO6:AO7)</f>
        <v/>
      </c>
      <c r="AP8" s="37">
        <f>SUM(AP6:AP7)</f>
        <v/>
      </c>
      <c r="AQ8" s="37">
        <f>SUM(AQ6:AQ7)</f>
        <v/>
      </c>
      <c r="AR8" s="37">
        <f>SUM(AR6:AR7)</f>
        <v/>
      </c>
    </row>
    <row r="11" ht="17.65" customHeight="1">
      <c r="B11" s="29" t="inlineStr">
        <is>
          <t>Uses</t>
        </is>
      </c>
      <c r="C11" s="38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25" t="n"/>
    </row>
    <row r="12">
      <c r="B12" s="9" t="inlineStr">
        <is>
          <t>Construction Cost (k£)</t>
        </is>
      </c>
      <c r="C12" s="33">
        <f>SUM(E12:AR12)</f>
        <v/>
      </c>
      <c r="E12" s="33">
        <f>E8</f>
        <v/>
      </c>
      <c r="F12" s="33">
        <f>F8</f>
        <v/>
      </c>
      <c r="G12" s="33">
        <f>G8</f>
        <v/>
      </c>
      <c r="H12" s="33">
        <f>H8</f>
        <v/>
      </c>
      <c r="I12" s="33">
        <f>I8</f>
        <v/>
      </c>
      <c r="J12" s="33">
        <f>J8</f>
        <v/>
      </c>
      <c r="K12" s="33">
        <f>K8</f>
        <v/>
      </c>
      <c r="L12" s="33">
        <f>L8</f>
        <v/>
      </c>
      <c r="M12" s="33">
        <f>M8</f>
        <v/>
      </c>
      <c r="N12" s="33">
        <f>N8</f>
        <v/>
      </c>
      <c r="O12" s="33">
        <f>O8</f>
        <v/>
      </c>
      <c r="P12" s="33">
        <f>P8</f>
        <v/>
      </c>
      <c r="Q12" s="33">
        <f>Q8</f>
        <v/>
      </c>
      <c r="R12" s="33">
        <f>R8</f>
        <v/>
      </c>
      <c r="S12" s="33">
        <f>S8</f>
        <v/>
      </c>
      <c r="T12" s="33">
        <f>T8</f>
        <v/>
      </c>
      <c r="U12" s="33">
        <f>U8</f>
        <v/>
      </c>
      <c r="V12" s="33">
        <f>V8</f>
        <v/>
      </c>
      <c r="W12" s="33">
        <f>W8</f>
        <v/>
      </c>
      <c r="X12" s="33">
        <f>X8</f>
        <v/>
      </c>
      <c r="Y12" s="33">
        <f>Y8</f>
        <v/>
      </c>
      <c r="Z12" s="33">
        <f>Z8</f>
        <v/>
      </c>
      <c r="AA12" s="33">
        <f>AA8</f>
        <v/>
      </c>
      <c r="AB12" s="33">
        <f>AB8</f>
        <v/>
      </c>
      <c r="AC12" s="33">
        <f>AC8</f>
        <v/>
      </c>
      <c r="AD12" s="33">
        <f>AD8</f>
        <v/>
      </c>
      <c r="AE12" s="33">
        <f>AE8</f>
        <v/>
      </c>
      <c r="AF12" s="33">
        <f>AF8</f>
        <v/>
      </c>
      <c r="AG12" s="33">
        <f>AG8</f>
        <v/>
      </c>
      <c r="AH12" s="33">
        <f>AH8</f>
        <v/>
      </c>
      <c r="AI12" s="33">
        <f>AI8</f>
        <v/>
      </c>
      <c r="AJ12" s="33">
        <f>AJ8</f>
        <v/>
      </c>
      <c r="AK12" s="33">
        <f>AK8</f>
        <v/>
      </c>
      <c r="AL12" s="33">
        <f>AL8</f>
        <v/>
      </c>
      <c r="AM12" s="33">
        <f>AM8</f>
        <v/>
      </c>
      <c r="AN12" s="33">
        <f>AN8</f>
        <v/>
      </c>
      <c r="AO12" s="33">
        <f>AO8</f>
        <v/>
      </c>
      <c r="AP12" s="33">
        <f>AP8</f>
        <v/>
      </c>
      <c r="AQ12" s="33">
        <f>AQ8</f>
        <v/>
      </c>
      <c r="AR12" s="33">
        <f>AR8</f>
        <v/>
      </c>
    </row>
    <row r="13">
      <c r="B13" s="9" t="inlineStr">
        <is>
          <t>Arrangement fee (k£)</t>
        </is>
      </c>
      <c r="C13" s="33">
        <f>SUM(E13:AR13)</f>
        <v/>
      </c>
      <c r="E13" s="33">
        <f>E37</f>
        <v/>
      </c>
      <c r="F13" s="33">
        <f>F37</f>
        <v/>
      </c>
      <c r="G13" s="33">
        <f>G37</f>
        <v/>
      </c>
      <c r="H13" s="33">
        <f>H37</f>
        <v/>
      </c>
      <c r="I13" s="33">
        <f>I37</f>
        <v/>
      </c>
      <c r="J13" s="33">
        <f>J37</f>
        <v/>
      </c>
      <c r="K13" s="33">
        <f>K37</f>
        <v/>
      </c>
      <c r="L13" s="33">
        <f>L37</f>
        <v/>
      </c>
      <c r="M13" s="33">
        <f>M37</f>
        <v/>
      </c>
      <c r="N13" s="33">
        <f>N37</f>
        <v/>
      </c>
      <c r="O13" s="33">
        <f>O37</f>
        <v/>
      </c>
      <c r="P13" s="33">
        <f>P37</f>
        <v/>
      </c>
      <c r="Q13" s="33">
        <f>Q37</f>
        <v/>
      </c>
      <c r="R13" s="33">
        <f>R37</f>
        <v/>
      </c>
      <c r="S13" s="33">
        <f>S37</f>
        <v/>
      </c>
      <c r="T13" s="33">
        <f>T37</f>
        <v/>
      </c>
      <c r="U13" s="33">
        <f>U37</f>
        <v/>
      </c>
      <c r="V13" s="33">
        <f>V37</f>
        <v/>
      </c>
      <c r="W13" s="33">
        <f>W37</f>
        <v/>
      </c>
      <c r="X13" s="33">
        <f>X37</f>
        <v/>
      </c>
      <c r="Y13" s="33">
        <f>Y37</f>
        <v/>
      </c>
      <c r="Z13" s="33">
        <f>Z37</f>
        <v/>
      </c>
      <c r="AA13" s="33">
        <f>AA37</f>
        <v/>
      </c>
      <c r="AB13" s="33">
        <f>AB37</f>
        <v/>
      </c>
      <c r="AC13" s="33">
        <f>AC37</f>
        <v/>
      </c>
      <c r="AD13" s="33">
        <f>AD37</f>
        <v/>
      </c>
      <c r="AE13" s="33">
        <f>AE37</f>
        <v/>
      </c>
      <c r="AF13" s="33">
        <f>AF37</f>
        <v/>
      </c>
      <c r="AG13" s="33">
        <f>AG37</f>
        <v/>
      </c>
      <c r="AH13" s="33">
        <f>AH37</f>
        <v/>
      </c>
      <c r="AI13" s="33">
        <f>AI37</f>
        <v/>
      </c>
      <c r="AJ13" s="33">
        <f>AJ37</f>
        <v/>
      </c>
      <c r="AK13" s="33">
        <f>AK37</f>
        <v/>
      </c>
      <c r="AL13" s="33">
        <f>AL37</f>
        <v/>
      </c>
      <c r="AM13" s="33">
        <f>AM37</f>
        <v/>
      </c>
      <c r="AN13" s="33">
        <f>AN37</f>
        <v/>
      </c>
      <c r="AO13" s="33">
        <f>AO37</f>
        <v/>
      </c>
      <c r="AP13" s="33">
        <f>AP37</f>
        <v/>
      </c>
      <c r="AQ13" s="33">
        <f>AQ37</f>
        <v/>
      </c>
      <c r="AR13" s="33">
        <f>AR37</f>
        <v/>
      </c>
    </row>
    <row r="14">
      <c r="B14" s="9" t="inlineStr">
        <is>
          <t>Engagement fee (k£)</t>
        </is>
      </c>
      <c r="C14" s="33">
        <f>SUM(E14:AR14)</f>
        <v/>
      </c>
      <c r="E14" s="33">
        <f>E38</f>
        <v/>
      </c>
      <c r="F14" s="33">
        <f>F38</f>
        <v/>
      </c>
      <c r="G14" s="33">
        <f>G38</f>
        <v/>
      </c>
      <c r="H14" s="33">
        <f>H38</f>
        <v/>
      </c>
      <c r="I14" s="33">
        <f>I38</f>
        <v/>
      </c>
      <c r="J14" s="33">
        <f>J38</f>
        <v/>
      </c>
      <c r="K14" s="33">
        <f>K38</f>
        <v/>
      </c>
      <c r="L14" s="33">
        <f>L38</f>
        <v/>
      </c>
      <c r="M14" s="33">
        <f>M38</f>
        <v/>
      </c>
      <c r="N14" s="33">
        <f>N38</f>
        <v/>
      </c>
      <c r="O14" s="33">
        <f>O38</f>
        <v/>
      </c>
      <c r="P14" s="33">
        <f>P38</f>
        <v/>
      </c>
      <c r="Q14" s="33">
        <f>Q38</f>
        <v/>
      </c>
      <c r="R14" s="33">
        <f>R38</f>
        <v/>
      </c>
      <c r="S14" s="33">
        <f>S38</f>
        <v/>
      </c>
      <c r="T14" s="33">
        <f>T38</f>
        <v/>
      </c>
      <c r="U14" s="33">
        <f>U38</f>
        <v/>
      </c>
      <c r="V14" s="33">
        <f>V38</f>
        <v/>
      </c>
      <c r="W14" s="33">
        <f>W38</f>
        <v/>
      </c>
      <c r="X14" s="33">
        <f>X38</f>
        <v/>
      </c>
      <c r="Y14" s="33">
        <f>Y38</f>
        <v/>
      </c>
      <c r="Z14" s="33">
        <f>Z38</f>
        <v/>
      </c>
      <c r="AA14" s="33">
        <f>AA38</f>
        <v/>
      </c>
      <c r="AB14" s="33">
        <f>AB38</f>
        <v/>
      </c>
      <c r="AC14" s="33">
        <f>AC38</f>
        <v/>
      </c>
      <c r="AD14" s="33">
        <f>AD38</f>
        <v/>
      </c>
      <c r="AE14" s="33">
        <f>AE38</f>
        <v/>
      </c>
      <c r="AF14" s="33">
        <f>AF38</f>
        <v/>
      </c>
      <c r="AG14" s="33">
        <f>AG38</f>
        <v/>
      </c>
      <c r="AH14" s="33">
        <f>AH38</f>
        <v/>
      </c>
      <c r="AI14" s="33">
        <f>AI38</f>
        <v/>
      </c>
      <c r="AJ14" s="33">
        <f>AJ38</f>
        <v/>
      </c>
      <c r="AK14" s="33">
        <f>AK38</f>
        <v/>
      </c>
      <c r="AL14" s="33">
        <f>AL38</f>
        <v/>
      </c>
      <c r="AM14" s="33">
        <f>AM38</f>
        <v/>
      </c>
      <c r="AN14" s="33">
        <f>AN38</f>
        <v/>
      </c>
      <c r="AO14" s="33">
        <f>AO38</f>
        <v/>
      </c>
      <c r="AP14" s="33">
        <f>AP38</f>
        <v/>
      </c>
      <c r="AQ14" s="33">
        <f>AQ38</f>
        <v/>
      </c>
      <c r="AR14" s="33">
        <f>AR38</f>
        <v/>
      </c>
    </row>
    <row r="15">
      <c r="B15" s="9" t="inlineStr">
        <is>
          <t>Capitalized Interest (k£)</t>
        </is>
      </c>
      <c r="C15" s="33">
        <f>SUM(E15:AR15)</f>
        <v/>
      </c>
      <c r="E15" s="33">
        <f>E39</f>
        <v/>
      </c>
      <c r="F15" s="33">
        <f>F39</f>
        <v/>
      </c>
      <c r="G15" s="33">
        <f>G39</f>
        <v/>
      </c>
      <c r="H15" s="33">
        <f>H39</f>
        <v/>
      </c>
      <c r="I15" s="33">
        <f>I39</f>
        <v/>
      </c>
      <c r="J15" s="33">
        <f>J39</f>
        <v/>
      </c>
      <c r="K15" s="33">
        <f>K39</f>
        <v/>
      </c>
      <c r="L15" s="33">
        <f>L39</f>
        <v/>
      </c>
      <c r="M15" s="33">
        <f>M39</f>
        <v/>
      </c>
      <c r="N15" s="33">
        <f>N39</f>
        <v/>
      </c>
      <c r="O15" s="33">
        <f>O39</f>
        <v/>
      </c>
      <c r="P15" s="33">
        <f>P39</f>
        <v/>
      </c>
      <c r="Q15" s="33">
        <f>Q39</f>
        <v/>
      </c>
      <c r="R15" s="33">
        <f>R39</f>
        <v/>
      </c>
      <c r="S15" s="33">
        <f>S39</f>
        <v/>
      </c>
      <c r="T15" s="33">
        <f>T39</f>
        <v/>
      </c>
      <c r="U15" s="33">
        <f>U39</f>
        <v/>
      </c>
      <c r="V15" s="33">
        <f>V39</f>
        <v/>
      </c>
      <c r="W15" s="33">
        <f>W39</f>
        <v/>
      </c>
      <c r="X15" s="33">
        <f>X39</f>
        <v/>
      </c>
      <c r="Y15" s="33">
        <f>Y39</f>
        <v/>
      </c>
      <c r="Z15" s="33">
        <f>Z39</f>
        <v/>
      </c>
      <c r="AA15" s="33">
        <f>AA39</f>
        <v/>
      </c>
      <c r="AB15" s="33">
        <f>AB39</f>
        <v/>
      </c>
      <c r="AC15" s="33">
        <f>AC39</f>
        <v/>
      </c>
      <c r="AD15" s="33">
        <f>AD39</f>
        <v/>
      </c>
      <c r="AE15" s="33">
        <f>AE39</f>
        <v/>
      </c>
      <c r="AF15" s="33">
        <f>AF39</f>
        <v/>
      </c>
      <c r="AG15" s="33">
        <f>AG39</f>
        <v/>
      </c>
      <c r="AH15" s="33">
        <f>AH39</f>
        <v/>
      </c>
      <c r="AI15" s="33">
        <f>AI39</f>
        <v/>
      </c>
      <c r="AJ15" s="33">
        <f>AJ39</f>
        <v/>
      </c>
      <c r="AK15" s="33">
        <f>AK39</f>
        <v/>
      </c>
      <c r="AL15" s="33">
        <f>AL39</f>
        <v/>
      </c>
      <c r="AM15" s="33">
        <f>AM39</f>
        <v/>
      </c>
      <c r="AN15" s="33">
        <f>AN39</f>
        <v/>
      </c>
      <c r="AO15" s="33">
        <f>AO39</f>
        <v/>
      </c>
      <c r="AP15" s="33">
        <f>AP39</f>
        <v/>
      </c>
      <c r="AQ15" s="33">
        <f>AQ39</f>
        <v/>
      </c>
      <c r="AR15" s="33">
        <f>AR39</f>
        <v/>
      </c>
    </row>
    <row r="16" ht="17.65" customHeight="1">
      <c r="B16" s="34" t="inlineStr">
        <is>
          <t>Total Uses (k£)</t>
        </is>
      </c>
      <c r="C16" s="37">
        <f>SUM(E16:AR16)</f>
        <v/>
      </c>
      <c r="D16" s="34" t="n"/>
      <c r="E16" s="37">
        <f>SUM(E12:E15)</f>
        <v/>
      </c>
      <c r="F16" s="37">
        <f>SUM(F12:F15)</f>
        <v/>
      </c>
      <c r="G16" s="37">
        <f>SUM(G12:G15)</f>
        <v/>
      </c>
      <c r="H16" s="37">
        <f>SUM(H12:H15)</f>
        <v/>
      </c>
      <c r="I16" s="37">
        <f>SUM(I12:I15)</f>
        <v/>
      </c>
      <c r="J16" s="37">
        <f>SUM(J12:J15)</f>
        <v/>
      </c>
      <c r="K16" s="37">
        <f>SUM(K12:K15)</f>
        <v/>
      </c>
      <c r="L16" s="37">
        <f>SUM(L12:L15)</f>
        <v/>
      </c>
      <c r="M16" s="37">
        <f>SUM(M12:M15)</f>
        <v/>
      </c>
      <c r="N16" s="37">
        <f>SUM(N12:N15)</f>
        <v/>
      </c>
      <c r="O16" s="37">
        <f>SUM(O12:O15)</f>
        <v/>
      </c>
      <c r="P16" s="37">
        <f>SUM(P12:P15)</f>
        <v/>
      </c>
      <c r="Q16" s="37">
        <f>SUM(Q12:Q15)</f>
        <v/>
      </c>
      <c r="R16" s="37">
        <f>SUM(R12:R15)</f>
        <v/>
      </c>
      <c r="S16" s="37">
        <f>SUM(S12:S15)</f>
        <v/>
      </c>
      <c r="T16" s="37">
        <f>SUM(T12:T15)</f>
        <v/>
      </c>
      <c r="U16" s="37">
        <f>SUM(U12:U15)</f>
        <v/>
      </c>
      <c r="V16" s="37">
        <f>SUM(V12:V15)</f>
        <v/>
      </c>
      <c r="W16" s="37">
        <f>SUM(W12:W15)</f>
        <v/>
      </c>
      <c r="X16" s="37">
        <f>SUM(X12:X15)</f>
        <v/>
      </c>
      <c r="Y16" s="37">
        <f>SUM(Y12:Y15)</f>
        <v/>
      </c>
      <c r="Z16" s="37">
        <f>SUM(Z12:Z15)</f>
        <v/>
      </c>
      <c r="AA16" s="37">
        <f>SUM(AA12:AA15)</f>
        <v/>
      </c>
      <c r="AB16" s="37">
        <f>SUM(AB12:AB15)</f>
        <v/>
      </c>
      <c r="AC16" s="37">
        <f>SUM(AC12:AC15)</f>
        <v/>
      </c>
      <c r="AD16" s="37">
        <f>SUM(AD12:AD15)</f>
        <v/>
      </c>
      <c r="AE16" s="37">
        <f>SUM(AE12:AE15)</f>
        <v/>
      </c>
      <c r="AF16" s="37">
        <f>SUM(AF12:AF15)</f>
        <v/>
      </c>
      <c r="AG16" s="37">
        <f>SUM(AG12:AG15)</f>
        <v/>
      </c>
      <c r="AH16" s="37">
        <f>SUM(AH12:AH15)</f>
        <v/>
      </c>
      <c r="AI16" s="37">
        <f>SUM(AI12:AI15)</f>
        <v/>
      </c>
      <c r="AJ16" s="37">
        <f>SUM(AJ12:AJ15)</f>
        <v/>
      </c>
      <c r="AK16" s="37">
        <f>SUM(AK12:AK15)</f>
        <v/>
      </c>
      <c r="AL16" s="37">
        <f>SUM(AL12:AL15)</f>
        <v/>
      </c>
      <c r="AM16" s="37">
        <f>SUM(AM12:AM15)</f>
        <v/>
      </c>
      <c r="AN16" s="37">
        <f>SUM(AN12:AN15)</f>
        <v/>
      </c>
      <c r="AO16" s="37">
        <f>SUM(AO12:AO15)</f>
        <v/>
      </c>
      <c r="AP16" s="37">
        <f>SUM(AP12:AP15)</f>
        <v/>
      </c>
      <c r="AQ16" s="37">
        <f>SUM(AQ12:AQ15)</f>
        <v/>
      </c>
      <c r="AR16" s="37">
        <f>SUM(AR12:AR15)</f>
        <v/>
      </c>
    </row>
    <row r="19">
      <c r="B19" s="2" t="inlineStr">
        <is>
          <t>Uses of funds for circularity breakdown purpose</t>
        </is>
      </c>
      <c r="E19" s="42" t="n">
        <v>82610.73983726824</v>
      </c>
      <c r="F19" s="42" t="n">
        <v>79392.66802446982</v>
      </c>
      <c r="G19" s="42" t="n">
        <v>81857.42070921118</v>
      </c>
      <c r="H19" s="42" t="n">
        <v>86197.90941556421</v>
      </c>
      <c r="I19" s="42" t="n">
        <v>0</v>
      </c>
      <c r="J19" s="42" t="n">
        <v>0</v>
      </c>
      <c r="K19" s="42" t="n">
        <v>0</v>
      </c>
      <c r="L19" s="42" t="n">
        <v>0</v>
      </c>
      <c r="M19" s="42" t="n">
        <v>0</v>
      </c>
      <c r="N19" s="42" t="n">
        <v>0</v>
      </c>
      <c r="O19" s="42" t="n">
        <v>0</v>
      </c>
      <c r="P19" s="42" t="n">
        <v>0</v>
      </c>
      <c r="Q19" s="42" t="n">
        <v>0</v>
      </c>
      <c r="R19" s="42" t="n">
        <v>0</v>
      </c>
      <c r="S19" s="42" t="n">
        <v>0</v>
      </c>
      <c r="T19" s="42" t="n">
        <v>0</v>
      </c>
      <c r="U19" s="42" t="n">
        <v>0</v>
      </c>
      <c r="V19" s="42" t="n">
        <v>0</v>
      </c>
      <c r="W19" s="42" t="n">
        <v>0</v>
      </c>
      <c r="X19" s="42" t="n">
        <v>0</v>
      </c>
      <c r="Y19" s="42" t="n">
        <v>0</v>
      </c>
      <c r="Z19" s="42" t="n">
        <v>0</v>
      </c>
      <c r="AA19" s="42" t="n">
        <v>0</v>
      </c>
      <c r="AB19" s="42" t="n">
        <v>0</v>
      </c>
      <c r="AC19" s="42" t="n">
        <v>0</v>
      </c>
      <c r="AD19" s="42" t="n">
        <v>0</v>
      </c>
      <c r="AE19" s="42" t="n">
        <v>0</v>
      </c>
      <c r="AF19" s="42" t="n">
        <v>0</v>
      </c>
      <c r="AG19" s="42" t="n">
        <v>0</v>
      </c>
      <c r="AH19" s="42" t="n">
        <v>0</v>
      </c>
      <c r="AI19" s="42" t="n">
        <v>0</v>
      </c>
      <c r="AJ19" s="42" t="n">
        <v>0</v>
      </c>
      <c r="AK19" s="42" t="n">
        <v>0</v>
      </c>
      <c r="AL19" s="42" t="n">
        <v>0</v>
      </c>
      <c r="AM19" s="42" t="n">
        <v>0</v>
      </c>
      <c r="AN19" s="42" t="n">
        <v>0</v>
      </c>
      <c r="AO19" s="42" t="n">
        <v>0</v>
      </c>
      <c r="AP19" s="42" t="n">
        <v>0</v>
      </c>
      <c r="AQ19" s="42" t="n">
        <v>0</v>
      </c>
      <c r="AR19" s="42" t="n">
        <v>0</v>
      </c>
    </row>
    <row r="20">
      <c r="B20" s="39" t="inlineStr">
        <is>
          <t>Uses Total (k£)</t>
        </is>
      </c>
      <c r="C20" s="43">
        <f>SUM(E19:AR19)</f>
        <v/>
      </c>
      <c r="E20" t="inlineStr">
        <is>
          <t> </t>
        </is>
      </c>
    </row>
    <row r="21">
      <c r="B21" s="40" t="inlineStr">
        <is>
          <t>Total Debt Amount (k£)</t>
        </is>
      </c>
      <c r="C21" s="44">
        <f>$C$20*'Input Assumptions'!$D$40</f>
        <v/>
      </c>
    </row>
    <row r="22">
      <c r="B22" s="41" t="inlineStr">
        <is>
          <t>Total Equity Amount (k£)</t>
        </is>
      </c>
      <c r="C22" s="45">
        <f>$C$20*(1-'Input Assumptions'!$D$40)</f>
        <v/>
      </c>
      <c r="E22" s="32" t="n"/>
    </row>
    <row r="25" ht="17.65" customHeight="1">
      <c r="B25" s="29" t="inlineStr">
        <is>
          <t>Sources</t>
        </is>
      </c>
      <c r="C25" s="38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25" t="n"/>
    </row>
    <row r="26">
      <c r="B26" s="9" t="inlineStr">
        <is>
          <t>Equity (k£)</t>
        </is>
      </c>
      <c r="C26" s="33">
        <f>SUM(E26:AR26)</f>
        <v/>
      </c>
      <c r="E26" s="33">
        <f>IF(MAX($C$22-SUM($D$26:D26),0)&gt;E19,E19,MAX($C$22-SUM($D$26:D26),0))</f>
        <v/>
      </c>
      <c r="F26" s="33">
        <f>IF(MAX($C$22-SUM($D$26:E26),0)&gt;F19,F19,MAX($C$22-SUM($D$26:E26),0))</f>
        <v/>
      </c>
      <c r="G26" s="33">
        <f>IF(MAX($C$22-SUM($D$26:F26),0)&gt;G19,G19,MAX($C$22-SUM($D$26:F26),0))</f>
        <v/>
      </c>
      <c r="H26" s="33">
        <f>IF(MAX($C$22-SUM($D$26:G26),0)&gt;H19,H19,MAX($C$22-SUM($D$26:G26),0))</f>
        <v/>
      </c>
      <c r="I26" s="33">
        <f>IF(MAX($C$22-SUM($D$26:H26),0)&gt;I19,I19,MAX($C$22-SUM($D$26:H26),0))</f>
        <v/>
      </c>
      <c r="J26" s="33">
        <f>IF(MAX($C$22-SUM($D$26:I26),0)&gt;J19,J19,MAX($C$22-SUM($D$26:I26),0))</f>
        <v/>
      </c>
      <c r="K26" s="33">
        <f>IF(MAX($C$22-SUM($D$26:J26),0)&gt;K19,K19,MAX($C$22-SUM($D$26:J26),0))</f>
        <v/>
      </c>
      <c r="L26" s="33">
        <f>IF(MAX($C$22-SUM($D$26:K26),0)&gt;L19,L19,MAX($C$22-SUM($D$26:K26),0))</f>
        <v/>
      </c>
      <c r="M26" s="33">
        <f>IF(MAX($C$22-SUM($D$26:L26),0)&gt;M19,M19,MAX($C$22-SUM($D$26:L26),0))</f>
        <v/>
      </c>
      <c r="N26" s="33">
        <f>IF(MAX($C$22-SUM($D$26:M26),0)&gt;N19,N19,MAX($C$22-SUM($D$26:M26),0))</f>
        <v/>
      </c>
      <c r="O26" s="33">
        <f>IF(MAX($C$22-SUM($D$26:N26),0)&gt;O19,O19,MAX($C$22-SUM($D$26:N26),0))</f>
        <v/>
      </c>
      <c r="P26" s="33">
        <f>IF(MAX($C$22-SUM($D$26:O26),0)&gt;P19,P19,MAX($C$22-SUM($D$26:O26),0))</f>
        <v/>
      </c>
      <c r="Q26" s="33">
        <f>IF(MAX($C$22-SUM($D$26:P26),0)&gt;Q19,Q19,MAX($C$22-SUM($D$26:P26),0))</f>
        <v/>
      </c>
      <c r="R26" s="33">
        <f>IF(MAX($C$22-SUM($D$26:Q26),0)&gt;R19,R19,MAX($C$22-SUM($D$26:Q26),0))</f>
        <v/>
      </c>
      <c r="S26" s="33">
        <f>IF(MAX($C$22-SUM($D$26:R26),0)&gt;S19,S19,MAX($C$22-SUM($D$26:R26),0))</f>
        <v/>
      </c>
      <c r="T26" s="33">
        <f>IF(MAX($C$22-SUM($D$26:S26),0)&gt;T19,T19,MAX($C$22-SUM($D$26:S26),0))</f>
        <v/>
      </c>
      <c r="U26" s="33">
        <f>IF(MAX($C$22-SUM($D$26:T26),0)&gt;U19,U19,MAX($C$22-SUM($D$26:T26),0))</f>
        <v/>
      </c>
      <c r="V26" s="33">
        <f>IF(MAX($C$22-SUM($D$26:U26),0)&gt;V19,V19,MAX($C$22-SUM($D$26:U26),0))</f>
        <v/>
      </c>
      <c r="W26" s="33">
        <f>IF(MAX($C$22-SUM($D$26:V26),0)&gt;W19,W19,MAX($C$22-SUM($D$26:V26),0))</f>
        <v/>
      </c>
      <c r="X26" s="33">
        <f>IF(MAX($C$22-SUM($D$26:W26),0)&gt;X19,X19,MAX($C$22-SUM($D$26:W26),0))</f>
        <v/>
      </c>
      <c r="Y26" s="33">
        <f>IF(MAX($C$22-SUM($D$26:X26),0)&gt;Y19,Y19,MAX($C$22-SUM($D$26:X26),0))</f>
        <v/>
      </c>
      <c r="Z26" s="33">
        <f>IF(MAX($C$22-SUM($D$26:Y26),0)&gt;Z19,Z19,MAX($C$22-SUM($D$26:Y26),0))</f>
        <v/>
      </c>
      <c r="AA26" s="33">
        <f>IF(MAX($C$22-SUM($D$26:Z26),0)&gt;AA19,AA19,MAX($C$22-SUM($D$26:Z26),0))</f>
        <v/>
      </c>
      <c r="AB26" s="33">
        <f>IF(MAX($C$22-SUM($D$26:AA26),0)&gt;AB19,AB19,MAX($C$22-SUM($D$26:AA26),0))</f>
        <v/>
      </c>
      <c r="AC26" s="33">
        <f>IF(MAX($C$22-SUM($D$26:AB26),0)&gt;AC19,AC19,MAX($C$22-SUM($D$26:AB26),0))</f>
        <v/>
      </c>
      <c r="AD26" s="33">
        <f>IF(MAX($C$22-SUM($D$26:AC26),0)&gt;AD19,AD19,MAX($C$22-SUM($D$26:AC26),0))</f>
        <v/>
      </c>
      <c r="AE26" s="33">
        <f>IF(MAX($C$22-SUM($D$26:AD26),0)&gt;AE19,AE19,MAX($C$22-SUM($D$26:AD26),0))</f>
        <v/>
      </c>
      <c r="AF26" s="33">
        <f>IF(MAX($C$22-SUM($D$26:AE26),0)&gt;AF19,AF19,MAX($C$22-SUM($D$26:AE26),0))</f>
        <v/>
      </c>
      <c r="AG26" s="33">
        <f>IF(MAX($C$22-SUM($D$26:AF26),0)&gt;AG19,AG19,MAX($C$22-SUM($D$26:AF26),0))</f>
        <v/>
      </c>
      <c r="AH26" s="33">
        <f>IF(MAX($C$22-SUM($D$26:AG26),0)&gt;AH19,AH19,MAX($C$22-SUM($D$26:AG26),0))</f>
        <v/>
      </c>
      <c r="AI26" s="33">
        <f>IF(MAX($C$22-SUM($D$26:AH26),0)&gt;AI19,AI19,MAX($C$22-SUM($D$26:AH26),0))</f>
        <v/>
      </c>
      <c r="AJ26" s="33">
        <f>IF(MAX($C$22-SUM($D$26:AI26),0)&gt;AJ19,AJ19,MAX($C$22-SUM($D$26:AI26),0))</f>
        <v/>
      </c>
      <c r="AK26" s="33">
        <f>IF(MAX($C$22-SUM($D$26:AJ26),0)&gt;AK19,AK19,MAX($C$22-SUM($D$26:AJ26),0))</f>
        <v/>
      </c>
      <c r="AL26" s="33">
        <f>IF(MAX($C$22-SUM($D$26:AK26),0)&gt;AL19,AL19,MAX($C$22-SUM($D$26:AK26),0))</f>
        <v/>
      </c>
      <c r="AM26" s="33">
        <f>IF(MAX($C$22-SUM($D$26:AL26),0)&gt;AM19,AM19,MAX($C$22-SUM($D$26:AL26),0))</f>
        <v/>
      </c>
      <c r="AN26" s="33">
        <f>IF(MAX($C$22-SUM($D$26:AM26),0)&gt;AN19,AN19,MAX($C$22-SUM($D$26:AM26),0))</f>
        <v/>
      </c>
      <c r="AO26" s="33">
        <f>IF(MAX($C$22-SUM($D$26:AN26),0)&gt;AO19,AO19,MAX($C$22-SUM($D$26:AN26),0))</f>
        <v/>
      </c>
      <c r="AP26" s="33">
        <f>IF(MAX($C$22-SUM($D$26:AO26),0)&gt;AP19,AP19,MAX($C$22-SUM($D$26:AO26),0))</f>
        <v/>
      </c>
      <c r="AQ26" s="33">
        <f>IF(MAX($C$22-SUM($D$26:AP26),0)&gt;AQ19,AQ19,MAX($C$22-SUM($D$26:AP26),0))</f>
        <v/>
      </c>
      <c r="AR26" s="33">
        <f>IF(MAX($C$22-SUM($D$26:AQ26),0)&gt;AR19,AR19,MAX($C$22-SUM($D$26:AQ26),0))</f>
        <v/>
      </c>
    </row>
    <row r="27">
      <c r="B27" s="9" t="inlineStr">
        <is>
          <t>Debt (k£)</t>
        </is>
      </c>
      <c r="C27" s="33">
        <f>SUM(E27:AR27)</f>
        <v/>
      </c>
      <c r="E27" s="33">
        <f>IF(E19-E26&gt;0,E19-E26,0)</f>
        <v/>
      </c>
      <c r="F27" s="33">
        <f>IF(F19-F26&gt;0,F19-F26,0)</f>
        <v/>
      </c>
      <c r="G27" s="33">
        <f>IF(G19-G26&gt;0,G19-G26,0)</f>
        <v/>
      </c>
      <c r="H27" s="33">
        <f>IF(H19-H26&gt;0,H19-H26,0)</f>
        <v/>
      </c>
      <c r="I27" s="33">
        <f>IF(I19-I26&gt;0,I19-I26,0)</f>
        <v/>
      </c>
      <c r="J27" s="33">
        <f>IF(J19-J26&gt;0,J19-J26,0)</f>
        <v/>
      </c>
      <c r="K27" s="33">
        <f>IF(K19-K26&gt;0,K19-K26,0)</f>
        <v/>
      </c>
      <c r="L27" s="33">
        <f>IF(L19-L26&gt;0,L19-L26,0)</f>
        <v/>
      </c>
      <c r="M27" s="33">
        <f>IF(M19-M26&gt;0,M19-M26,0)</f>
        <v/>
      </c>
      <c r="N27" s="33">
        <f>IF(N19-N26&gt;0,N19-N26,0)</f>
        <v/>
      </c>
      <c r="O27" s="33">
        <f>IF(O19-O26&gt;0,O19-O26,0)</f>
        <v/>
      </c>
      <c r="P27" s="33">
        <f>IF(P19-P26&gt;0,P19-P26,0)</f>
        <v/>
      </c>
      <c r="Q27" s="33">
        <f>IF(Q19-Q26&gt;0,Q19-Q26,0)</f>
        <v/>
      </c>
      <c r="R27" s="33">
        <f>IF(R19-R26&gt;0,R19-R26,0)</f>
        <v/>
      </c>
      <c r="S27" s="33">
        <f>IF(S19-S26&gt;0,S19-S26,0)</f>
        <v/>
      </c>
      <c r="T27" s="33">
        <f>IF(T19-T26&gt;0,T19-T26,0)</f>
        <v/>
      </c>
      <c r="U27" s="33">
        <f>IF(U19-U26&gt;0,U19-U26,0)</f>
        <v/>
      </c>
      <c r="V27" s="33">
        <f>IF(V19-V26&gt;0,V19-V26,0)</f>
        <v/>
      </c>
      <c r="W27" s="33">
        <f>IF(W19-W26&gt;0,W19-W26,0)</f>
        <v/>
      </c>
      <c r="X27" s="33">
        <f>IF(X19-X26&gt;0,X19-X26,0)</f>
        <v/>
      </c>
      <c r="Y27" s="33">
        <f>IF(Y19-Y26&gt;0,Y19-Y26,0)</f>
        <v/>
      </c>
      <c r="Z27" s="33">
        <f>IF(Z19-Z26&gt;0,Z19-Z26,0)</f>
        <v/>
      </c>
      <c r="AA27" s="33">
        <f>IF(AA19-AA26&gt;0,AA19-AA26,0)</f>
        <v/>
      </c>
      <c r="AB27" s="33">
        <f>IF(AB19-AB26&gt;0,AB19-AB26,0)</f>
        <v/>
      </c>
      <c r="AC27" s="33">
        <f>IF(AC19-AC26&gt;0,AC19-AC26,0)</f>
        <v/>
      </c>
      <c r="AD27" s="33">
        <f>IF(AD19-AD26&gt;0,AD19-AD26,0)</f>
        <v/>
      </c>
      <c r="AE27" s="33">
        <f>IF(AE19-AE26&gt;0,AE19-AE26,0)</f>
        <v/>
      </c>
      <c r="AF27" s="33">
        <f>IF(AF19-AF26&gt;0,AF19-AF26,0)</f>
        <v/>
      </c>
      <c r="AG27" s="33">
        <f>IF(AG19-AG26&gt;0,AG19-AG26,0)</f>
        <v/>
      </c>
      <c r="AH27" s="33">
        <f>IF(AH19-AH26&gt;0,AH19-AH26,0)</f>
        <v/>
      </c>
      <c r="AI27" s="33">
        <f>IF(AI19-AI26&gt;0,AI19-AI26,0)</f>
        <v/>
      </c>
      <c r="AJ27" s="33">
        <f>IF(AJ19-AJ26&gt;0,AJ19-AJ26,0)</f>
        <v/>
      </c>
      <c r="AK27" s="33">
        <f>IF(AK19-AK26&gt;0,AK19-AK26,0)</f>
        <v/>
      </c>
      <c r="AL27" s="33">
        <f>IF(AL19-AL26&gt;0,AL19-AL26,0)</f>
        <v/>
      </c>
      <c r="AM27" s="33">
        <f>IF(AM19-AM26&gt;0,AM19-AM26,0)</f>
        <v/>
      </c>
      <c r="AN27" s="33">
        <f>IF(AN19-AN26&gt;0,AN19-AN26,0)</f>
        <v/>
      </c>
      <c r="AO27" s="33">
        <f>IF(AO19-AO26&gt;0,AO19-AO26,0)</f>
        <v/>
      </c>
      <c r="AP27" s="33">
        <f>IF(AP19-AP26&gt;0,AP19-AP26,0)</f>
        <v/>
      </c>
      <c r="AQ27" s="33">
        <f>IF(AQ19-AQ26&gt;0,AQ19-AQ26,0)</f>
        <v/>
      </c>
      <c r="AR27" s="33">
        <f>IF(AR19-AR26&gt;0,AR19-AR26,0)</f>
        <v/>
      </c>
    </row>
    <row r="28" ht="17.45" customHeight="1">
      <c r="B28" s="34" t="inlineStr">
        <is>
          <t>Total Sources (k£)</t>
        </is>
      </c>
      <c r="C28" s="37">
        <f>SUM(E28:AR28)</f>
        <v/>
      </c>
      <c r="D28" s="34" t="n"/>
      <c r="E28" s="37">
        <f>SUM(E26:E27)</f>
        <v/>
      </c>
      <c r="F28" s="37">
        <f>SUM(F26:F27)</f>
        <v/>
      </c>
      <c r="G28" s="37">
        <f>SUM(G26:G27)</f>
        <v/>
      </c>
      <c r="H28" s="37">
        <f>SUM(H26:H27)</f>
        <v/>
      </c>
      <c r="I28" s="37">
        <f>SUM(I26:I27)</f>
        <v/>
      </c>
      <c r="J28" s="37">
        <f>SUM(J26:J27)</f>
        <v/>
      </c>
      <c r="K28" s="37">
        <f>SUM(K26:K27)</f>
        <v/>
      </c>
      <c r="L28" s="37">
        <f>SUM(L26:L27)</f>
        <v/>
      </c>
      <c r="M28" s="37">
        <f>SUM(M26:M27)</f>
        <v/>
      </c>
      <c r="N28" s="37">
        <f>SUM(N26:N27)</f>
        <v/>
      </c>
      <c r="O28" s="37">
        <f>SUM(O26:O27)</f>
        <v/>
      </c>
      <c r="P28" s="37">
        <f>SUM(P26:P27)</f>
        <v/>
      </c>
      <c r="Q28" s="37">
        <f>SUM(Q26:Q27)</f>
        <v/>
      </c>
      <c r="R28" s="37">
        <f>SUM(R26:R27)</f>
        <v/>
      </c>
      <c r="S28" s="37">
        <f>SUM(S26:S27)</f>
        <v/>
      </c>
      <c r="T28" s="37">
        <f>SUM(T26:T27)</f>
        <v/>
      </c>
      <c r="U28" s="37">
        <f>SUM(U26:U27)</f>
        <v/>
      </c>
      <c r="V28" s="37">
        <f>SUM(V26:V27)</f>
        <v/>
      </c>
      <c r="W28" s="37">
        <f>SUM(W26:W27)</f>
        <v/>
      </c>
      <c r="X28" s="37">
        <f>SUM(X26:X27)</f>
        <v/>
      </c>
      <c r="Y28" s="37">
        <f>SUM(Y26:Y27)</f>
        <v/>
      </c>
      <c r="Z28" s="37">
        <f>SUM(Z26:Z27)</f>
        <v/>
      </c>
      <c r="AA28" s="37">
        <f>SUM(AA26:AA27)</f>
        <v/>
      </c>
      <c r="AB28" s="37">
        <f>SUM(AB26:AB27)</f>
        <v/>
      </c>
      <c r="AC28" s="37">
        <f>SUM(AC26:AC27)</f>
        <v/>
      </c>
      <c r="AD28" s="37">
        <f>SUM(AD26:AD27)</f>
        <v/>
      </c>
      <c r="AE28" s="37">
        <f>SUM(AE26:AE27)</f>
        <v/>
      </c>
      <c r="AF28" s="37">
        <f>SUM(AF26:AF27)</f>
        <v/>
      </c>
      <c r="AG28" s="37">
        <f>SUM(AG26:AG27)</f>
        <v/>
      </c>
      <c r="AH28" s="37">
        <f>SUM(AH26:AH27)</f>
        <v/>
      </c>
      <c r="AI28" s="37">
        <f>SUM(AI26:AI27)</f>
        <v/>
      </c>
      <c r="AJ28" s="37">
        <f>SUM(AJ26:AJ27)</f>
        <v/>
      </c>
      <c r="AK28" s="37">
        <f>SUM(AK26:AK27)</f>
        <v/>
      </c>
      <c r="AL28" s="37">
        <f>SUM(AL26:AL27)</f>
        <v/>
      </c>
      <c r="AM28" s="37">
        <f>SUM(AM26:AM27)</f>
        <v/>
      </c>
      <c r="AN28" s="37">
        <f>SUM(AN26:AN27)</f>
        <v/>
      </c>
      <c r="AO28" s="37">
        <f>SUM(AO26:AO27)</f>
        <v/>
      </c>
      <c r="AP28" s="37">
        <f>SUM(AP26:AP27)</f>
        <v/>
      </c>
      <c r="AQ28" s="37">
        <f>SUM(AQ26:AQ27)</f>
        <v/>
      </c>
      <c r="AR28" s="37">
        <f>SUM(AR26:AR27)</f>
        <v/>
      </c>
    </row>
    <row r="32" ht="17.65" customHeight="1">
      <c r="B32" s="29" t="inlineStr">
        <is>
          <t>Debt Drawdown Schedule</t>
        </is>
      </c>
      <c r="C32" s="38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25" t="n"/>
    </row>
    <row r="33">
      <c r="B33" t="inlineStr">
        <is>
          <t>Debt Outstanding BoP (k£)</t>
        </is>
      </c>
      <c r="E33" s="42" t="n">
        <v>0</v>
      </c>
      <c r="F33" s="33">
        <f>E35</f>
        <v/>
      </c>
      <c r="G33" s="33">
        <f>F35</f>
        <v/>
      </c>
      <c r="H33" s="33">
        <f>G35</f>
        <v/>
      </c>
      <c r="I33" s="33">
        <f>H35</f>
        <v/>
      </c>
      <c r="J33" s="33">
        <f>I35</f>
        <v/>
      </c>
      <c r="K33" s="33">
        <f>J35</f>
        <v/>
      </c>
      <c r="L33" s="33">
        <f>K35</f>
        <v/>
      </c>
      <c r="M33" s="33">
        <f>L35</f>
        <v/>
      </c>
      <c r="N33" s="33">
        <f>M35</f>
        <v/>
      </c>
      <c r="O33" s="33">
        <f>N35</f>
        <v/>
      </c>
      <c r="P33" s="33">
        <f>O35</f>
        <v/>
      </c>
      <c r="Q33" s="33">
        <f>P35</f>
        <v/>
      </c>
      <c r="R33" s="33">
        <f>Q35</f>
        <v/>
      </c>
      <c r="S33" s="33">
        <f>R35</f>
        <v/>
      </c>
      <c r="T33" s="33">
        <f>S35</f>
        <v/>
      </c>
      <c r="U33" s="33">
        <f>T35</f>
        <v/>
      </c>
      <c r="V33" s="33">
        <f>U35</f>
        <v/>
      </c>
      <c r="W33" s="33">
        <f>V35</f>
        <v/>
      </c>
      <c r="X33" s="33">
        <f>W35</f>
        <v/>
      </c>
      <c r="Y33" s="33">
        <f>X35</f>
        <v/>
      </c>
      <c r="Z33" s="33">
        <f>Y35</f>
        <v/>
      </c>
      <c r="AA33" s="33">
        <f>Z35</f>
        <v/>
      </c>
      <c r="AB33" s="33">
        <f>AA35</f>
        <v/>
      </c>
      <c r="AC33" s="33">
        <f>AB35</f>
        <v/>
      </c>
      <c r="AD33" s="33">
        <f>AC35</f>
        <v/>
      </c>
      <c r="AE33" s="33">
        <f>AD35</f>
        <v/>
      </c>
      <c r="AF33" s="33">
        <f>AE35</f>
        <v/>
      </c>
      <c r="AG33" s="33">
        <f>AF35</f>
        <v/>
      </c>
      <c r="AH33" s="33">
        <f>AG35</f>
        <v/>
      </c>
      <c r="AI33" s="33">
        <f>AH35</f>
        <v/>
      </c>
      <c r="AJ33" s="33">
        <f>AI35</f>
        <v/>
      </c>
      <c r="AK33" s="33">
        <f>AJ35</f>
        <v/>
      </c>
      <c r="AL33" s="33">
        <f>AK35</f>
        <v/>
      </c>
      <c r="AM33" s="33">
        <f>AL35</f>
        <v/>
      </c>
      <c r="AN33" s="33">
        <f>AM35</f>
        <v/>
      </c>
      <c r="AO33" s="33">
        <f>AN35</f>
        <v/>
      </c>
      <c r="AP33" s="33">
        <f>AO35</f>
        <v/>
      </c>
      <c r="AQ33" s="33">
        <f>AP35</f>
        <v/>
      </c>
      <c r="AR33" s="33">
        <f>AQ35</f>
        <v/>
      </c>
    </row>
    <row r="34">
      <c r="B34" t="inlineStr">
        <is>
          <t>Debt Drawdown (k£)</t>
        </is>
      </c>
      <c r="C34" s="33">
        <f>SUM(E34:AR34)</f>
        <v/>
      </c>
      <c r="E34" s="33">
        <f>E27</f>
        <v/>
      </c>
      <c r="F34" s="33">
        <f>F27</f>
        <v/>
      </c>
      <c r="G34" s="33">
        <f>G27</f>
        <v/>
      </c>
      <c r="H34" s="33">
        <f>H27</f>
        <v/>
      </c>
      <c r="I34" s="33">
        <f>I27</f>
        <v/>
      </c>
      <c r="J34" s="33">
        <f>J27</f>
        <v/>
      </c>
      <c r="K34" s="33">
        <f>K27</f>
        <v/>
      </c>
      <c r="L34" s="33">
        <f>L27</f>
        <v/>
      </c>
      <c r="M34" s="33">
        <f>M27</f>
        <v/>
      </c>
      <c r="N34" s="33">
        <f>N27</f>
        <v/>
      </c>
      <c r="O34" s="33">
        <f>O27</f>
        <v/>
      </c>
      <c r="P34" s="33">
        <f>P27</f>
        <v/>
      </c>
      <c r="Q34" s="33">
        <f>Q27</f>
        <v/>
      </c>
      <c r="R34" s="33">
        <f>R27</f>
        <v/>
      </c>
      <c r="S34" s="33">
        <f>S27</f>
        <v/>
      </c>
      <c r="T34" s="33">
        <f>T27</f>
        <v/>
      </c>
      <c r="U34" s="33">
        <f>U27</f>
        <v/>
      </c>
      <c r="V34" s="33">
        <f>V27</f>
        <v/>
      </c>
      <c r="W34" s="33">
        <f>W27</f>
        <v/>
      </c>
      <c r="X34" s="33">
        <f>X27</f>
        <v/>
      </c>
      <c r="Y34" s="33">
        <f>Y27</f>
        <v/>
      </c>
      <c r="Z34" s="33">
        <f>Z27</f>
        <v/>
      </c>
      <c r="AA34" s="33">
        <f>AA27</f>
        <v/>
      </c>
      <c r="AB34" s="33">
        <f>AB27</f>
        <v/>
      </c>
      <c r="AC34" s="33">
        <f>AC27</f>
        <v/>
      </c>
      <c r="AD34" s="33">
        <f>AD27</f>
        <v/>
      </c>
      <c r="AE34" s="33">
        <f>AE27</f>
        <v/>
      </c>
      <c r="AF34" s="33">
        <f>AF27</f>
        <v/>
      </c>
      <c r="AG34" s="33">
        <f>AG27</f>
        <v/>
      </c>
      <c r="AH34" s="33">
        <f>AH27</f>
        <v/>
      </c>
      <c r="AI34" s="33">
        <f>AI27</f>
        <v/>
      </c>
      <c r="AJ34" s="33">
        <f>AJ27</f>
        <v/>
      </c>
      <c r="AK34" s="33">
        <f>AK27</f>
        <v/>
      </c>
      <c r="AL34" s="33">
        <f>AL27</f>
        <v/>
      </c>
      <c r="AM34" s="33">
        <f>AM27</f>
        <v/>
      </c>
      <c r="AN34" s="33">
        <f>AN27</f>
        <v/>
      </c>
      <c r="AO34" s="33">
        <f>AO27</f>
        <v/>
      </c>
      <c r="AP34" s="33">
        <f>AP27</f>
        <v/>
      </c>
      <c r="AQ34" s="33">
        <f>AQ27</f>
        <v/>
      </c>
      <c r="AR34" s="33">
        <f>AR27</f>
        <v/>
      </c>
    </row>
    <row r="35">
      <c r="B35" t="inlineStr">
        <is>
          <t>Debt Outstanding EoP (k£)</t>
        </is>
      </c>
      <c r="E35" s="33">
        <f>SUM(E33:E34)</f>
        <v/>
      </c>
      <c r="F35" s="33">
        <f>SUM(F33:F34)</f>
        <v/>
      </c>
      <c r="G35" s="33">
        <f>SUM(G33:G34)</f>
        <v/>
      </c>
      <c r="H35" s="33">
        <f>SUM(H33:H34)</f>
        <v/>
      </c>
      <c r="I35" s="33">
        <f>SUM(I33:I34)</f>
        <v/>
      </c>
      <c r="J35" s="33">
        <f>SUM(J33:J34)</f>
        <v/>
      </c>
      <c r="K35" s="33">
        <f>SUM(K33:K34)</f>
        <v/>
      </c>
      <c r="L35" s="33">
        <f>SUM(L33:L34)</f>
        <v/>
      </c>
      <c r="M35" s="33">
        <f>SUM(M33:M34)</f>
        <v/>
      </c>
      <c r="N35" s="33">
        <f>SUM(N33:N34)</f>
        <v/>
      </c>
      <c r="O35" s="33">
        <f>SUM(O33:O34)</f>
        <v/>
      </c>
      <c r="P35" s="33">
        <f>SUM(P33:P34)</f>
        <v/>
      </c>
      <c r="Q35" s="33">
        <f>SUM(Q33:Q34)</f>
        <v/>
      </c>
      <c r="R35" s="33">
        <f>SUM(R33:R34)</f>
        <v/>
      </c>
      <c r="S35" s="33">
        <f>SUM(S33:S34)</f>
        <v/>
      </c>
      <c r="T35" s="33">
        <f>SUM(T33:T34)</f>
        <v/>
      </c>
      <c r="U35" s="33">
        <f>SUM(U33:U34)</f>
        <v/>
      </c>
      <c r="V35" s="33">
        <f>SUM(V33:V34)</f>
        <v/>
      </c>
      <c r="W35" s="33">
        <f>SUM(W33:W34)</f>
        <v/>
      </c>
      <c r="X35" s="33">
        <f>SUM(X33:X34)</f>
        <v/>
      </c>
      <c r="Y35" s="33">
        <f>SUM(Y33:Y34)</f>
        <v/>
      </c>
      <c r="Z35" s="33">
        <f>SUM(Z33:Z34)</f>
        <v/>
      </c>
      <c r="AA35" s="33">
        <f>SUM(AA33:AA34)</f>
        <v/>
      </c>
      <c r="AB35" s="33">
        <f>SUM(AB33:AB34)</f>
        <v/>
      </c>
      <c r="AC35" s="33">
        <f>SUM(AC33:AC34)</f>
        <v/>
      </c>
      <c r="AD35" s="33">
        <f>SUM(AD33:AD34)</f>
        <v/>
      </c>
      <c r="AE35" s="33">
        <f>SUM(AE33:AE34)</f>
        <v/>
      </c>
      <c r="AF35" s="33">
        <f>SUM(AF33:AF34)</f>
        <v/>
      </c>
      <c r="AG35" s="33">
        <f>SUM(AG33:AG34)</f>
        <v/>
      </c>
      <c r="AH35" s="33">
        <f>SUM(AH33:AH34)</f>
        <v/>
      </c>
      <c r="AI35" s="33">
        <f>SUM(AI33:AI34)</f>
        <v/>
      </c>
      <c r="AJ35" s="33">
        <f>SUM(AJ33:AJ34)</f>
        <v/>
      </c>
      <c r="AK35" s="33">
        <f>SUM(AK33:AK34)</f>
        <v/>
      </c>
      <c r="AL35" s="33">
        <f>SUM(AL33:AL34)</f>
        <v/>
      </c>
      <c r="AM35" s="33">
        <f>SUM(AM33:AM34)</f>
        <v/>
      </c>
      <c r="AN35" s="33">
        <f>SUM(AN33:AN34)</f>
        <v/>
      </c>
      <c r="AO35" s="33">
        <f>SUM(AO33:AO34)</f>
        <v/>
      </c>
      <c r="AP35" s="33">
        <f>SUM(AP33:AP34)</f>
        <v/>
      </c>
      <c r="AQ35" s="33">
        <f>SUM(AQ33:AQ34)</f>
        <v/>
      </c>
      <c r="AR35" s="33">
        <f>SUM(AR33:AR34)</f>
        <v/>
      </c>
    </row>
    <row r="36">
      <c r="E36" s="32" t="n"/>
      <c r="F36" s="33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  <c r="X36" s="32" t="n"/>
      <c r="Y36" s="32" t="n"/>
      <c r="Z36" s="32" t="n"/>
      <c r="AA36" s="32" t="n"/>
      <c r="AB36" s="32" t="n"/>
      <c r="AC36" s="32" t="n"/>
      <c r="AD36" s="32" t="n"/>
      <c r="AE36" s="32" t="n"/>
      <c r="AF36" s="32" t="n"/>
      <c r="AG36" s="32" t="n"/>
      <c r="AH36" s="32" t="n"/>
      <c r="AI36" s="32" t="n"/>
      <c r="AJ36" s="32" t="n"/>
      <c r="AK36" s="32" t="n"/>
      <c r="AL36" s="32" t="n"/>
      <c r="AM36" s="32" t="n"/>
      <c r="AN36" s="32" t="n"/>
      <c r="AO36" s="32" t="n"/>
      <c r="AP36" s="32" t="n"/>
      <c r="AQ36" s="32" t="n"/>
      <c r="AR36" s="32" t="n"/>
    </row>
    <row r="37">
      <c r="B37" t="inlineStr">
        <is>
          <t>Arrangement fee (k£)</t>
        </is>
      </c>
      <c r="E37" s="33">
        <f>'Input Assumptions'!$D$37*Construction!$C$34*TBA!D13</f>
        <v/>
      </c>
      <c r="F37" s="33">
        <f>'Input Assumptions'!$D$37*Construction!$C$34*TBA!E13</f>
        <v/>
      </c>
      <c r="G37" s="33">
        <f>'Input Assumptions'!$D$37*Construction!$C$34*TBA!F13</f>
        <v/>
      </c>
      <c r="H37" s="33">
        <f>'Input Assumptions'!$D$37*Construction!$C$34*TBA!G13</f>
        <v/>
      </c>
      <c r="I37" s="33">
        <f>'Input Assumptions'!$D$37*Construction!$C$34*TBA!H13</f>
        <v/>
      </c>
      <c r="J37" s="33">
        <f>'Input Assumptions'!$D$37*Construction!$C$34*TBA!I13</f>
        <v/>
      </c>
      <c r="K37" s="33">
        <f>'Input Assumptions'!$D$37*Construction!$C$34*TBA!J13</f>
        <v/>
      </c>
      <c r="L37" s="33">
        <f>'Input Assumptions'!$D$37*Construction!$C$34*TBA!K13</f>
        <v/>
      </c>
      <c r="M37" s="33">
        <f>'Input Assumptions'!$D$37*Construction!$C$34*TBA!L13</f>
        <v/>
      </c>
      <c r="N37" s="33">
        <f>'Input Assumptions'!$D$37*Construction!$C$34*TBA!M13</f>
        <v/>
      </c>
      <c r="O37" s="33">
        <f>'Input Assumptions'!$D$37*Construction!$C$34*TBA!N13</f>
        <v/>
      </c>
      <c r="P37" s="33">
        <f>'Input Assumptions'!$D$37*Construction!$C$34*TBA!O13</f>
        <v/>
      </c>
      <c r="Q37" s="33">
        <f>'Input Assumptions'!$D$37*Construction!$C$34*TBA!P13</f>
        <v/>
      </c>
      <c r="R37" s="33">
        <f>'Input Assumptions'!$D$37*Construction!$C$34*TBA!Q13</f>
        <v/>
      </c>
      <c r="S37" s="33">
        <f>'Input Assumptions'!$D$37*Construction!$C$34*TBA!R13</f>
        <v/>
      </c>
      <c r="T37" s="33">
        <f>'Input Assumptions'!$D$37*Construction!$C$34*TBA!S13</f>
        <v/>
      </c>
      <c r="U37" s="33">
        <f>'Input Assumptions'!$D$37*Construction!$C$34*TBA!T13</f>
        <v/>
      </c>
      <c r="V37" s="33">
        <f>'Input Assumptions'!$D$37*Construction!$C$34*TBA!U13</f>
        <v/>
      </c>
      <c r="W37" s="33">
        <f>'Input Assumptions'!$D$37*Construction!$C$34*TBA!V13</f>
        <v/>
      </c>
      <c r="X37" s="33">
        <f>'Input Assumptions'!$D$37*Construction!$C$34*TBA!W13</f>
        <v/>
      </c>
      <c r="Y37" s="33">
        <f>'Input Assumptions'!$D$37*Construction!$C$34*TBA!X13</f>
        <v/>
      </c>
      <c r="Z37" s="33">
        <f>'Input Assumptions'!$D$37*Construction!$C$34*TBA!Y13</f>
        <v/>
      </c>
      <c r="AA37" s="33">
        <f>'Input Assumptions'!$D$37*Construction!$C$34*TBA!Z13</f>
        <v/>
      </c>
      <c r="AB37" s="33">
        <f>'Input Assumptions'!$D$37*Construction!$C$34*TBA!AA13</f>
        <v/>
      </c>
      <c r="AC37" s="33">
        <f>'Input Assumptions'!$D$37*Construction!$C$34*TBA!AB13</f>
        <v/>
      </c>
      <c r="AD37" s="33">
        <f>'Input Assumptions'!$D$37*Construction!$C$34*TBA!AC13</f>
        <v/>
      </c>
      <c r="AE37" s="33">
        <f>'Input Assumptions'!$D$37*Construction!$C$34*TBA!AD13</f>
        <v/>
      </c>
      <c r="AF37" s="33">
        <f>'Input Assumptions'!$D$37*Construction!$C$34*TBA!AE13</f>
        <v/>
      </c>
      <c r="AG37" s="33">
        <f>'Input Assumptions'!$D$37*Construction!$C$34*TBA!AF13</f>
        <v/>
      </c>
      <c r="AH37" s="33">
        <f>'Input Assumptions'!$D$37*Construction!$C$34*TBA!AG13</f>
        <v/>
      </c>
      <c r="AI37" s="33">
        <f>'Input Assumptions'!$D$37*Construction!$C$34*TBA!AH13</f>
        <v/>
      </c>
      <c r="AJ37" s="33">
        <f>'Input Assumptions'!$D$37*Construction!$C$34*TBA!AI13</f>
        <v/>
      </c>
      <c r="AK37" s="33">
        <f>'Input Assumptions'!$D$37*Construction!$C$34*TBA!AJ13</f>
        <v/>
      </c>
      <c r="AL37" s="33">
        <f>'Input Assumptions'!$D$37*Construction!$C$34*TBA!AK13</f>
        <v/>
      </c>
      <c r="AM37" s="33">
        <f>'Input Assumptions'!$D$37*Construction!$C$34*TBA!AL13</f>
        <v/>
      </c>
      <c r="AN37" s="33">
        <f>'Input Assumptions'!$D$37*Construction!$C$34*TBA!AM13</f>
        <v/>
      </c>
      <c r="AO37" s="33">
        <f>'Input Assumptions'!$D$37*Construction!$C$34*TBA!AN13</f>
        <v/>
      </c>
      <c r="AP37" s="33">
        <f>'Input Assumptions'!$D$37*Construction!$C$34*TBA!AO13</f>
        <v/>
      </c>
      <c r="AQ37" s="33">
        <f>'Input Assumptions'!$D$37*Construction!$C$34*TBA!AP13</f>
        <v/>
      </c>
      <c r="AR37" s="33">
        <f>'Input Assumptions'!$D$37*Construction!$C$34*TBA!AQ13</f>
        <v/>
      </c>
    </row>
    <row r="38">
      <c r="B38" t="inlineStr">
        <is>
          <t>Engagement fee (k£)</t>
        </is>
      </c>
      <c r="E38" s="33">
        <f>($C$34-E33)*TBA!D14*'Input Assumptions'!$D$36*'Input Assumptions'!$D$38</f>
        <v/>
      </c>
      <c r="F38" s="33">
        <f>($C$34-F33)*TBA!E14*'Input Assumptions'!$D$36*'Input Assumptions'!$D$38</f>
        <v/>
      </c>
      <c r="G38" s="33">
        <f>($C$34-G33)*TBA!F14*'Input Assumptions'!$D$36*'Input Assumptions'!$D$38</f>
        <v/>
      </c>
      <c r="H38" s="33">
        <f>($C$34-H33)*TBA!G14*'Input Assumptions'!$D$36*'Input Assumptions'!$D$38</f>
        <v/>
      </c>
      <c r="I38" s="33">
        <f>($C$34-I33)*TBA!H14*'Input Assumptions'!$D$36*'Input Assumptions'!$D$38</f>
        <v/>
      </c>
      <c r="J38" s="33">
        <f>($C$34-J33)*TBA!I14*'Input Assumptions'!$D$36*'Input Assumptions'!$D$38</f>
        <v/>
      </c>
      <c r="K38" s="33">
        <f>($C$34-K33)*TBA!J14*'Input Assumptions'!$D$36*'Input Assumptions'!$D$38</f>
        <v/>
      </c>
      <c r="L38" s="33">
        <f>($C$34-L33)*TBA!K14*'Input Assumptions'!$D$36*'Input Assumptions'!$D$38</f>
        <v/>
      </c>
      <c r="M38" s="33">
        <f>($C$34-M33)*TBA!L14*'Input Assumptions'!$D$36*'Input Assumptions'!$D$38</f>
        <v/>
      </c>
      <c r="N38" s="33">
        <f>($C$34-N33)*TBA!M14*'Input Assumptions'!$D$36*'Input Assumptions'!$D$38</f>
        <v/>
      </c>
      <c r="O38" s="33">
        <f>($C$34-O33)*TBA!N14*'Input Assumptions'!$D$36*'Input Assumptions'!$D$38</f>
        <v/>
      </c>
      <c r="P38" s="33">
        <f>($C$34-P33)*TBA!O14*'Input Assumptions'!$D$36*'Input Assumptions'!$D$38</f>
        <v/>
      </c>
      <c r="Q38" s="33">
        <f>($C$34-Q33)*TBA!P14*'Input Assumptions'!$D$36*'Input Assumptions'!$D$38</f>
        <v/>
      </c>
      <c r="R38" s="33">
        <f>($C$34-R33)*TBA!Q14*'Input Assumptions'!$D$36*'Input Assumptions'!$D$38</f>
        <v/>
      </c>
      <c r="S38" s="33">
        <f>($C$34-S33)*TBA!R14*'Input Assumptions'!$D$36*'Input Assumptions'!$D$38</f>
        <v/>
      </c>
      <c r="T38" s="33">
        <f>($C$34-T33)*TBA!S14*'Input Assumptions'!$D$36*'Input Assumptions'!$D$38</f>
        <v/>
      </c>
      <c r="U38" s="33">
        <f>($C$34-U33)*TBA!T14*'Input Assumptions'!$D$36*'Input Assumptions'!$D$38</f>
        <v/>
      </c>
      <c r="V38" s="33">
        <f>($C$34-V33)*TBA!U14*'Input Assumptions'!$D$36*'Input Assumptions'!$D$38</f>
        <v/>
      </c>
      <c r="W38" s="33">
        <f>($C$34-W33)*TBA!V14*'Input Assumptions'!$D$36*'Input Assumptions'!$D$38</f>
        <v/>
      </c>
      <c r="X38" s="33">
        <f>($C$34-X33)*TBA!W14*'Input Assumptions'!$D$36*'Input Assumptions'!$D$38</f>
        <v/>
      </c>
      <c r="Y38" s="33">
        <f>($C$34-Y33)*TBA!X14*'Input Assumptions'!$D$36*'Input Assumptions'!$D$38</f>
        <v/>
      </c>
      <c r="Z38" s="33">
        <f>($C$34-Z33)*TBA!Y14*'Input Assumptions'!$D$36*'Input Assumptions'!$D$38</f>
        <v/>
      </c>
      <c r="AA38" s="33">
        <f>($C$34-AA33)*TBA!Z14*'Input Assumptions'!$D$36*'Input Assumptions'!$D$38</f>
        <v/>
      </c>
      <c r="AB38" s="33">
        <f>($C$34-AB33)*TBA!AA14*'Input Assumptions'!$D$36*'Input Assumptions'!$D$38</f>
        <v/>
      </c>
      <c r="AC38" s="33">
        <f>($C$34-AC33)*TBA!AB14*'Input Assumptions'!$D$36*'Input Assumptions'!$D$38</f>
        <v/>
      </c>
      <c r="AD38" s="33">
        <f>($C$34-AD33)*TBA!AC14*'Input Assumptions'!$D$36*'Input Assumptions'!$D$38</f>
        <v/>
      </c>
      <c r="AE38" s="33">
        <f>($C$34-AE33)*TBA!AD14*'Input Assumptions'!$D$36*'Input Assumptions'!$D$38</f>
        <v/>
      </c>
      <c r="AF38" s="33">
        <f>($C$34-AF33)*TBA!AE14*'Input Assumptions'!$D$36*'Input Assumptions'!$D$38</f>
        <v/>
      </c>
      <c r="AG38" s="33">
        <f>($C$34-AG33)*TBA!AF14*'Input Assumptions'!$D$36*'Input Assumptions'!$D$38</f>
        <v/>
      </c>
      <c r="AH38" s="33">
        <f>($C$34-AH33)*TBA!AG14*'Input Assumptions'!$D$36*'Input Assumptions'!$D$38</f>
        <v/>
      </c>
      <c r="AI38" s="33">
        <f>($C$34-AI33)*TBA!AH14*'Input Assumptions'!$D$36*'Input Assumptions'!$D$38</f>
        <v/>
      </c>
      <c r="AJ38" s="33">
        <f>($C$34-AJ33)*TBA!AI14*'Input Assumptions'!$D$36*'Input Assumptions'!$D$38</f>
        <v/>
      </c>
      <c r="AK38" s="33">
        <f>($C$34-AK33)*TBA!AJ14*'Input Assumptions'!$D$36*'Input Assumptions'!$D$38</f>
        <v/>
      </c>
      <c r="AL38" s="33">
        <f>($C$34-AL33)*TBA!AK14*'Input Assumptions'!$D$36*'Input Assumptions'!$D$38</f>
        <v/>
      </c>
      <c r="AM38" s="33">
        <f>($C$34-AM33)*TBA!AL14*'Input Assumptions'!$D$36*'Input Assumptions'!$D$38</f>
        <v/>
      </c>
      <c r="AN38" s="33">
        <f>($C$34-AN33)*TBA!AM14*'Input Assumptions'!$D$36*'Input Assumptions'!$D$38</f>
        <v/>
      </c>
      <c r="AO38" s="33">
        <f>($C$34-AO33)*TBA!AN14*'Input Assumptions'!$D$36*'Input Assumptions'!$D$38</f>
        <v/>
      </c>
      <c r="AP38" s="33">
        <f>($C$34-AP33)*TBA!AO14*'Input Assumptions'!$D$36*'Input Assumptions'!$D$38</f>
        <v/>
      </c>
      <c r="AQ38" s="33">
        <f>($C$34-AQ33)*TBA!AP14*'Input Assumptions'!$D$36*'Input Assumptions'!$D$38</f>
        <v/>
      </c>
      <c r="AR38" s="33">
        <f>($C$34-AR33)*TBA!AQ14*'Input Assumptions'!$D$36*'Input Assumptions'!$D$38</f>
        <v/>
      </c>
    </row>
    <row r="39">
      <c r="B39" t="inlineStr">
        <is>
          <t>Capitalized Interests (k£)</t>
        </is>
      </c>
      <c r="E39" s="33">
        <f>('Input Assumptions'!$D$35+'Input Assumptions'!$D$36)*E33*TBA!D14</f>
        <v/>
      </c>
      <c r="F39" s="33">
        <f>('Input Assumptions'!$D$35+'Input Assumptions'!$D$36)*F33*TBA!E14</f>
        <v/>
      </c>
      <c r="G39" s="33">
        <f>('Input Assumptions'!$D$35+'Input Assumptions'!$D$36)*G33*TBA!F14</f>
        <v/>
      </c>
      <c r="H39" s="33">
        <f>('Input Assumptions'!$D$35+'Input Assumptions'!$D$36)*H33*TBA!G14</f>
        <v/>
      </c>
      <c r="I39" s="33">
        <f>('Input Assumptions'!$D$35+'Input Assumptions'!$D$36)*I33*TBA!H14</f>
        <v/>
      </c>
      <c r="J39" s="33">
        <f>('Input Assumptions'!$D$35+'Input Assumptions'!$D$36)*J33*TBA!I14</f>
        <v/>
      </c>
      <c r="K39" s="33">
        <f>('Input Assumptions'!$D$35+'Input Assumptions'!$D$36)*K33*TBA!J14</f>
        <v/>
      </c>
      <c r="L39" s="33">
        <f>('Input Assumptions'!$D$35+'Input Assumptions'!$D$36)*L33*TBA!K14</f>
        <v/>
      </c>
      <c r="M39" s="33">
        <f>('Input Assumptions'!$D$35+'Input Assumptions'!$D$36)*M33*TBA!L14</f>
        <v/>
      </c>
      <c r="N39" s="33">
        <f>('Input Assumptions'!$D$35+'Input Assumptions'!$D$36)*N33*TBA!M14</f>
        <v/>
      </c>
      <c r="O39" s="33">
        <f>('Input Assumptions'!$D$35+'Input Assumptions'!$D$36)*O33*TBA!N14</f>
        <v/>
      </c>
      <c r="P39" s="33">
        <f>('Input Assumptions'!$D$35+'Input Assumptions'!$D$36)*P33*TBA!O14</f>
        <v/>
      </c>
      <c r="Q39" s="33">
        <f>('Input Assumptions'!$D$35+'Input Assumptions'!$D$36)*Q33*TBA!P14</f>
        <v/>
      </c>
      <c r="R39" s="33">
        <f>('Input Assumptions'!$D$35+'Input Assumptions'!$D$36)*R33*TBA!Q14</f>
        <v/>
      </c>
      <c r="S39" s="33">
        <f>('Input Assumptions'!$D$35+'Input Assumptions'!$D$36)*S33*TBA!R14</f>
        <v/>
      </c>
      <c r="T39" s="33">
        <f>('Input Assumptions'!$D$35+'Input Assumptions'!$D$36)*T33*TBA!S14</f>
        <v/>
      </c>
      <c r="U39" s="33">
        <f>('Input Assumptions'!$D$35+'Input Assumptions'!$D$36)*U33*TBA!T14</f>
        <v/>
      </c>
      <c r="V39" s="33">
        <f>('Input Assumptions'!$D$35+'Input Assumptions'!$D$36)*V33*TBA!U14</f>
        <v/>
      </c>
      <c r="W39" s="33">
        <f>('Input Assumptions'!$D$35+'Input Assumptions'!$D$36)*W33*TBA!V14</f>
        <v/>
      </c>
      <c r="X39" s="33">
        <f>('Input Assumptions'!$D$35+'Input Assumptions'!$D$36)*X33*TBA!W14</f>
        <v/>
      </c>
      <c r="Y39" s="33">
        <f>('Input Assumptions'!$D$35+'Input Assumptions'!$D$36)*Y33*TBA!X14</f>
        <v/>
      </c>
      <c r="Z39" s="33">
        <f>('Input Assumptions'!$D$35+'Input Assumptions'!$D$36)*Z33*TBA!Y14</f>
        <v/>
      </c>
      <c r="AA39" s="33">
        <f>('Input Assumptions'!$D$35+'Input Assumptions'!$D$36)*AA33*TBA!Z14</f>
        <v/>
      </c>
      <c r="AB39" s="33">
        <f>('Input Assumptions'!$D$35+'Input Assumptions'!$D$36)*AB33*TBA!AA14</f>
        <v/>
      </c>
      <c r="AC39" s="33">
        <f>('Input Assumptions'!$D$35+'Input Assumptions'!$D$36)*AC33*TBA!AB14</f>
        <v/>
      </c>
      <c r="AD39" s="33">
        <f>('Input Assumptions'!$D$35+'Input Assumptions'!$D$36)*AD33*TBA!AC14</f>
        <v/>
      </c>
      <c r="AE39" s="33">
        <f>('Input Assumptions'!$D$35+'Input Assumptions'!$D$36)*AE33*TBA!AD14</f>
        <v/>
      </c>
      <c r="AF39" s="33">
        <f>('Input Assumptions'!$D$35+'Input Assumptions'!$D$36)*AF33*TBA!AE14</f>
        <v/>
      </c>
      <c r="AG39" s="33">
        <f>('Input Assumptions'!$D$35+'Input Assumptions'!$D$36)*AG33*TBA!AF14</f>
        <v/>
      </c>
      <c r="AH39" s="33">
        <f>('Input Assumptions'!$D$35+'Input Assumptions'!$D$36)*AH33*TBA!AG14</f>
        <v/>
      </c>
      <c r="AI39" s="33">
        <f>('Input Assumptions'!$D$35+'Input Assumptions'!$D$36)*AI33*TBA!AH14</f>
        <v/>
      </c>
      <c r="AJ39" s="33">
        <f>('Input Assumptions'!$D$35+'Input Assumptions'!$D$36)*AJ33*TBA!AI14</f>
        <v/>
      </c>
      <c r="AK39" s="33">
        <f>('Input Assumptions'!$D$35+'Input Assumptions'!$D$36)*AK33*TBA!AJ14</f>
        <v/>
      </c>
      <c r="AL39" s="33">
        <f>('Input Assumptions'!$D$35+'Input Assumptions'!$D$36)*AL33*TBA!AK14</f>
        <v/>
      </c>
      <c r="AM39" s="33">
        <f>('Input Assumptions'!$D$35+'Input Assumptions'!$D$36)*AM33*TBA!AL14</f>
        <v/>
      </c>
      <c r="AN39" s="33">
        <f>('Input Assumptions'!$D$35+'Input Assumptions'!$D$36)*AN33*TBA!AM14</f>
        <v/>
      </c>
      <c r="AO39" s="33">
        <f>('Input Assumptions'!$D$35+'Input Assumptions'!$D$36)*AO33*TBA!AN14</f>
        <v/>
      </c>
      <c r="AP39" s="33">
        <f>('Input Assumptions'!$D$35+'Input Assumptions'!$D$36)*AP33*TBA!AO14</f>
        <v/>
      </c>
      <c r="AQ39" s="33">
        <f>('Input Assumptions'!$D$35+'Input Assumptions'!$D$36)*AQ33*TBA!AP14</f>
        <v/>
      </c>
      <c r="AR39" s="33">
        <f>('Input Assumptions'!$D$35+'Input Assumptions'!$D$36)*AR33*TBA!AQ14</f>
        <v/>
      </c>
    </row>
    <row r="42" ht="14.65" customHeight="1" thickBot="1"/>
    <row r="43" ht="18.75" customHeight="1" thickBot="1">
      <c r="B43" s="46" t="inlineStr">
        <is>
          <t>CHECK</t>
        </is>
      </c>
      <c r="C43" s="48" t="n"/>
      <c r="D43" s="48" t="n"/>
      <c r="E43" s="47">
        <f>E16-E28&lt;0.01</f>
        <v/>
      </c>
      <c r="F43" s="47">
        <f>F16-F28&lt;0.01</f>
        <v/>
      </c>
      <c r="G43" s="47">
        <f>G16-G28&lt;0.01</f>
        <v/>
      </c>
      <c r="H43" s="47">
        <f>H16-H28&lt;0.01</f>
        <v/>
      </c>
      <c r="I43" s="47">
        <f>I16-I28&lt;0.01</f>
        <v/>
      </c>
      <c r="J43" s="47">
        <f>J16-J28&lt;0.01</f>
        <v/>
      </c>
      <c r="K43" s="47">
        <f>K16-K28&lt;0.01</f>
        <v/>
      </c>
      <c r="L43" s="47">
        <f>L16-L28&lt;0.01</f>
        <v/>
      </c>
      <c r="M43" s="47">
        <f>M16-M28&lt;0.01</f>
        <v/>
      </c>
      <c r="N43" s="47">
        <f>N16-N28&lt;0.01</f>
        <v/>
      </c>
      <c r="O43" s="47">
        <f>O16-O28&lt;0.01</f>
        <v/>
      </c>
      <c r="P43" s="47">
        <f>P16-P28&lt;0.01</f>
        <v/>
      </c>
      <c r="Q43" s="47">
        <f>Q16-Q28&lt;0.01</f>
        <v/>
      </c>
      <c r="R43" s="47">
        <f>R16-R28&lt;0.01</f>
        <v/>
      </c>
      <c r="S43" s="47">
        <f>S16-S28&lt;0.01</f>
        <v/>
      </c>
      <c r="T43" s="47">
        <f>T16-T28&lt;0.01</f>
        <v/>
      </c>
      <c r="U43" s="47">
        <f>U16-U28&lt;0.01</f>
        <v/>
      </c>
      <c r="V43" s="47">
        <f>V16-V28&lt;0.01</f>
        <v/>
      </c>
      <c r="W43" s="47">
        <f>W16-W28&lt;0.01</f>
        <v/>
      </c>
      <c r="X43" s="47">
        <f>X16-X28&lt;0.01</f>
        <v/>
      </c>
      <c r="Y43" s="47">
        <f>Y16-Y28&lt;0.01</f>
        <v/>
      </c>
      <c r="Z43" s="47">
        <f>Z16-Z28&lt;0.01</f>
        <v/>
      </c>
      <c r="AA43" s="47">
        <f>AA16-AA28&lt;0.01</f>
        <v/>
      </c>
      <c r="AB43" s="47">
        <f>AB16-AB28&lt;0.01</f>
        <v/>
      </c>
      <c r="AC43" s="47">
        <f>AC16-AC28&lt;0.01</f>
        <v/>
      </c>
      <c r="AD43" s="47">
        <f>AD16-AD28&lt;0.01</f>
        <v/>
      </c>
      <c r="AE43" s="47">
        <f>AE16-AE28&lt;0.01</f>
        <v/>
      </c>
      <c r="AF43" s="47">
        <f>AF16-AF28&lt;0.01</f>
        <v/>
      </c>
      <c r="AG43" s="47">
        <f>AG16-AG28&lt;0.01</f>
        <v/>
      </c>
      <c r="AH43" s="47">
        <f>AH16-AH28&lt;0.01</f>
        <v/>
      </c>
      <c r="AI43" s="47">
        <f>AI16-AI28&lt;0.01</f>
        <v/>
      </c>
      <c r="AJ43" s="47">
        <f>AJ16-AJ28&lt;0.01</f>
        <v/>
      </c>
      <c r="AK43" s="47">
        <f>AK16-AK28&lt;0.01</f>
        <v/>
      </c>
      <c r="AL43" s="47">
        <f>AL16-AL28&lt;0.01</f>
        <v/>
      </c>
      <c r="AM43" s="47">
        <f>AM16-AM28&lt;0.01</f>
        <v/>
      </c>
      <c r="AN43" s="47">
        <f>AN16-AN28&lt;0.01</f>
        <v/>
      </c>
      <c r="AO43" s="47">
        <f>AO16-AO28&lt;0.01</f>
        <v/>
      </c>
      <c r="AP43" s="47">
        <f>AP16-AP28&lt;0.01</f>
        <v/>
      </c>
      <c r="AQ43" s="47">
        <f>AQ16-AQ28&lt;0.01</f>
        <v/>
      </c>
      <c r="AR43" s="47">
        <f>AR16-AR28&lt;0.01</f>
        <v/>
      </c>
    </row>
  </sheetData>
  <conditionalFormatting sqref="E43:AR43">
    <cfRule type="cellIs" priority="1" operator="equal" dxfId="0">
      <formula>TRUE</formula>
    </cfRule>
    <cfRule type="cellIs" priority="2" operator="equal" dxfId="1">
      <formula>FALSE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S21"/>
  <sheetViews>
    <sheetView showGridLines="0" tabSelected="1" workbookViewId="0">
      <pane xSplit="4" topLeftCell="K1" activePane="topRight" state="frozen"/>
      <selection pane="topRight" activeCell="P11" sqref="P11"/>
    </sheetView>
  </sheetViews>
  <sheetFormatPr baseColWidth="8" defaultColWidth="0" defaultRowHeight="14.45"/>
  <cols>
    <col width="9" customWidth="1" min="1" max="1"/>
    <col width="35.85546875" customWidth="1" style="50" min="2" max="2"/>
    <col width="9" customWidth="1" style="50" min="3" max="3"/>
    <col width="15.140625" customWidth="1" style="49" min="4" max="4"/>
    <col width="11.140625" customWidth="1" style="33" min="5" max="44"/>
    <col width="9" customWidth="1" min="45" max="45"/>
    <col hidden="1" width="9" customWidth="1" min="46" max="16384"/>
  </cols>
  <sheetData>
    <row r="2">
      <c r="B2" s="29" t="inlineStr">
        <is>
          <t>Year</t>
        </is>
      </c>
      <c r="C2" s="38" t="n"/>
      <c r="D2" s="53" t="n"/>
      <c r="E2" s="56" t="n">
        <v>1</v>
      </c>
      <c r="F2" s="56" t="n">
        <v>2</v>
      </c>
      <c r="G2" s="56" t="n">
        <v>3</v>
      </c>
      <c r="H2" s="56" t="n">
        <v>4</v>
      </c>
      <c r="I2" s="56" t="n">
        <v>5</v>
      </c>
      <c r="J2" s="56" t="n">
        <v>6</v>
      </c>
      <c r="K2" s="56" t="n">
        <v>7</v>
      </c>
      <c r="L2" s="56" t="n">
        <v>8</v>
      </c>
      <c r="M2" s="56" t="n">
        <v>9</v>
      </c>
      <c r="N2" s="56" t="n">
        <v>10</v>
      </c>
      <c r="O2" s="56" t="n">
        <v>11</v>
      </c>
      <c r="P2" s="56" t="n">
        <v>12</v>
      </c>
      <c r="Q2" s="56" t="n">
        <v>13</v>
      </c>
      <c r="R2" s="56" t="n">
        <v>14</v>
      </c>
      <c r="S2" s="56" t="n">
        <v>15</v>
      </c>
      <c r="T2" s="56" t="n">
        <v>16</v>
      </c>
      <c r="U2" s="56" t="n">
        <v>17</v>
      </c>
      <c r="V2" s="56" t="n">
        <v>18</v>
      </c>
      <c r="W2" s="56" t="n">
        <v>19</v>
      </c>
      <c r="X2" s="56" t="n">
        <v>20</v>
      </c>
      <c r="Y2" s="56" t="n">
        <v>21</v>
      </c>
      <c r="Z2" s="56" t="n">
        <v>22</v>
      </c>
      <c r="AA2" s="56" t="n">
        <v>23</v>
      </c>
      <c r="AB2" s="56" t="n">
        <v>24</v>
      </c>
      <c r="AC2" s="56" t="n">
        <v>25</v>
      </c>
      <c r="AD2" s="56" t="n">
        <v>26</v>
      </c>
      <c r="AE2" s="56" t="n">
        <v>27</v>
      </c>
      <c r="AF2" s="56" t="n">
        <v>28</v>
      </c>
      <c r="AG2" s="56" t="n">
        <v>29</v>
      </c>
      <c r="AH2" s="56" t="n">
        <v>30</v>
      </c>
      <c r="AI2" s="56" t="n">
        <v>31</v>
      </c>
      <c r="AJ2" s="56" t="n">
        <v>32</v>
      </c>
      <c r="AK2" s="56" t="n">
        <v>33</v>
      </c>
      <c r="AL2" s="56" t="n">
        <v>34</v>
      </c>
      <c r="AM2" s="56" t="n">
        <v>35</v>
      </c>
      <c r="AN2" s="56" t="n">
        <v>36</v>
      </c>
      <c r="AO2" s="56" t="n">
        <v>37</v>
      </c>
      <c r="AP2" s="56" t="n">
        <v>38</v>
      </c>
      <c r="AQ2" s="56" t="n">
        <v>39</v>
      </c>
      <c r="AR2" s="57" t="n">
        <v>40</v>
      </c>
    </row>
    <row r="5" ht="17.65" customHeight="1">
      <c r="B5" s="29" t="inlineStr">
        <is>
          <t>TRAFFIC &amp; REVENUE ASSUMPTIONS</t>
        </is>
      </c>
      <c r="C5" s="38" t="n"/>
      <c r="D5" s="54" t="n"/>
      <c r="E5" s="58" t="n"/>
      <c r="F5" s="58" t="n"/>
      <c r="G5" s="58" t="n"/>
      <c r="H5" s="58" t="n"/>
      <c r="I5" s="58" t="n"/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  <c r="W5" s="58" t="n"/>
      <c r="X5" s="58" t="n"/>
      <c r="Y5" s="58" t="n"/>
      <c r="Z5" s="58" t="n"/>
      <c r="AA5" s="58" t="n"/>
      <c r="AB5" s="58" t="n"/>
      <c r="AC5" s="58" t="n"/>
      <c r="AD5" s="58" t="n"/>
      <c r="AE5" s="58" t="n"/>
      <c r="AF5" s="58" t="n"/>
      <c r="AG5" s="58" t="n"/>
      <c r="AH5" s="58" t="n"/>
      <c r="AI5" s="58" t="n"/>
      <c r="AJ5" s="58" t="n"/>
      <c r="AK5" s="58" t="n"/>
      <c r="AL5" s="58" t="n"/>
      <c r="AM5" s="58" t="n"/>
      <c r="AN5" s="58" t="n"/>
      <c r="AO5" s="58" t="n"/>
      <c r="AP5" s="58" t="n"/>
      <c r="AQ5" s="58" t="n"/>
      <c r="AR5" s="59" t="n"/>
    </row>
    <row r="7">
      <c r="B7" s="50" t="inlineStr">
        <is>
          <t>TRAFFIC - Passenger Car (PC)</t>
        </is>
      </c>
      <c r="C7" s="55" t="inlineStr">
        <is>
          <t>veh/year</t>
        </is>
      </c>
      <c r="E7" s="33">
        <f>'Input Assumptions'!$D$14*(1+'Input Assumptions'!$D$17)^(SUM(TBA!$D$10:'TBA'!D10)-1)*TBA!D10</f>
        <v/>
      </c>
      <c r="F7" s="33">
        <f>'Input Assumptions'!$D$14*(1+'Input Assumptions'!$D$17)^(SUM(TBA!$D$10:'TBA'!E10)-1)*TBA!E10</f>
        <v/>
      </c>
      <c r="G7" s="33">
        <f>'Input Assumptions'!$D$14*(1+'Input Assumptions'!$D$17)^(SUM(TBA!$D$10:'TBA'!F10)-1)*TBA!F10</f>
        <v/>
      </c>
      <c r="H7" s="33">
        <f>'Input Assumptions'!$D$14*(1+'Input Assumptions'!$D$17)^(SUM(TBA!$D$10:'TBA'!G10)-1)*TBA!G10</f>
        <v/>
      </c>
      <c r="I7" s="33">
        <f>'Input Assumptions'!$D$14*(1+'Input Assumptions'!$D$17)^(SUM(TBA!$D$10:'TBA'!H10)-1)*TBA!H10</f>
        <v/>
      </c>
      <c r="J7" s="33">
        <f>'Input Assumptions'!$D$14*(1+'Input Assumptions'!$D$17)^(SUM(TBA!$D$10:'TBA'!I10)-1)*TBA!I10</f>
        <v/>
      </c>
      <c r="K7" s="33">
        <f>'Input Assumptions'!$D$14*(1+'Input Assumptions'!$D$17)^(SUM(TBA!$D$10:'TBA'!J10)-1)*TBA!J10</f>
        <v/>
      </c>
      <c r="L7" s="33">
        <f>'Input Assumptions'!$D$14*(1+'Input Assumptions'!$D$17)^(SUM(TBA!$D$10:'TBA'!K10)-1)*TBA!K10</f>
        <v/>
      </c>
      <c r="M7" s="33">
        <f>'Input Assumptions'!$D$14*(1+'Input Assumptions'!$D$17)^(SUM(TBA!$D$10:'TBA'!L10)-1)*TBA!L10</f>
        <v/>
      </c>
      <c r="N7" s="33">
        <f>'Input Assumptions'!$D$14*(1+'Input Assumptions'!$D$17)^(SUM(TBA!$D$10:'TBA'!M10)-1)*TBA!M10</f>
        <v/>
      </c>
      <c r="O7" s="33">
        <f>'Input Assumptions'!$D$14*(1+'Input Assumptions'!$D$17)^(SUM(TBA!$D$10:'TBA'!N10)-1)*TBA!N10</f>
        <v/>
      </c>
      <c r="P7" s="33">
        <f>'Input Assumptions'!$D$14*(1+'Input Assumptions'!$D$17)^(SUM(TBA!$D$10:'TBA'!O10)-1)*TBA!O10</f>
        <v/>
      </c>
      <c r="Q7" s="33">
        <f>'Input Assumptions'!$D$14*(1+'Input Assumptions'!$D$17)^(SUM(TBA!$D$10:'TBA'!P10)-1)*TBA!P10</f>
        <v/>
      </c>
      <c r="R7" s="33">
        <f>'Input Assumptions'!$D$14*(1+'Input Assumptions'!$D$17)^(SUM(TBA!$D$10:'TBA'!Q10)-1)*TBA!Q10</f>
        <v/>
      </c>
      <c r="S7" s="33">
        <f>'Input Assumptions'!$D$14*(1+'Input Assumptions'!$D$17)^(SUM(TBA!$D$10:'TBA'!R10)-1)*TBA!R10</f>
        <v/>
      </c>
      <c r="T7" s="33">
        <f>'Input Assumptions'!$D$14*(1+'Input Assumptions'!$D$17)^(SUM(TBA!$D$10:'TBA'!S10)-1)*TBA!S10</f>
        <v/>
      </c>
      <c r="U7" s="33">
        <f>'Input Assumptions'!$D$14*(1+'Input Assumptions'!$D$17)^(SUM(TBA!$D$10:'TBA'!T10)-1)*TBA!T10</f>
        <v/>
      </c>
      <c r="V7" s="33">
        <f>'Input Assumptions'!$D$14*(1+'Input Assumptions'!$D$17)^(SUM(TBA!$D$10:'TBA'!U10)-1)*TBA!U10</f>
        <v/>
      </c>
      <c r="W7" s="33">
        <f>'Input Assumptions'!$D$14*(1+'Input Assumptions'!$D$17)^(SUM(TBA!$D$10:'TBA'!V10)-1)*TBA!V10</f>
        <v/>
      </c>
      <c r="X7" s="33">
        <f>'Input Assumptions'!$D$14*(1+'Input Assumptions'!$D$17)^(SUM(TBA!$D$10:'TBA'!W10)-1)*TBA!W10</f>
        <v/>
      </c>
      <c r="Y7" s="33">
        <f>'Input Assumptions'!$D$14*(1+'Input Assumptions'!$D$17)^(SUM(TBA!$D$10:'TBA'!X10)-1)*TBA!X10</f>
        <v/>
      </c>
      <c r="Z7" s="33">
        <f>'Input Assumptions'!$D$14*(1+'Input Assumptions'!$D$17)^(SUM(TBA!$D$10:'TBA'!Y10)-1)*TBA!Y10</f>
        <v/>
      </c>
      <c r="AA7" s="33">
        <f>'Input Assumptions'!$D$14*(1+'Input Assumptions'!$D$17)^(SUM(TBA!$D$10:'TBA'!Z10)-1)*TBA!Z10</f>
        <v/>
      </c>
      <c r="AB7" s="33">
        <f>'Input Assumptions'!$D$14*(1+'Input Assumptions'!$D$17)^(SUM(TBA!$D$10:'TBA'!AA10)-1)*TBA!AA10</f>
        <v/>
      </c>
      <c r="AC7" s="33">
        <f>'Input Assumptions'!$D$14*(1+'Input Assumptions'!$D$17)^(SUM(TBA!$D$10:'TBA'!AB10)-1)*TBA!AB10</f>
        <v/>
      </c>
      <c r="AD7" s="33">
        <f>'Input Assumptions'!$D$14*(1+'Input Assumptions'!$D$17)^(SUM(TBA!$D$10:'TBA'!AC10)-1)*TBA!AC10</f>
        <v/>
      </c>
      <c r="AE7" s="33">
        <f>'Input Assumptions'!$D$14*(1+'Input Assumptions'!$D$17)^(SUM(TBA!$D$10:'TBA'!AD10)-1)*TBA!AD10</f>
        <v/>
      </c>
      <c r="AF7" s="33">
        <f>'Input Assumptions'!$D$14*(1+'Input Assumptions'!$D$17)^(SUM(TBA!$D$10:'TBA'!AE10)-1)*TBA!AE10</f>
        <v/>
      </c>
      <c r="AG7" s="33">
        <f>'Input Assumptions'!$D$14*(1+'Input Assumptions'!$D$17)^(SUM(TBA!$D$10:'TBA'!AF10)-1)*TBA!AF10</f>
        <v/>
      </c>
      <c r="AH7" s="33">
        <f>'Input Assumptions'!$D$14*(1+'Input Assumptions'!$D$17)^(SUM(TBA!$D$10:'TBA'!AG10)-1)*TBA!AG10</f>
        <v/>
      </c>
      <c r="AI7" s="33">
        <f>'Input Assumptions'!$D$14*(1+'Input Assumptions'!$D$17)^(SUM(TBA!$D$10:'TBA'!AH10)-1)*TBA!AH10</f>
        <v/>
      </c>
      <c r="AJ7" s="33">
        <f>'Input Assumptions'!$D$14*(1+'Input Assumptions'!$D$17)^(SUM(TBA!$D$10:'TBA'!AI10)-1)*TBA!AI10</f>
        <v/>
      </c>
      <c r="AK7" s="33">
        <f>'Input Assumptions'!$D$14*(1+'Input Assumptions'!$D$17)^(SUM(TBA!$D$10:'TBA'!AJ10)-1)*TBA!AJ10</f>
        <v/>
      </c>
      <c r="AL7" s="33">
        <f>'Input Assumptions'!$D$14*(1+'Input Assumptions'!$D$17)^(SUM(TBA!$D$10:'TBA'!AK10)-1)*TBA!AK10</f>
        <v/>
      </c>
      <c r="AM7" s="33">
        <f>'Input Assumptions'!$D$14*(1+'Input Assumptions'!$D$17)^(SUM(TBA!$D$10:'TBA'!AL10)-1)*TBA!AL10</f>
        <v/>
      </c>
      <c r="AN7" s="33">
        <f>'Input Assumptions'!$D$14*(1+'Input Assumptions'!$D$17)^(SUM(TBA!$D$10:'TBA'!AM10)-1)*TBA!AM10</f>
        <v/>
      </c>
      <c r="AO7" s="33">
        <f>'Input Assumptions'!$D$14*(1+'Input Assumptions'!$D$17)^(SUM(TBA!$D$10:'TBA'!AN10)-1)*TBA!AN10</f>
        <v/>
      </c>
      <c r="AP7" s="33">
        <f>'Input Assumptions'!$D$14*(1+'Input Assumptions'!$D$17)^(SUM(TBA!$D$10:'TBA'!AO10)-1)*TBA!AO10</f>
        <v/>
      </c>
      <c r="AQ7" s="33">
        <f>'Input Assumptions'!$D$14*(1+'Input Assumptions'!$D$17)^(SUM(TBA!$D$10:'TBA'!AP10)-1)*TBA!AP10</f>
        <v/>
      </c>
      <c r="AR7" s="33">
        <f>'Input Assumptions'!$D$14*(1+'Input Assumptions'!$D$17)^(SUM(TBA!$D$10:'TBA'!AQ10)-1)*TBA!AQ10</f>
        <v/>
      </c>
    </row>
    <row r="8">
      <c r="B8" s="50" t="inlineStr">
        <is>
          <t>TRAFFIC - Heavy Vehicle (HV)</t>
        </is>
      </c>
      <c r="C8" s="55" t="inlineStr">
        <is>
          <t>veh/year</t>
        </is>
      </c>
      <c r="E8" s="33">
        <f>'Input Assumptions'!$D$15*(1+'Input Assumptions'!$D$17)^(SUM(TBA!$D$10:'TBA'!D10)-1)*TBA!D10</f>
        <v/>
      </c>
      <c r="F8" s="33">
        <f>'Input Assumptions'!$D$15*(1+'Input Assumptions'!$D$17)^(SUM(TBA!$D$10:'TBA'!E10)-1)*TBA!E10</f>
        <v/>
      </c>
      <c r="G8" s="33">
        <f>'Input Assumptions'!$D$15*(1+'Input Assumptions'!$D$17)^(SUM(TBA!$D$10:'TBA'!F10)-1)*TBA!F10</f>
        <v/>
      </c>
      <c r="H8" s="33">
        <f>'Input Assumptions'!$D$15*(1+'Input Assumptions'!$D$17)^(SUM(TBA!$D$10:'TBA'!G10)-1)*TBA!G10</f>
        <v/>
      </c>
      <c r="I8" s="33">
        <f>'Input Assumptions'!$D$15*(1+'Input Assumptions'!$D$17)^(SUM(TBA!$D$10:'TBA'!H10)-1)*TBA!H10</f>
        <v/>
      </c>
      <c r="J8" s="33">
        <f>'Input Assumptions'!$D$15*(1+'Input Assumptions'!$D$17)^(SUM(TBA!$D$10:'TBA'!I10)-1)*TBA!I10</f>
        <v/>
      </c>
      <c r="K8" s="33">
        <f>'Input Assumptions'!$D$15*(1+'Input Assumptions'!$D$17)^(SUM(TBA!$D$10:'TBA'!J10)-1)*TBA!J10</f>
        <v/>
      </c>
      <c r="L8" s="33">
        <f>'Input Assumptions'!$D$15*(1+'Input Assumptions'!$D$17)^(SUM(TBA!$D$10:'TBA'!K10)-1)*TBA!K10</f>
        <v/>
      </c>
      <c r="M8" s="33">
        <f>'Input Assumptions'!$D$15*(1+'Input Assumptions'!$D$17)^(SUM(TBA!$D$10:'TBA'!L10)-1)*TBA!L10</f>
        <v/>
      </c>
      <c r="N8" s="33">
        <f>'Input Assumptions'!$D$15*(1+'Input Assumptions'!$D$17)^(SUM(TBA!$D$10:'TBA'!M10)-1)*TBA!M10</f>
        <v/>
      </c>
      <c r="O8" s="33">
        <f>'Input Assumptions'!$D$15*(1+'Input Assumptions'!$D$17)^(SUM(TBA!$D$10:'TBA'!N10)-1)*TBA!N10</f>
        <v/>
      </c>
      <c r="P8" s="33">
        <f>'Input Assumptions'!$D$15*(1+'Input Assumptions'!$D$17)^(SUM(TBA!$D$10:'TBA'!O10)-1)*TBA!O10</f>
        <v/>
      </c>
      <c r="Q8" s="33">
        <f>'Input Assumptions'!$D$15*(1+'Input Assumptions'!$D$17)^(SUM(TBA!$D$10:'TBA'!P10)-1)*TBA!P10</f>
        <v/>
      </c>
      <c r="R8" s="33">
        <f>'Input Assumptions'!$D$15*(1+'Input Assumptions'!$D$17)^(SUM(TBA!$D$10:'TBA'!Q10)-1)*TBA!Q10</f>
        <v/>
      </c>
      <c r="S8" s="33">
        <f>'Input Assumptions'!$D$15*(1+'Input Assumptions'!$D$17)^(SUM(TBA!$D$10:'TBA'!R10)-1)*TBA!R10</f>
        <v/>
      </c>
      <c r="T8" s="33">
        <f>'Input Assumptions'!$D$15*(1+'Input Assumptions'!$D$17)^(SUM(TBA!$D$10:'TBA'!S10)-1)*TBA!S10</f>
        <v/>
      </c>
      <c r="U8" s="33">
        <f>'Input Assumptions'!$D$15*(1+'Input Assumptions'!$D$17)^(SUM(TBA!$D$10:'TBA'!T10)-1)*TBA!T10</f>
        <v/>
      </c>
      <c r="V8" s="33">
        <f>'Input Assumptions'!$D$15*(1+'Input Assumptions'!$D$17)^(SUM(TBA!$D$10:'TBA'!U10)-1)*TBA!U10</f>
        <v/>
      </c>
      <c r="W8" s="33">
        <f>'Input Assumptions'!$D$15*(1+'Input Assumptions'!$D$17)^(SUM(TBA!$D$10:'TBA'!V10)-1)*TBA!V10</f>
        <v/>
      </c>
      <c r="X8" s="33">
        <f>'Input Assumptions'!$D$15*(1+'Input Assumptions'!$D$17)^(SUM(TBA!$D$10:'TBA'!W10)-1)*TBA!W10</f>
        <v/>
      </c>
      <c r="Y8" s="33">
        <f>'Input Assumptions'!$D$15*(1+'Input Assumptions'!$D$17)^(SUM(TBA!$D$10:'TBA'!X10)-1)*TBA!X10</f>
        <v/>
      </c>
      <c r="Z8" s="33">
        <f>'Input Assumptions'!$D$15*(1+'Input Assumptions'!$D$17)^(SUM(TBA!$D$10:'TBA'!Y10)-1)*TBA!Y10</f>
        <v/>
      </c>
      <c r="AA8" s="33">
        <f>'Input Assumptions'!$D$15*(1+'Input Assumptions'!$D$17)^(SUM(TBA!$D$10:'TBA'!Z10)-1)*TBA!Z10</f>
        <v/>
      </c>
      <c r="AB8" s="33">
        <f>'Input Assumptions'!$D$15*(1+'Input Assumptions'!$D$17)^(SUM(TBA!$D$10:'TBA'!AA10)-1)*TBA!AA10</f>
        <v/>
      </c>
      <c r="AC8" s="33">
        <f>'Input Assumptions'!$D$15*(1+'Input Assumptions'!$D$17)^(SUM(TBA!$D$10:'TBA'!AB10)-1)*TBA!AB10</f>
        <v/>
      </c>
      <c r="AD8" s="33">
        <f>'Input Assumptions'!$D$15*(1+'Input Assumptions'!$D$17)^(SUM(TBA!$D$10:'TBA'!AC10)-1)*TBA!AC10</f>
        <v/>
      </c>
      <c r="AE8" s="33">
        <f>'Input Assumptions'!$D$15*(1+'Input Assumptions'!$D$17)^(SUM(TBA!$D$10:'TBA'!AD10)-1)*TBA!AD10</f>
        <v/>
      </c>
      <c r="AF8" s="33">
        <f>'Input Assumptions'!$D$15*(1+'Input Assumptions'!$D$17)^(SUM(TBA!$D$10:'TBA'!AE10)-1)*TBA!AE10</f>
        <v/>
      </c>
      <c r="AG8" s="33">
        <f>'Input Assumptions'!$D$15*(1+'Input Assumptions'!$D$17)^(SUM(TBA!$D$10:'TBA'!AF10)-1)*TBA!AF10</f>
        <v/>
      </c>
      <c r="AH8" s="33">
        <f>'Input Assumptions'!$D$15*(1+'Input Assumptions'!$D$17)^(SUM(TBA!$D$10:'TBA'!AG10)-1)*TBA!AG10</f>
        <v/>
      </c>
      <c r="AI8" s="33">
        <f>'Input Assumptions'!$D$15*(1+'Input Assumptions'!$D$17)^(SUM(TBA!$D$10:'TBA'!AH10)-1)*TBA!AH10</f>
        <v/>
      </c>
      <c r="AJ8" s="33">
        <f>'Input Assumptions'!$D$15*(1+'Input Assumptions'!$D$17)^(SUM(TBA!$D$10:'TBA'!AI10)-1)*TBA!AI10</f>
        <v/>
      </c>
      <c r="AK8" s="33">
        <f>'Input Assumptions'!$D$15*(1+'Input Assumptions'!$D$17)^(SUM(TBA!$D$10:'TBA'!AJ10)-1)*TBA!AJ10</f>
        <v/>
      </c>
      <c r="AL8" s="33">
        <f>'Input Assumptions'!$D$15*(1+'Input Assumptions'!$D$17)^(SUM(TBA!$D$10:'TBA'!AK10)-1)*TBA!AK10</f>
        <v/>
      </c>
      <c r="AM8" s="33">
        <f>'Input Assumptions'!$D$15*(1+'Input Assumptions'!$D$17)^(SUM(TBA!$D$10:'TBA'!AL10)-1)*TBA!AL10</f>
        <v/>
      </c>
      <c r="AN8" s="33">
        <f>'Input Assumptions'!$D$15*(1+'Input Assumptions'!$D$17)^(SUM(TBA!$D$10:'TBA'!AM10)-1)*TBA!AM10</f>
        <v/>
      </c>
      <c r="AO8" s="33">
        <f>'Input Assumptions'!$D$15*(1+'Input Assumptions'!$D$17)^(SUM(TBA!$D$10:'TBA'!AN10)-1)*TBA!AN10</f>
        <v/>
      </c>
      <c r="AP8" s="33">
        <f>'Input Assumptions'!$D$15*(1+'Input Assumptions'!$D$17)^(SUM(TBA!$D$10:'TBA'!AO10)-1)*TBA!AO10</f>
        <v/>
      </c>
      <c r="AQ8" s="33">
        <f>'Input Assumptions'!$D$15*(1+'Input Assumptions'!$D$17)^(SUM(TBA!$D$10:'TBA'!AP10)-1)*TBA!AP10</f>
        <v/>
      </c>
      <c r="AR8" s="33">
        <f>'Input Assumptions'!$D$15*(1+'Input Assumptions'!$D$17)^(SUM(TBA!$D$10:'TBA'!AQ10)-1)*TBA!AQ10</f>
        <v/>
      </c>
    </row>
    <row r="10">
      <c r="B10" s="50" t="inlineStr">
        <is>
          <t>REVENUE - Passenger Car (PC)</t>
        </is>
      </c>
      <c r="C10" s="55" t="inlineStr">
        <is>
          <t>k£</t>
        </is>
      </c>
      <c r="D10" s="60">
        <f>SUM(E10:AR10)</f>
        <v/>
      </c>
      <c r="E10" s="33">
        <f>E7*'Input Assumptions'!$D$20/1000</f>
        <v/>
      </c>
      <c r="F10" s="33">
        <f>F7*'Input Assumptions'!$D$20/1000</f>
        <v/>
      </c>
      <c r="G10" s="33">
        <f>G7*'Input Assumptions'!$D$20/1000</f>
        <v/>
      </c>
      <c r="H10" s="33">
        <f>H7*'Input Assumptions'!$D$20/1000</f>
        <v/>
      </c>
      <c r="I10" s="33">
        <f>I7*'Input Assumptions'!$D$20/1000</f>
        <v/>
      </c>
      <c r="J10" s="33">
        <f>J7*'Input Assumptions'!$D$20/1000</f>
        <v/>
      </c>
      <c r="K10" s="33">
        <f>K7*'Input Assumptions'!$D$20/1000</f>
        <v/>
      </c>
      <c r="L10" s="33">
        <f>L7*'Input Assumptions'!$D$20/1000</f>
        <v/>
      </c>
      <c r="M10" s="33">
        <f>M7*'Input Assumptions'!$D$20/1000</f>
        <v/>
      </c>
      <c r="N10" s="33">
        <f>N7*'Input Assumptions'!$D$20/1000</f>
        <v/>
      </c>
      <c r="O10" s="33">
        <f>O7*'Input Assumptions'!$D$20/1000</f>
        <v/>
      </c>
      <c r="P10" s="33">
        <f>P7*'Input Assumptions'!$D$20/1000</f>
        <v/>
      </c>
      <c r="Q10" s="33">
        <f>Q7*'Input Assumptions'!$D$20/1000</f>
        <v/>
      </c>
      <c r="R10" s="33">
        <f>R7*'Input Assumptions'!$D$20/1000</f>
        <v/>
      </c>
      <c r="S10" s="33">
        <f>S7*'Input Assumptions'!$D$20/1000</f>
        <v/>
      </c>
      <c r="T10" s="33">
        <f>T7*'Input Assumptions'!$D$20/1000</f>
        <v/>
      </c>
      <c r="U10" s="33">
        <f>U7*'Input Assumptions'!$D$20/1000</f>
        <v/>
      </c>
      <c r="V10" s="33">
        <f>V7*'Input Assumptions'!$D$20/1000</f>
        <v/>
      </c>
      <c r="W10" s="33">
        <f>W7*'Input Assumptions'!$D$20/1000</f>
        <v/>
      </c>
      <c r="X10" s="33">
        <f>X7*'Input Assumptions'!$D$20/1000</f>
        <v/>
      </c>
      <c r="Y10" s="33">
        <f>Y7*'Input Assumptions'!$D$20/1000</f>
        <v/>
      </c>
      <c r="Z10" s="33">
        <f>Z7*'Input Assumptions'!$D$20/1000</f>
        <v/>
      </c>
      <c r="AA10" s="33">
        <f>AA7*'Input Assumptions'!$D$20/1000</f>
        <v/>
      </c>
      <c r="AB10" s="33">
        <f>AB7*'Input Assumptions'!$D$20/1000</f>
        <v/>
      </c>
      <c r="AC10" s="33">
        <f>AC7*'Input Assumptions'!$D$20/1000</f>
        <v/>
      </c>
      <c r="AD10" s="33">
        <f>AD7*'Input Assumptions'!$D$20/1000</f>
        <v/>
      </c>
      <c r="AE10" s="33">
        <f>AE7*'Input Assumptions'!$D$20/1000</f>
        <v/>
      </c>
      <c r="AF10" s="33">
        <f>AF7*'Input Assumptions'!$D$20/1000</f>
        <v/>
      </c>
      <c r="AG10" s="33">
        <f>AG7*'Input Assumptions'!$D$20/1000</f>
        <v/>
      </c>
      <c r="AH10" s="33">
        <f>AH7*'Input Assumptions'!$D$20/1000</f>
        <v/>
      </c>
      <c r="AI10" s="33">
        <f>AI7*'Input Assumptions'!$D$20/1000</f>
        <v/>
      </c>
      <c r="AJ10" s="33">
        <f>AJ7*'Input Assumptions'!$D$20/1000</f>
        <v/>
      </c>
      <c r="AK10" s="33">
        <f>AK7*'Input Assumptions'!$D$20/1000</f>
        <v/>
      </c>
      <c r="AL10" s="33">
        <f>AL7*'Input Assumptions'!$D$20/1000</f>
        <v/>
      </c>
      <c r="AM10" s="33">
        <f>AM7*'Input Assumptions'!$D$20/1000</f>
        <v/>
      </c>
      <c r="AN10" s="33">
        <f>AN7*'Input Assumptions'!$D$20/1000</f>
        <v/>
      </c>
      <c r="AO10" s="33">
        <f>AO7*'Input Assumptions'!$D$20/1000</f>
        <v/>
      </c>
      <c r="AP10" s="33">
        <f>AP7*'Input Assumptions'!$D$20/1000</f>
        <v/>
      </c>
      <c r="AQ10" s="33">
        <f>AQ7*'Input Assumptions'!$D$20/1000</f>
        <v/>
      </c>
      <c r="AR10" s="33">
        <f>AR7*'Input Assumptions'!$D$20/1000</f>
        <v/>
      </c>
    </row>
    <row r="11" ht="17.45" customHeight="1">
      <c r="B11" s="50" t="inlineStr">
        <is>
          <t>REVENUE - Heavy Vehicle (HV)</t>
        </is>
      </c>
      <c r="C11" s="55" t="inlineStr">
        <is>
          <t>k£</t>
        </is>
      </c>
      <c r="D11" s="60">
        <f>SUM(E11:AR11)</f>
        <v/>
      </c>
      <c r="E11" s="33">
        <f>E8*'Input Assumptions'!$D$21/1000</f>
        <v/>
      </c>
      <c r="F11" s="33">
        <f>F8*'Input Assumptions'!$D$21/1000</f>
        <v/>
      </c>
      <c r="G11" s="33">
        <f>G8*'Input Assumptions'!$D$21/1000</f>
        <v/>
      </c>
      <c r="H11" s="33">
        <f>H8*'Input Assumptions'!$D$21/1000</f>
        <v/>
      </c>
      <c r="I11" s="33">
        <f>I8*'Input Assumptions'!$D$21/1000</f>
        <v/>
      </c>
      <c r="J11" s="33">
        <f>J8*'Input Assumptions'!$D$21/1000</f>
        <v/>
      </c>
      <c r="K11" s="33">
        <f>K8*'Input Assumptions'!$D$21/1000</f>
        <v/>
      </c>
      <c r="L11" s="33">
        <f>L8*'Input Assumptions'!$D$21/1000</f>
        <v/>
      </c>
      <c r="M11" s="33">
        <f>M8*'Input Assumptions'!$D$21/1000</f>
        <v/>
      </c>
      <c r="N11" s="33">
        <f>N8*'Input Assumptions'!$D$21/1000</f>
        <v/>
      </c>
      <c r="O11" s="33">
        <f>O8*'Input Assumptions'!$D$21/1000</f>
        <v/>
      </c>
      <c r="P11" s="33">
        <f>P8*'Input Assumptions'!$D$21/1000</f>
        <v/>
      </c>
      <c r="Q11" s="33">
        <f>Q8*'Input Assumptions'!$D$21/1000</f>
        <v/>
      </c>
      <c r="R11" s="33">
        <f>R8*'Input Assumptions'!$D$21/1000</f>
        <v/>
      </c>
      <c r="S11" s="33">
        <f>S8*'Input Assumptions'!$D$21/1000</f>
        <v/>
      </c>
      <c r="T11" s="33">
        <f>T8*'Input Assumptions'!$D$21/1000</f>
        <v/>
      </c>
      <c r="U11" s="33">
        <f>U8*'Input Assumptions'!$D$21/1000</f>
        <v/>
      </c>
      <c r="V11" s="33">
        <f>V8*'Input Assumptions'!$D$21/1000</f>
        <v/>
      </c>
      <c r="W11" s="33">
        <f>W8*'Input Assumptions'!$D$21/1000</f>
        <v/>
      </c>
      <c r="X11" s="33">
        <f>X8*'Input Assumptions'!$D$21/1000</f>
        <v/>
      </c>
      <c r="Y11" s="33">
        <f>Y8*'Input Assumptions'!$D$21/1000</f>
        <v/>
      </c>
      <c r="Z11" s="33">
        <f>Z8*'Input Assumptions'!$D$21/1000</f>
        <v/>
      </c>
      <c r="AA11" s="33">
        <f>AA8*'Input Assumptions'!$D$21/1000</f>
        <v/>
      </c>
      <c r="AB11" s="33">
        <f>AB8*'Input Assumptions'!$D$21/1000</f>
        <v/>
      </c>
      <c r="AC11" s="33">
        <f>AC8*'Input Assumptions'!$D$21/1000</f>
        <v/>
      </c>
      <c r="AD11" s="33">
        <f>AD8*'Input Assumptions'!$D$21/1000</f>
        <v/>
      </c>
      <c r="AE11" s="33">
        <f>AE8*'Input Assumptions'!$D$21/1000</f>
        <v/>
      </c>
      <c r="AF11" s="33">
        <f>AF8*'Input Assumptions'!$D$21/1000</f>
        <v/>
      </c>
      <c r="AG11" s="33">
        <f>AG8*'Input Assumptions'!$D$21/1000</f>
        <v/>
      </c>
      <c r="AH11" s="33">
        <f>AH8*'Input Assumptions'!$D$21/1000</f>
        <v/>
      </c>
      <c r="AI11" s="33">
        <f>AI8*'Input Assumptions'!$D$21/1000</f>
        <v/>
      </c>
      <c r="AJ11" s="33">
        <f>AJ8*'Input Assumptions'!$D$21/1000</f>
        <v/>
      </c>
      <c r="AK11" s="33">
        <f>AK8*'Input Assumptions'!$D$21/1000</f>
        <v/>
      </c>
      <c r="AL11" s="33">
        <f>AL8*'Input Assumptions'!$D$21/1000</f>
        <v/>
      </c>
      <c r="AM11" s="33">
        <f>AM8*'Input Assumptions'!$D$21/1000</f>
        <v/>
      </c>
      <c r="AN11" s="33">
        <f>AN8*'Input Assumptions'!$D$21/1000</f>
        <v/>
      </c>
      <c r="AO11" s="33">
        <f>AO8*'Input Assumptions'!$D$21/1000</f>
        <v/>
      </c>
      <c r="AP11" s="33">
        <f>AP8*'Input Assumptions'!$D$21/1000</f>
        <v/>
      </c>
      <c r="AQ11" s="33">
        <f>AQ8*'Input Assumptions'!$D$21/1000</f>
        <v/>
      </c>
      <c r="AR11" s="33">
        <f>AR8*'Input Assumptions'!$D$21/1000</f>
        <v/>
      </c>
    </row>
    <row r="12" ht="17.65" customHeight="1">
      <c r="B12" s="34" t="inlineStr">
        <is>
          <t>Total Revenue (real)</t>
        </is>
      </c>
      <c r="C12" s="51" t="inlineStr">
        <is>
          <t>k£</t>
        </is>
      </c>
      <c r="D12" s="37">
        <f>SUM(E12:AR12)</f>
        <v/>
      </c>
      <c r="E12" s="37">
        <f>SUM(E10:E11)</f>
        <v/>
      </c>
      <c r="F12" s="37">
        <f>SUM(F10:F11)</f>
        <v/>
      </c>
      <c r="G12" s="37">
        <f>SUM(G10:G11)</f>
        <v/>
      </c>
      <c r="H12" s="37">
        <f>SUM(H10:H11)</f>
        <v/>
      </c>
      <c r="I12" s="37">
        <f>SUM(I10:I11)</f>
        <v/>
      </c>
      <c r="J12" s="37">
        <f>SUM(J10:J11)</f>
        <v/>
      </c>
      <c r="K12" s="37">
        <f>SUM(K10:K11)</f>
        <v/>
      </c>
      <c r="L12" s="37">
        <f>SUM(L10:L11)</f>
        <v/>
      </c>
      <c r="M12" s="37">
        <f>SUM(M10:M11)</f>
        <v/>
      </c>
      <c r="N12" s="37">
        <f>SUM(N10:N11)</f>
        <v/>
      </c>
      <c r="O12" s="37">
        <f>SUM(O10:O11)</f>
        <v/>
      </c>
      <c r="P12" s="37">
        <f>SUM(P10:P11)</f>
        <v/>
      </c>
      <c r="Q12" s="37">
        <f>SUM(Q10:Q11)</f>
        <v/>
      </c>
      <c r="R12" s="37">
        <f>SUM(R10:R11)</f>
        <v/>
      </c>
      <c r="S12" s="37">
        <f>SUM(S10:S11)</f>
        <v/>
      </c>
      <c r="T12" s="37">
        <f>SUM(T10:T11)</f>
        <v/>
      </c>
      <c r="U12" s="37">
        <f>SUM(U10:U11)</f>
        <v/>
      </c>
      <c r="V12" s="37">
        <f>SUM(V10:V11)</f>
        <v/>
      </c>
      <c r="W12" s="37">
        <f>SUM(W10:W11)</f>
        <v/>
      </c>
      <c r="X12" s="37">
        <f>SUM(X10:X11)</f>
        <v/>
      </c>
      <c r="Y12" s="37">
        <f>SUM(Y10:Y11)</f>
        <v/>
      </c>
      <c r="Z12" s="37">
        <f>SUM(Z10:Z11)</f>
        <v/>
      </c>
      <c r="AA12" s="37">
        <f>SUM(AA10:AA11)</f>
        <v/>
      </c>
      <c r="AB12" s="37">
        <f>SUM(AB10:AB11)</f>
        <v/>
      </c>
      <c r="AC12" s="37">
        <f>SUM(AC10:AC11)</f>
        <v/>
      </c>
      <c r="AD12" s="37">
        <f>SUM(AD10:AD11)</f>
        <v/>
      </c>
      <c r="AE12" s="37">
        <f>SUM(AE10:AE11)</f>
        <v/>
      </c>
      <c r="AF12" s="37">
        <f>SUM(AF10:AF11)</f>
        <v/>
      </c>
      <c r="AG12" s="37">
        <f>SUM(AG10:AG11)</f>
        <v/>
      </c>
      <c r="AH12" s="37">
        <f>SUM(AH10:AH11)</f>
        <v/>
      </c>
      <c r="AI12" s="37">
        <f>SUM(AI10:AI11)</f>
        <v/>
      </c>
      <c r="AJ12" s="37">
        <f>SUM(AJ10:AJ11)</f>
        <v/>
      </c>
      <c r="AK12" s="37">
        <f>SUM(AK10:AK11)</f>
        <v/>
      </c>
      <c r="AL12" s="37">
        <f>SUM(AL10:AL11)</f>
        <v/>
      </c>
      <c r="AM12" s="37">
        <f>SUM(AM10:AM11)</f>
        <v/>
      </c>
      <c r="AN12" s="37">
        <f>SUM(AN10:AN11)</f>
        <v/>
      </c>
      <c r="AO12" s="37">
        <f>SUM(AO10:AO11)</f>
        <v/>
      </c>
      <c r="AP12" s="37">
        <f>SUM(AP10:AP11)</f>
        <v/>
      </c>
      <c r="AQ12" s="37">
        <f>SUM(AQ10:AQ11)</f>
        <v/>
      </c>
      <c r="AR12" s="37">
        <f>SUM(AR10:AR11)</f>
        <v/>
      </c>
      <c r="AS12" s="52" t="n"/>
    </row>
    <row r="14" ht="17.65" customHeight="1">
      <c r="B14" s="34" t="inlineStr">
        <is>
          <t>Total Revenue (nominal)</t>
        </is>
      </c>
      <c r="C14" s="51" t="inlineStr">
        <is>
          <t>k£</t>
        </is>
      </c>
      <c r="D14" s="37">
        <f>SUM(E14:AR14)</f>
        <v/>
      </c>
      <c r="E14" s="37">
        <f>E12*(1+'Input Assumptions'!$D$18)^(E2-$E$2)</f>
        <v/>
      </c>
      <c r="F14" s="37">
        <f>F12*(1+'Input Assumptions'!$D$18)^(F2-$E$2)</f>
        <v/>
      </c>
      <c r="G14" s="37">
        <f>G12*(1+'Input Assumptions'!$D$18)^(G2-$E$2)</f>
        <v/>
      </c>
      <c r="H14" s="37">
        <f>H12*(1+'Input Assumptions'!$D$18)^(H2-$E$2)</f>
        <v/>
      </c>
      <c r="I14" s="37">
        <f>I12*(1+'Input Assumptions'!$D$18)^(I2-$E$2)</f>
        <v/>
      </c>
      <c r="J14" s="37">
        <f>J12*(1+'Input Assumptions'!$D$18)^(J2-$E$2)</f>
        <v/>
      </c>
      <c r="K14" s="37">
        <f>K12*(1+'Input Assumptions'!$D$18)^(K2-$E$2)</f>
        <v/>
      </c>
      <c r="L14" s="37">
        <f>L12*(1+'Input Assumptions'!$D$18)^(L2-$E$2)</f>
        <v/>
      </c>
      <c r="M14" s="37">
        <f>M12*(1+'Input Assumptions'!$D$18)^(M2-$E$2)</f>
        <v/>
      </c>
      <c r="N14" s="37">
        <f>N12*(1+'Input Assumptions'!$D$18)^(N2-$E$2)</f>
        <v/>
      </c>
      <c r="O14" s="37">
        <f>O12*(1+'Input Assumptions'!$D$18)^(O2-$E$2)</f>
        <v/>
      </c>
      <c r="P14" s="37">
        <f>P12*(1+'Input Assumptions'!$D$18)^(P2-$E$2)</f>
        <v/>
      </c>
      <c r="Q14" s="37">
        <f>Q12*(1+'Input Assumptions'!$D$18)^(Q2-$E$2)</f>
        <v/>
      </c>
      <c r="R14" s="37">
        <f>R12*(1+'Input Assumptions'!$D$18)^(R2-$E$2)</f>
        <v/>
      </c>
      <c r="S14" s="37">
        <f>S12*(1+'Input Assumptions'!$D$18)^(S2-$E$2)</f>
        <v/>
      </c>
      <c r="T14" s="37">
        <f>T12*(1+'Input Assumptions'!$D$18)^(T2-$E$2)</f>
        <v/>
      </c>
      <c r="U14" s="37">
        <f>U12*(1+'Input Assumptions'!$D$18)^(U2-$E$2)</f>
        <v/>
      </c>
      <c r="V14" s="37">
        <f>V12*(1+'Input Assumptions'!$D$18)^(V2-$E$2)</f>
        <v/>
      </c>
      <c r="W14" s="37">
        <f>W12*(1+'Input Assumptions'!$D$18)^(W2-$E$2)</f>
        <v/>
      </c>
      <c r="X14" s="37">
        <f>X12*(1+'Input Assumptions'!$D$18)^(X2-$E$2)</f>
        <v/>
      </c>
      <c r="Y14" s="37">
        <f>Y12*(1+'Input Assumptions'!$D$18)^(Y2-$E$2)</f>
        <v/>
      </c>
      <c r="Z14" s="37">
        <f>Z12*(1+'Input Assumptions'!$D$18)^(Z2-$E$2)</f>
        <v/>
      </c>
      <c r="AA14" s="37">
        <f>AA12*(1+'Input Assumptions'!$D$18)^(AA2-$E$2)</f>
        <v/>
      </c>
      <c r="AB14" s="37">
        <f>AB12*(1+'Input Assumptions'!$D$18)^(AB2-$E$2)</f>
        <v/>
      </c>
      <c r="AC14" s="37">
        <f>AC12*(1+'Input Assumptions'!$D$18)^(AC2-$E$2)</f>
        <v/>
      </c>
      <c r="AD14" s="37">
        <f>AD12*(1+'Input Assumptions'!$D$18)^(AD2-$E$2)</f>
        <v/>
      </c>
      <c r="AE14" s="37">
        <f>AE12*(1+'Input Assumptions'!$D$18)^(AE2-$E$2)</f>
        <v/>
      </c>
      <c r="AF14" s="37">
        <f>AF12*(1+'Input Assumptions'!$D$18)^(AF2-$E$2)</f>
        <v/>
      </c>
      <c r="AG14" s="37">
        <f>AG12*(1+'Input Assumptions'!$D$18)^(AG2-$E$2)</f>
        <v/>
      </c>
      <c r="AH14" s="37">
        <f>AH12*(1+'Input Assumptions'!$D$18)^(AH2-$E$2)</f>
        <v/>
      </c>
      <c r="AI14" s="37">
        <f>AI12*(1+'Input Assumptions'!$D$18)^(AI2-$E$2)</f>
        <v/>
      </c>
      <c r="AJ14" s="37">
        <f>AJ12*(1+'Input Assumptions'!$D$18)^(AJ2-$E$2)</f>
        <v/>
      </c>
      <c r="AK14" s="37">
        <f>AK12*(1+'Input Assumptions'!$D$18)^(AK2-$E$2)</f>
        <v/>
      </c>
      <c r="AL14" s="37">
        <f>AL12*(1+'Input Assumptions'!$D$18)^(AL2-$E$2)</f>
        <v/>
      </c>
      <c r="AM14" s="37">
        <f>AM12*(1+'Input Assumptions'!$D$18)^(AM2-$E$2)</f>
        <v/>
      </c>
      <c r="AN14" s="37">
        <f>AN12*(1+'Input Assumptions'!$D$18)^(AN2-$E$2)</f>
        <v/>
      </c>
      <c r="AO14" s="37">
        <f>AO12*(1+'Input Assumptions'!$D$18)^(AO2-$E$2)</f>
        <v/>
      </c>
      <c r="AP14" s="37">
        <f>AP12*(1+'Input Assumptions'!$D$18)^(AP2-$E$2)</f>
        <v/>
      </c>
      <c r="AQ14" s="37">
        <f>AQ12*(1+'Input Assumptions'!$D$18)^(AQ2-$E$2)</f>
        <v/>
      </c>
      <c r="AR14" s="37">
        <f>AR12*(1+'Input Assumptions'!$D$18)^(AR2-$E$2)</f>
        <v/>
      </c>
      <c r="AS14" s="52" t="n"/>
    </row>
    <row r="18" ht="17.65" customHeight="1">
      <c r="B18" s="29" t="inlineStr">
        <is>
          <t>COSTS</t>
        </is>
      </c>
      <c r="C18" s="38" t="n"/>
      <c r="D18" s="54" t="n"/>
      <c r="E18" s="58" t="n"/>
      <c r="F18" s="58" t="n"/>
      <c r="G18" s="58" t="n"/>
      <c r="H18" s="58" t="n"/>
      <c r="I18" s="58" t="n"/>
      <c r="J18" s="58" t="n"/>
      <c r="K18" s="58" t="n"/>
      <c r="L18" s="58" t="n"/>
      <c r="M18" s="58" t="n"/>
      <c r="N18" s="58" t="n"/>
      <c r="O18" s="58" t="n"/>
      <c r="P18" s="58" t="n"/>
      <c r="Q18" s="58" t="n"/>
      <c r="R18" s="58" t="n"/>
      <c r="S18" s="58" t="n"/>
      <c r="T18" s="58" t="n"/>
      <c r="U18" s="58" t="n"/>
      <c r="V18" s="58" t="n"/>
      <c r="W18" s="58" t="n"/>
      <c r="X18" s="58" t="n"/>
      <c r="Y18" s="58" t="n"/>
      <c r="Z18" s="58" t="n"/>
      <c r="AA18" s="58" t="n"/>
      <c r="AB18" s="58" t="n"/>
      <c r="AC18" s="58" t="n"/>
      <c r="AD18" s="58" t="n"/>
      <c r="AE18" s="58" t="n"/>
      <c r="AF18" s="58" t="n"/>
      <c r="AG18" s="58" t="n"/>
      <c r="AH18" s="58" t="n"/>
      <c r="AI18" s="58" t="n"/>
      <c r="AJ18" s="58" t="n"/>
      <c r="AK18" s="58" t="n"/>
      <c r="AL18" s="58" t="n"/>
      <c r="AM18" s="58" t="n"/>
      <c r="AN18" s="58" t="n"/>
      <c r="AO18" s="58" t="n"/>
      <c r="AP18" s="58" t="n"/>
      <c r="AQ18" s="58" t="n"/>
      <c r="AR18" s="59" t="n"/>
    </row>
    <row r="20">
      <c r="B20" s="50" t="inlineStr">
        <is>
          <t>Maintenance &amp; SPV costs</t>
        </is>
      </c>
      <c r="C20" s="55" t="inlineStr">
        <is>
          <t>k£</t>
        </is>
      </c>
      <c r="E20" s="33">
        <f>'Input Assumptions'!$D$29/1000*(1+'Input Assumptions'!$D$31)^(E2-$E$2)*TBA!D10</f>
        <v/>
      </c>
      <c r="F20" s="33">
        <f>'Input Assumptions'!$D$29/1000*(1+'Input Assumptions'!$D$31)^(F2-$E$2)*TBA!E10</f>
        <v/>
      </c>
      <c r="G20" s="33">
        <f>'Input Assumptions'!$D$29/1000*(1+'Input Assumptions'!$D$31)^(G2-$E$2)*TBA!F10</f>
        <v/>
      </c>
      <c r="H20" s="33">
        <f>'Input Assumptions'!$D$29/1000*(1+'Input Assumptions'!$D$31)^(H2-$E$2)*TBA!G10</f>
        <v/>
      </c>
      <c r="I20" s="33">
        <f>'Input Assumptions'!$D$29/1000*(1+'Input Assumptions'!$D$31)^(I2-$E$2)*TBA!H10</f>
        <v/>
      </c>
      <c r="J20" s="33">
        <f>'Input Assumptions'!$D$29/1000*(1+'Input Assumptions'!$D$31)^(J2-$E$2)*TBA!I10</f>
        <v/>
      </c>
      <c r="K20" s="33">
        <f>'Input Assumptions'!$D$29/1000*(1+'Input Assumptions'!$D$31)^(K2-$E$2)*TBA!J10</f>
        <v/>
      </c>
      <c r="L20" s="33">
        <f>'Input Assumptions'!$D$29/1000*(1+'Input Assumptions'!$D$31)^(L2-$E$2)*TBA!K10</f>
        <v/>
      </c>
      <c r="M20" s="33">
        <f>'Input Assumptions'!$D$29/1000*(1+'Input Assumptions'!$D$31)^(M2-$E$2)*TBA!L10</f>
        <v/>
      </c>
      <c r="N20" s="33">
        <f>'Input Assumptions'!$D$29/1000*(1+'Input Assumptions'!$D$31)^(N2-$E$2)*TBA!M10</f>
        <v/>
      </c>
      <c r="O20" s="33">
        <f>'Input Assumptions'!$D$29/1000*(1+'Input Assumptions'!$D$31)^(O2-$E$2)*TBA!N10</f>
        <v/>
      </c>
      <c r="P20" s="33">
        <f>'Input Assumptions'!$D$29/1000*(1+'Input Assumptions'!$D$31)^(P2-$E$2)*TBA!O10</f>
        <v/>
      </c>
      <c r="Q20" s="33">
        <f>'Input Assumptions'!$D$29/1000*(1+'Input Assumptions'!$D$31)^(Q2-$E$2)*TBA!P10</f>
        <v/>
      </c>
      <c r="R20" s="33">
        <f>'Input Assumptions'!$D$29/1000*(1+'Input Assumptions'!$D$31)^(R2-$E$2)*TBA!Q10</f>
        <v/>
      </c>
      <c r="S20" s="33">
        <f>'Input Assumptions'!$D$29/1000*(1+'Input Assumptions'!$D$31)^(S2-$E$2)*TBA!R10</f>
        <v/>
      </c>
      <c r="T20" s="33">
        <f>'Input Assumptions'!$D$29/1000*(1+'Input Assumptions'!$D$31)^(T2-$E$2)*TBA!S10</f>
        <v/>
      </c>
      <c r="U20" s="33">
        <f>'Input Assumptions'!$D$29/1000*(1+'Input Assumptions'!$D$31)^(U2-$E$2)*TBA!T10</f>
        <v/>
      </c>
      <c r="V20" s="33">
        <f>'Input Assumptions'!$D$29/1000*(1+'Input Assumptions'!$D$31)^(V2-$E$2)*TBA!U10</f>
        <v/>
      </c>
      <c r="W20" s="33">
        <f>'Input Assumptions'!$D$29/1000*(1+'Input Assumptions'!$D$31)^(W2-$E$2)*TBA!V10</f>
        <v/>
      </c>
      <c r="X20" s="33">
        <f>'Input Assumptions'!$D$29/1000*(1+'Input Assumptions'!$D$31)^(X2-$E$2)*TBA!W10</f>
        <v/>
      </c>
      <c r="Y20" s="33">
        <f>'Input Assumptions'!$D$29/1000*(1+'Input Assumptions'!$D$31)^(Y2-$E$2)*TBA!X10</f>
        <v/>
      </c>
      <c r="Z20" s="33">
        <f>'Input Assumptions'!$D$29/1000*(1+'Input Assumptions'!$D$31)^(Z2-$E$2)*TBA!Y10</f>
        <v/>
      </c>
      <c r="AA20" s="33">
        <f>'Input Assumptions'!$D$29/1000*(1+'Input Assumptions'!$D$31)^(AA2-$E$2)*TBA!Z10</f>
        <v/>
      </c>
      <c r="AB20" s="33">
        <f>'Input Assumptions'!$D$29/1000*(1+'Input Assumptions'!$D$31)^(AB2-$E$2)*TBA!AA10</f>
        <v/>
      </c>
      <c r="AC20" s="33">
        <f>'Input Assumptions'!$D$29/1000*(1+'Input Assumptions'!$D$31)^(AC2-$E$2)*TBA!AB10</f>
        <v/>
      </c>
      <c r="AD20" s="33">
        <f>'Input Assumptions'!$D$29/1000*(1+'Input Assumptions'!$D$31)^(AD2-$E$2)*TBA!AC10</f>
        <v/>
      </c>
      <c r="AE20" s="33">
        <f>'Input Assumptions'!$D$29/1000*(1+'Input Assumptions'!$D$31)^(AE2-$E$2)*TBA!AD10</f>
        <v/>
      </c>
      <c r="AF20" s="33">
        <f>'Input Assumptions'!$D$29/1000*(1+'Input Assumptions'!$D$31)^(AF2-$E$2)*TBA!AE10</f>
        <v/>
      </c>
      <c r="AG20" s="33">
        <f>'Input Assumptions'!$D$29/1000*(1+'Input Assumptions'!$D$31)^(AG2-$E$2)*TBA!AF10</f>
        <v/>
      </c>
      <c r="AH20" s="33">
        <f>'Input Assumptions'!$D$29/1000*(1+'Input Assumptions'!$D$31)^(AH2-$E$2)*TBA!AG10</f>
        <v/>
      </c>
      <c r="AI20" s="33">
        <f>'Input Assumptions'!$D$29/1000*(1+'Input Assumptions'!$D$31)^(AI2-$E$2)*TBA!AH10</f>
        <v/>
      </c>
      <c r="AJ20" s="33">
        <f>'Input Assumptions'!$D$29/1000*(1+'Input Assumptions'!$D$31)^(AJ2-$E$2)*TBA!AI10</f>
        <v/>
      </c>
      <c r="AK20" s="33">
        <f>'Input Assumptions'!$D$29/1000*(1+'Input Assumptions'!$D$31)^(AK2-$E$2)*TBA!AJ10</f>
        <v/>
      </c>
      <c r="AL20" s="33">
        <f>'Input Assumptions'!$D$29/1000*(1+'Input Assumptions'!$D$31)^(AL2-$E$2)*TBA!AK10</f>
        <v/>
      </c>
      <c r="AM20" s="33">
        <f>'Input Assumptions'!$D$29/1000*(1+'Input Assumptions'!$D$31)^(AM2-$E$2)*TBA!AL10</f>
        <v/>
      </c>
      <c r="AN20" s="33">
        <f>'Input Assumptions'!$D$29/1000*(1+'Input Assumptions'!$D$31)^(AN2-$E$2)*TBA!AM10</f>
        <v/>
      </c>
      <c r="AO20" s="33">
        <f>'Input Assumptions'!$D$29/1000*(1+'Input Assumptions'!$D$31)^(AO2-$E$2)*TBA!AN10</f>
        <v/>
      </c>
      <c r="AP20" s="33">
        <f>'Input Assumptions'!$D$29/1000*(1+'Input Assumptions'!$D$31)^(AP2-$E$2)*TBA!AO10</f>
        <v/>
      </c>
      <c r="AQ20" s="33">
        <f>'Input Assumptions'!$D$29/1000*(1+'Input Assumptions'!$D$31)^(AQ2-$E$2)*TBA!AP10</f>
        <v/>
      </c>
      <c r="AR20" s="33">
        <f>'Input Assumptions'!$D$29/1000*(1+'Input Assumptions'!$D$31)^(AR2-$E$2)*TBA!AQ10</f>
        <v/>
      </c>
    </row>
    <row r="21" ht="17.65" customHeight="1">
      <c r="B21" s="34" t="inlineStr">
        <is>
          <t>Total Costs (nominal)</t>
        </is>
      </c>
      <c r="C21" s="51" t="inlineStr">
        <is>
          <t>k£</t>
        </is>
      </c>
      <c r="D21" s="37">
        <f>SUM(E21:AR21)</f>
        <v/>
      </c>
      <c r="E21" s="37">
        <f>SUM(E19:E20)</f>
        <v/>
      </c>
      <c r="F21" s="37">
        <f>SUM(F19:F20)</f>
        <v/>
      </c>
      <c r="G21" s="37">
        <f>SUM(G19:G20)</f>
        <v/>
      </c>
      <c r="H21" s="37">
        <f>SUM(H19:H20)</f>
        <v/>
      </c>
      <c r="I21" s="37">
        <f>SUM(I19:I20)</f>
        <v/>
      </c>
      <c r="J21" s="37">
        <f>SUM(J19:J20)</f>
        <v/>
      </c>
      <c r="K21" s="37">
        <f>SUM(K19:K20)</f>
        <v/>
      </c>
      <c r="L21" s="37">
        <f>SUM(L19:L20)</f>
        <v/>
      </c>
      <c r="M21" s="37">
        <f>SUM(M19:M20)</f>
        <v/>
      </c>
      <c r="N21" s="37">
        <f>SUM(N19:N20)</f>
        <v/>
      </c>
      <c r="O21" s="37">
        <f>SUM(O19:O20)</f>
        <v/>
      </c>
      <c r="P21" s="37">
        <f>SUM(P19:P20)</f>
        <v/>
      </c>
      <c r="Q21" s="37">
        <f>SUM(Q19:Q20)</f>
        <v/>
      </c>
      <c r="R21" s="37">
        <f>SUM(R19:R20)</f>
        <v/>
      </c>
      <c r="S21" s="37">
        <f>SUM(S19:S20)</f>
        <v/>
      </c>
      <c r="T21" s="37">
        <f>SUM(T19:T20)</f>
        <v/>
      </c>
      <c r="U21" s="37">
        <f>SUM(U19:U20)</f>
        <v/>
      </c>
      <c r="V21" s="37">
        <f>SUM(V19:V20)</f>
        <v/>
      </c>
      <c r="W21" s="37">
        <f>SUM(W19:W20)</f>
        <v/>
      </c>
      <c r="X21" s="37">
        <f>SUM(X19:X20)</f>
        <v/>
      </c>
      <c r="Y21" s="37">
        <f>SUM(Y19:Y20)</f>
        <v/>
      </c>
      <c r="Z21" s="37">
        <f>SUM(Z19:Z20)</f>
        <v/>
      </c>
      <c r="AA21" s="37">
        <f>SUM(AA19:AA20)</f>
        <v/>
      </c>
      <c r="AB21" s="37">
        <f>SUM(AB19:AB20)</f>
        <v/>
      </c>
      <c r="AC21" s="37">
        <f>SUM(AC19:AC20)</f>
        <v/>
      </c>
      <c r="AD21" s="37">
        <f>SUM(AD19:AD20)</f>
        <v/>
      </c>
      <c r="AE21" s="37">
        <f>SUM(AE19:AE20)</f>
        <v/>
      </c>
      <c r="AF21" s="37">
        <f>SUM(AF19:AF20)</f>
        <v/>
      </c>
      <c r="AG21" s="37">
        <f>SUM(AG19:AG20)</f>
        <v/>
      </c>
      <c r="AH21" s="37">
        <f>SUM(AH19:AH20)</f>
        <v/>
      </c>
      <c r="AI21" s="37">
        <f>SUM(AI19:AI20)</f>
        <v/>
      </c>
      <c r="AJ21" s="37">
        <f>SUM(AJ19:AJ20)</f>
        <v/>
      </c>
      <c r="AK21" s="37">
        <f>SUM(AK19:AK20)</f>
        <v/>
      </c>
      <c r="AL21" s="37">
        <f>SUM(AL19:AL20)</f>
        <v/>
      </c>
      <c r="AM21" s="37">
        <f>SUM(AM19:AM20)</f>
        <v/>
      </c>
      <c r="AN21" s="37">
        <f>SUM(AN19:AN20)</f>
        <v/>
      </c>
      <c r="AO21" s="37">
        <f>SUM(AO19:AO20)</f>
        <v/>
      </c>
      <c r="AP21" s="37">
        <f>SUM(AP19:AP20)</f>
        <v/>
      </c>
      <c r="AQ21" s="37">
        <f>SUM(AQ19:AQ20)</f>
        <v/>
      </c>
      <c r="AR21" s="37">
        <f>SUM(AR19:AR20)</f>
        <v/>
      </c>
      <c r="AS21" s="52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R13"/>
  <sheetViews>
    <sheetView showGridLines="0" workbookViewId="0">
      <pane xSplit="4" topLeftCell="E1" activePane="topRight" state="frozen"/>
      <selection pane="topRight" activeCell="I20" sqref="I20"/>
    </sheetView>
  </sheetViews>
  <sheetFormatPr baseColWidth="8" defaultColWidth="0" defaultRowHeight="14.45"/>
  <cols>
    <col width="9" customWidth="1" min="1" max="1"/>
    <col width="28" customWidth="1" min="2" max="2"/>
    <col width="2.42578125" customWidth="1" min="3" max="3"/>
    <col width="12.7109375" customWidth="1" min="4" max="4"/>
    <col width="9" customWidth="1" min="5" max="45"/>
    <col hidden="1" width="9" customWidth="1" min="46" max="16384"/>
  </cols>
  <sheetData>
    <row r="2">
      <c r="B2" s="29" t="inlineStr">
        <is>
          <t>Year</t>
        </is>
      </c>
      <c r="C2" s="62" t="n"/>
      <c r="D2" s="62" t="n"/>
      <c r="E2" s="56" t="n">
        <v>1</v>
      </c>
      <c r="F2" s="56" t="n">
        <v>2</v>
      </c>
      <c r="G2" s="56" t="n">
        <v>3</v>
      </c>
      <c r="H2" s="56" t="n">
        <v>4</v>
      </c>
      <c r="I2" s="56" t="n">
        <v>5</v>
      </c>
      <c r="J2" s="56" t="n">
        <v>6</v>
      </c>
      <c r="K2" s="56" t="n">
        <v>7</v>
      </c>
      <c r="L2" s="56" t="n">
        <v>8</v>
      </c>
      <c r="M2" s="56" t="n">
        <v>9</v>
      </c>
      <c r="N2" s="56" t="n">
        <v>10</v>
      </c>
      <c r="O2" s="56" t="n">
        <v>11</v>
      </c>
      <c r="P2" s="56" t="n">
        <v>12</v>
      </c>
      <c r="Q2" s="56" t="n">
        <v>13</v>
      </c>
      <c r="R2" s="56" t="n">
        <v>14</v>
      </c>
      <c r="S2" s="56" t="n">
        <v>15</v>
      </c>
      <c r="T2" s="56" t="n">
        <v>16</v>
      </c>
      <c r="U2" s="56" t="n">
        <v>17</v>
      </c>
      <c r="V2" s="56" t="n">
        <v>18</v>
      </c>
      <c r="W2" s="56" t="n">
        <v>19</v>
      </c>
      <c r="X2" s="56" t="n">
        <v>20</v>
      </c>
      <c r="Y2" s="56" t="n">
        <v>21</v>
      </c>
      <c r="Z2" s="56" t="n">
        <v>22</v>
      </c>
      <c r="AA2" s="56" t="n">
        <v>23</v>
      </c>
      <c r="AB2" s="56" t="n">
        <v>24</v>
      </c>
      <c r="AC2" s="56" t="n">
        <v>25</v>
      </c>
      <c r="AD2" s="56" t="n">
        <v>26</v>
      </c>
      <c r="AE2" s="56" t="n">
        <v>27</v>
      </c>
      <c r="AF2" s="56" t="n">
        <v>28</v>
      </c>
      <c r="AG2" s="56" t="n">
        <v>29</v>
      </c>
      <c r="AH2" s="56" t="n">
        <v>30</v>
      </c>
      <c r="AI2" s="56" t="n">
        <v>31</v>
      </c>
      <c r="AJ2" s="56" t="n">
        <v>32</v>
      </c>
      <c r="AK2" s="56" t="n">
        <v>33</v>
      </c>
      <c r="AL2" s="56" t="n">
        <v>34</v>
      </c>
      <c r="AM2" s="56" t="n">
        <v>35</v>
      </c>
      <c r="AN2" s="56" t="n">
        <v>36</v>
      </c>
      <c r="AO2" s="56" t="n">
        <v>37</v>
      </c>
      <c r="AP2" s="56" t="n">
        <v>38</v>
      </c>
      <c r="AQ2" s="56" t="n">
        <v>39</v>
      </c>
      <c r="AR2" s="57" t="n">
        <v>40</v>
      </c>
    </row>
    <row r="5" ht="17.65" customHeight="1">
      <c r="B5" s="29" t="inlineStr">
        <is>
          <t>D&amp;A</t>
        </is>
      </c>
      <c r="C5" s="62" t="n"/>
      <c r="D5" s="62" t="n"/>
      <c r="E5" s="58" t="n"/>
      <c r="F5" s="58" t="n"/>
      <c r="G5" s="58" t="n"/>
      <c r="H5" s="58" t="n"/>
      <c r="I5" s="58" t="n"/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  <c r="W5" s="58" t="n"/>
      <c r="X5" s="58" t="n"/>
      <c r="Y5" s="58" t="n"/>
      <c r="Z5" s="58" t="n"/>
      <c r="AA5" s="58" t="n"/>
      <c r="AB5" s="58" t="n"/>
      <c r="AC5" s="58" t="n"/>
      <c r="AD5" s="58" t="n"/>
      <c r="AE5" s="58" t="n"/>
      <c r="AF5" s="58" t="n"/>
      <c r="AG5" s="58" t="n"/>
      <c r="AH5" s="58" t="n"/>
      <c r="AI5" s="58" t="n"/>
      <c r="AJ5" s="58" t="n"/>
      <c r="AK5" s="58" t="n"/>
      <c r="AL5" s="58" t="n"/>
      <c r="AM5" s="58" t="n"/>
      <c r="AN5" s="58" t="n"/>
      <c r="AO5" s="58" t="n"/>
      <c r="AP5" s="58" t="n"/>
      <c r="AQ5" s="58" t="n"/>
      <c r="AR5" s="59" t="n"/>
    </row>
    <row r="8">
      <c r="B8" t="inlineStr">
        <is>
          <t>Asset Value opening (k£)</t>
        </is>
      </c>
      <c r="E8" s="33">
        <f>D10+Construction!E19</f>
        <v/>
      </c>
      <c r="F8" s="33">
        <f>E10+Construction!F19</f>
        <v/>
      </c>
      <c r="G8" s="33">
        <f>F10+Construction!G19</f>
        <v/>
      </c>
      <c r="H8" s="33">
        <f>G10+Construction!H19</f>
        <v/>
      </c>
      <c r="I8" s="33">
        <f>H10+Construction!I19</f>
        <v/>
      </c>
      <c r="J8" s="33">
        <f>I10+Construction!J19</f>
        <v/>
      </c>
      <c r="K8" s="33">
        <f>J10+Construction!K19</f>
        <v/>
      </c>
      <c r="L8" s="33">
        <f>K10+Construction!L19</f>
        <v/>
      </c>
      <c r="M8" s="33">
        <f>L10+Construction!M19</f>
        <v/>
      </c>
      <c r="N8" s="33">
        <f>M10+Construction!N19</f>
        <v/>
      </c>
      <c r="O8" s="33">
        <f>N10+Construction!O19</f>
        <v/>
      </c>
      <c r="P8" s="33">
        <f>O10+Construction!P19</f>
        <v/>
      </c>
      <c r="Q8" s="33">
        <f>P10+Construction!Q19</f>
        <v/>
      </c>
      <c r="R8" s="33">
        <f>Q10+Construction!R19</f>
        <v/>
      </c>
      <c r="S8" s="33">
        <f>R10+Construction!S19</f>
        <v/>
      </c>
      <c r="T8" s="33">
        <f>S10+Construction!T19</f>
        <v/>
      </c>
      <c r="U8" s="33">
        <f>T10+Construction!U19</f>
        <v/>
      </c>
      <c r="V8" s="33">
        <f>U10+Construction!V19</f>
        <v/>
      </c>
      <c r="W8" s="33">
        <f>V10+Construction!W19</f>
        <v/>
      </c>
      <c r="X8" s="33">
        <f>W10+Construction!X19</f>
        <v/>
      </c>
      <c r="Y8" s="33">
        <f>X10+Construction!Y19</f>
        <v/>
      </c>
      <c r="Z8" s="33">
        <f>Y10+Construction!Z19</f>
        <v/>
      </c>
      <c r="AA8" s="33">
        <f>Z10+Construction!AA19</f>
        <v/>
      </c>
      <c r="AB8" s="33">
        <f>AA10+Construction!AB19</f>
        <v/>
      </c>
      <c r="AC8" s="33">
        <f>AB10+Construction!AC19</f>
        <v/>
      </c>
      <c r="AD8" s="33">
        <f>AC10+Construction!AD19</f>
        <v/>
      </c>
      <c r="AE8" s="33">
        <f>AD10+Construction!AE19</f>
        <v/>
      </c>
      <c r="AF8" s="33">
        <f>AE10+Construction!AF19</f>
        <v/>
      </c>
      <c r="AG8" s="33">
        <f>AF10+Construction!AG19</f>
        <v/>
      </c>
      <c r="AH8" s="33">
        <f>AG10+Construction!AH19</f>
        <v/>
      </c>
      <c r="AI8" s="33">
        <f>AH10+Construction!AI19</f>
        <v/>
      </c>
      <c r="AJ8" s="33">
        <f>AI10+Construction!AJ19</f>
        <v/>
      </c>
      <c r="AK8" s="33">
        <f>AJ10+Construction!AK19</f>
        <v/>
      </c>
      <c r="AL8" s="33">
        <f>AK10+Construction!AL19</f>
        <v/>
      </c>
      <c r="AM8" s="33">
        <f>AL10+Construction!AM19</f>
        <v/>
      </c>
      <c r="AN8" s="33">
        <f>AM10+Construction!AN19</f>
        <v/>
      </c>
      <c r="AO8" s="33">
        <f>AN10+Construction!AO19</f>
        <v/>
      </c>
      <c r="AP8" s="33">
        <f>AO10+Construction!AP19</f>
        <v/>
      </c>
      <c r="AQ8" s="33">
        <f>AP10+Construction!AQ19</f>
        <v/>
      </c>
      <c r="AR8" s="33">
        <f>AQ10+Construction!AR19</f>
        <v/>
      </c>
    </row>
    <row r="9"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</row>
    <row r="10">
      <c r="B10" t="inlineStr">
        <is>
          <t>Asset Value closing (k£)</t>
        </is>
      </c>
      <c r="E10" s="33">
        <f>E8+E13</f>
        <v/>
      </c>
      <c r="F10" s="33">
        <f>F8+F13</f>
        <v/>
      </c>
      <c r="G10" s="33">
        <f>G8+G13</f>
        <v/>
      </c>
      <c r="H10" s="33">
        <f>H8+H13</f>
        <v/>
      </c>
      <c r="I10" s="33">
        <f>I8+I13</f>
        <v/>
      </c>
      <c r="J10" s="33">
        <f>J8+J13</f>
        <v/>
      </c>
      <c r="K10" s="33">
        <f>K8+K13</f>
        <v/>
      </c>
      <c r="L10" s="33">
        <f>L8+L13</f>
        <v/>
      </c>
      <c r="M10" s="33">
        <f>M8+M13</f>
        <v/>
      </c>
      <c r="N10" s="33">
        <f>N8+N13</f>
        <v/>
      </c>
      <c r="O10" s="33">
        <f>O8+O13</f>
        <v/>
      </c>
      <c r="P10" s="33">
        <f>P8+P13</f>
        <v/>
      </c>
      <c r="Q10" s="33">
        <f>Q8+Q13</f>
        <v/>
      </c>
      <c r="R10" s="33">
        <f>R8+R13</f>
        <v/>
      </c>
      <c r="S10" s="33">
        <f>S8+S13</f>
        <v/>
      </c>
      <c r="T10" s="33">
        <f>T8+T13</f>
        <v/>
      </c>
      <c r="U10" s="33">
        <f>U8+U13</f>
        <v/>
      </c>
      <c r="V10" s="33">
        <f>V8+V13</f>
        <v/>
      </c>
      <c r="W10" s="33">
        <f>W8+W13</f>
        <v/>
      </c>
      <c r="X10" s="33">
        <f>X8+X13</f>
        <v/>
      </c>
      <c r="Y10" s="33">
        <f>Y8+Y13</f>
        <v/>
      </c>
      <c r="Z10" s="33">
        <f>Z8+Z13</f>
        <v/>
      </c>
      <c r="AA10" s="33">
        <f>AA8+AA13</f>
        <v/>
      </c>
      <c r="AB10" s="33">
        <f>AB8+AB13</f>
        <v/>
      </c>
      <c r="AC10" s="33">
        <f>AC8+AC13</f>
        <v/>
      </c>
      <c r="AD10" s="33">
        <f>AD8+AD13</f>
        <v/>
      </c>
      <c r="AE10" s="33">
        <f>AE8+AE13</f>
        <v/>
      </c>
      <c r="AF10" s="33">
        <f>AF8+AF13</f>
        <v/>
      </c>
      <c r="AG10" s="33">
        <f>AG8+AG13</f>
        <v/>
      </c>
      <c r="AH10" s="33">
        <f>AH8+AH13</f>
        <v/>
      </c>
      <c r="AI10" s="33">
        <f>AI8+AI13</f>
        <v/>
      </c>
      <c r="AJ10" s="33">
        <f>AJ8+AJ13</f>
        <v/>
      </c>
      <c r="AK10" s="33">
        <f>AK8+AK13</f>
        <v/>
      </c>
      <c r="AL10" s="33">
        <f>AL8+AL13</f>
        <v/>
      </c>
      <c r="AM10" s="33">
        <f>AM8+AM13</f>
        <v/>
      </c>
      <c r="AN10" s="33">
        <f>AN8+AN13</f>
        <v/>
      </c>
      <c r="AO10" s="33">
        <f>AO8+AO13</f>
        <v/>
      </c>
      <c r="AP10" s="33">
        <f>AP8+AP13</f>
        <v/>
      </c>
      <c r="AQ10" s="33">
        <f>AQ8+AQ13</f>
        <v/>
      </c>
      <c r="AR10" s="33">
        <f>AR8+AR13</f>
        <v/>
      </c>
    </row>
    <row r="13">
      <c r="B13" s="24" t="inlineStr">
        <is>
          <t>Amortization (k£)</t>
        </is>
      </c>
      <c r="C13" s="24" t="n"/>
      <c r="D13" s="65">
        <f>SUM(E13:AR13)</f>
        <v/>
      </c>
      <c r="E13" s="65">
        <f>-Construction!$C$20/('Input Assumptions'!$D$8-'Input Assumptions'!$D$9)*TBA!D10</f>
        <v/>
      </c>
      <c r="F13" s="65">
        <f>-Construction!$C$20/('Input Assumptions'!$D$8-'Input Assumptions'!$D$9)*TBA!E10</f>
        <v/>
      </c>
      <c r="G13" s="65">
        <f>-Construction!$C$20/('Input Assumptions'!$D$8-'Input Assumptions'!$D$9)*TBA!F10</f>
        <v/>
      </c>
      <c r="H13" s="65">
        <f>-Construction!$C$20/('Input Assumptions'!$D$8-'Input Assumptions'!$D$9)*TBA!G10</f>
        <v/>
      </c>
      <c r="I13" s="65">
        <f>-Construction!$C$20/('Input Assumptions'!$D$8-'Input Assumptions'!$D$9)*TBA!H10</f>
        <v/>
      </c>
      <c r="J13" s="65">
        <f>-Construction!$C$20/('Input Assumptions'!$D$8-'Input Assumptions'!$D$9)*TBA!I10</f>
        <v/>
      </c>
      <c r="K13" s="65">
        <f>-Construction!$C$20/('Input Assumptions'!$D$8-'Input Assumptions'!$D$9)*TBA!J10</f>
        <v/>
      </c>
      <c r="L13" s="65">
        <f>-Construction!$C$20/('Input Assumptions'!$D$8-'Input Assumptions'!$D$9)*TBA!K10</f>
        <v/>
      </c>
      <c r="M13" s="65">
        <f>-Construction!$C$20/('Input Assumptions'!$D$8-'Input Assumptions'!$D$9)*TBA!L10</f>
        <v/>
      </c>
      <c r="N13" s="65">
        <f>-Construction!$C$20/('Input Assumptions'!$D$8-'Input Assumptions'!$D$9)*TBA!M10</f>
        <v/>
      </c>
      <c r="O13" s="65">
        <f>-Construction!$C$20/('Input Assumptions'!$D$8-'Input Assumptions'!$D$9)*TBA!N10</f>
        <v/>
      </c>
      <c r="P13" s="65">
        <f>-Construction!$C$20/('Input Assumptions'!$D$8-'Input Assumptions'!$D$9)*TBA!O10</f>
        <v/>
      </c>
      <c r="Q13" s="65">
        <f>-Construction!$C$20/('Input Assumptions'!$D$8-'Input Assumptions'!$D$9)*TBA!P10</f>
        <v/>
      </c>
      <c r="R13" s="65">
        <f>-Construction!$C$20/('Input Assumptions'!$D$8-'Input Assumptions'!$D$9)*TBA!Q10</f>
        <v/>
      </c>
      <c r="S13" s="65">
        <f>-Construction!$C$20/('Input Assumptions'!$D$8-'Input Assumptions'!$D$9)*TBA!R10</f>
        <v/>
      </c>
      <c r="T13" s="65">
        <f>-Construction!$C$20/('Input Assumptions'!$D$8-'Input Assumptions'!$D$9)*TBA!S10</f>
        <v/>
      </c>
      <c r="U13" s="65">
        <f>-Construction!$C$20/('Input Assumptions'!$D$8-'Input Assumptions'!$D$9)*TBA!T10</f>
        <v/>
      </c>
      <c r="V13" s="65">
        <f>-Construction!$C$20/('Input Assumptions'!$D$8-'Input Assumptions'!$D$9)*TBA!U10</f>
        <v/>
      </c>
      <c r="W13" s="65">
        <f>-Construction!$C$20/('Input Assumptions'!$D$8-'Input Assumptions'!$D$9)*TBA!V10</f>
        <v/>
      </c>
      <c r="X13" s="65">
        <f>-Construction!$C$20/('Input Assumptions'!$D$8-'Input Assumptions'!$D$9)*TBA!W10</f>
        <v/>
      </c>
      <c r="Y13" s="65">
        <f>-Construction!$C$20/('Input Assumptions'!$D$8-'Input Assumptions'!$D$9)*TBA!X10</f>
        <v/>
      </c>
      <c r="Z13" s="65">
        <f>-Construction!$C$20/('Input Assumptions'!$D$8-'Input Assumptions'!$D$9)*TBA!Y10</f>
        <v/>
      </c>
      <c r="AA13" s="65">
        <f>-Construction!$C$20/('Input Assumptions'!$D$8-'Input Assumptions'!$D$9)*TBA!Z10</f>
        <v/>
      </c>
      <c r="AB13" s="65">
        <f>-Construction!$C$20/('Input Assumptions'!$D$8-'Input Assumptions'!$D$9)*TBA!AA10</f>
        <v/>
      </c>
      <c r="AC13" s="65">
        <f>-Construction!$C$20/('Input Assumptions'!$D$8-'Input Assumptions'!$D$9)*TBA!AB10</f>
        <v/>
      </c>
      <c r="AD13" s="65">
        <f>-Construction!$C$20/('Input Assumptions'!$D$8-'Input Assumptions'!$D$9)*TBA!AC10</f>
        <v/>
      </c>
      <c r="AE13" s="65">
        <f>-Construction!$C$20/('Input Assumptions'!$D$8-'Input Assumptions'!$D$9)*TBA!AD10</f>
        <v/>
      </c>
      <c r="AF13" s="65">
        <f>-Construction!$C$20/('Input Assumptions'!$D$8-'Input Assumptions'!$D$9)*TBA!AE10</f>
        <v/>
      </c>
      <c r="AG13" s="65">
        <f>-Construction!$C$20/('Input Assumptions'!$D$8-'Input Assumptions'!$D$9)*TBA!AF10</f>
        <v/>
      </c>
      <c r="AH13" s="65">
        <f>-Construction!$C$20/('Input Assumptions'!$D$8-'Input Assumptions'!$D$9)*TBA!AG10</f>
        <v/>
      </c>
      <c r="AI13" s="65">
        <f>-Construction!$C$20/('Input Assumptions'!$D$8-'Input Assumptions'!$D$9)*TBA!AH10</f>
        <v/>
      </c>
      <c r="AJ13" s="65">
        <f>-Construction!$C$20/('Input Assumptions'!$D$8-'Input Assumptions'!$D$9)*TBA!AI10</f>
        <v/>
      </c>
      <c r="AK13" s="65">
        <f>-Construction!$C$20/('Input Assumptions'!$D$8-'Input Assumptions'!$D$9)*TBA!AJ10</f>
        <v/>
      </c>
      <c r="AL13" s="65">
        <f>-Construction!$C$20/('Input Assumptions'!$D$8-'Input Assumptions'!$D$9)*TBA!AK10</f>
        <v/>
      </c>
      <c r="AM13" s="65">
        <f>-Construction!$C$20/('Input Assumptions'!$D$8-'Input Assumptions'!$D$9)*TBA!AL10</f>
        <v/>
      </c>
      <c r="AN13" s="65">
        <f>-Construction!$C$20/('Input Assumptions'!$D$8-'Input Assumptions'!$D$9)*TBA!AM10</f>
        <v/>
      </c>
      <c r="AO13" s="65">
        <f>-Construction!$C$20/('Input Assumptions'!$D$8-'Input Assumptions'!$D$9)*TBA!AN10</f>
        <v/>
      </c>
      <c r="AP13" s="65">
        <f>-Construction!$C$20/('Input Assumptions'!$D$8-'Input Assumptions'!$D$9)*TBA!AO10</f>
        <v/>
      </c>
      <c r="AQ13" s="65">
        <f>-Construction!$C$20/('Input Assumptions'!$D$8-'Input Assumptions'!$D$9)*TBA!AP10</f>
        <v/>
      </c>
      <c r="AR13" s="65">
        <f>-Construction!$C$20/('Input Assumptions'!$D$8-'Input Assumptions'!$D$9)*TBA!AQ10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3:AS17"/>
  <sheetViews>
    <sheetView showGridLines="0" workbookViewId="0">
      <pane xSplit="5" topLeftCell="F1" activePane="topRight" state="frozen"/>
      <selection pane="topRight" activeCell="J10" sqref="J10:M10"/>
    </sheetView>
  </sheetViews>
  <sheetFormatPr baseColWidth="8" defaultColWidth="0" defaultRowHeight="14.45"/>
  <cols>
    <col width="9" customWidth="1" min="1" max="1"/>
    <col width="31.7109375" customWidth="1" min="2" max="2"/>
    <col width="9" customWidth="1" min="3" max="5"/>
    <col width="9" customWidth="1" style="9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</row>
    <row r="6" ht="17.65" customHeight="1">
      <c r="B6" s="29" t="inlineStr">
        <is>
          <t>Debt Repayment Schedule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8">
      <c r="B8" t="inlineStr">
        <is>
          <t>Opening Balance</t>
        </is>
      </c>
      <c r="C8" s="55" t="inlineStr">
        <is>
          <t>k£</t>
        </is>
      </c>
      <c r="F8" s="60">
        <f>E11</f>
        <v/>
      </c>
      <c r="G8" s="60">
        <f>F11</f>
        <v/>
      </c>
      <c r="H8" s="60">
        <f>G11</f>
        <v/>
      </c>
      <c r="I8" s="60">
        <f>H11</f>
        <v/>
      </c>
      <c r="J8" s="60">
        <f>I11</f>
        <v/>
      </c>
      <c r="K8" s="60">
        <f>J11</f>
        <v/>
      </c>
      <c r="L8" s="60">
        <f>K11</f>
        <v/>
      </c>
      <c r="M8" s="60">
        <f>L11</f>
        <v/>
      </c>
      <c r="N8" s="60">
        <f>M11</f>
        <v/>
      </c>
      <c r="O8" s="60">
        <f>N11</f>
        <v/>
      </c>
      <c r="P8" s="60">
        <f>O11</f>
        <v/>
      </c>
      <c r="Q8" s="60">
        <f>P11</f>
        <v/>
      </c>
      <c r="R8" s="60">
        <f>Q11</f>
        <v/>
      </c>
      <c r="S8" s="60">
        <f>R11</f>
        <v/>
      </c>
      <c r="T8" s="60">
        <f>S11</f>
        <v/>
      </c>
      <c r="U8" s="60">
        <f>T11</f>
        <v/>
      </c>
      <c r="V8" s="60">
        <f>U11</f>
        <v/>
      </c>
      <c r="W8" s="60">
        <f>V11</f>
        <v/>
      </c>
      <c r="X8" s="60">
        <f>W11</f>
        <v/>
      </c>
      <c r="Y8" s="60">
        <f>X11</f>
        <v/>
      </c>
      <c r="Z8" s="60">
        <f>Y11</f>
        <v/>
      </c>
      <c r="AA8" s="60">
        <f>Z11</f>
        <v/>
      </c>
      <c r="AB8" s="60">
        <f>AA11</f>
        <v/>
      </c>
      <c r="AC8" s="60">
        <f>AB11</f>
        <v/>
      </c>
      <c r="AD8" s="60">
        <f>AC11</f>
        <v/>
      </c>
      <c r="AE8" s="60">
        <f>AD11</f>
        <v/>
      </c>
      <c r="AF8" s="60">
        <f>AE11</f>
        <v/>
      </c>
      <c r="AG8" s="60">
        <f>AF11</f>
        <v/>
      </c>
      <c r="AH8" s="60">
        <f>AG11</f>
        <v/>
      </c>
      <c r="AI8" s="60">
        <f>AH11</f>
        <v/>
      </c>
      <c r="AJ8" s="60">
        <f>AI11</f>
        <v/>
      </c>
      <c r="AK8" s="60">
        <f>AJ11</f>
        <v/>
      </c>
      <c r="AL8" s="60">
        <f>AK11</f>
        <v/>
      </c>
      <c r="AM8" s="60">
        <f>AL11</f>
        <v/>
      </c>
      <c r="AN8" s="60">
        <f>AM11</f>
        <v/>
      </c>
      <c r="AO8" s="60">
        <f>AN11</f>
        <v/>
      </c>
      <c r="AP8" s="60">
        <f>AO11</f>
        <v/>
      </c>
      <c r="AQ8" s="60">
        <f>AP11</f>
        <v/>
      </c>
      <c r="AR8" s="60">
        <f>AQ11</f>
        <v/>
      </c>
      <c r="AS8" s="60">
        <f>AR11</f>
        <v/>
      </c>
    </row>
    <row r="9">
      <c r="B9" t="inlineStr">
        <is>
          <t>Drawdowns</t>
        </is>
      </c>
      <c r="C9" s="55" t="inlineStr">
        <is>
          <t>k£</t>
        </is>
      </c>
      <c r="F9" s="60">
        <f>Construction!E34</f>
        <v/>
      </c>
      <c r="G9" s="60">
        <f>Construction!F34</f>
        <v/>
      </c>
      <c r="H9" s="60">
        <f>Construction!G34</f>
        <v/>
      </c>
      <c r="I9" s="60">
        <f>Construction!H34</f>
        <v/>
      </c>
      <c r="J9" s="60">
        <f>Construction!I34</f>
        <v/>
      </c>
      <c r="K9" s="60">
        <f>Construction!J34</f>
        <v/>
      </c>
      <c r="L9" s="60">
        <f>Construction!K34</f>
        <v/>
      </c>
      <c r="M9" s="60">
        <f>Construction!L34</f>
        <v/>
      </c>
      <c r="N9" s="60">
        <f>Construction!M34</f>
        <v/>
      </c>
      <c r="O9" s="60">
        <f>Construction!N34</f>
        <v/>
      </c>
      <c r="P9" s="60">
        <f>Construction!O34</f>
        <v/>
      </c>
      <c r="Q9" s="60">
        <f>Construction!P34</f>
        <v/>
      </c>
      <c r="R9" s="60">
        <f>Construction!Q34</f>
        <v/>
      </c>
      <c r="S9" s="60">
        <f>Construction!R34</f>
        <v/>
      </c>
      <c r="T9" s="60">
        <f>Construction!S34</f>
        <v/>
      </c>
      <c r="U9" s="60">
        <f>Construction!T34</f>
        <v/>
      </c>
      <c r="V9" s="60">
        <f>Construction!U34</f>
        <v/>
      </c>
      <c r="W9" s="60">
        <f>Construction!V34</f>
        <v/>
      </c>
      <c r="X9" s="60">
        <f>Construction!W34</f>
        <v/>
      </c>
      <c r="Y9" s="60">
        <f>Construction!X34</f>
        <v/>
      </c>
      <c r="Z9" s="60">
        <f>Construction!Y34</f>
        <v/>
      </c>
      <c r="AA9" s="60">
        <f>Construction!Z34</f>
        <v/>
      </c>
      <c r="AB9" s="60">
        <f>Construction!AA34</f>
        <v/>
      </c>
      <c r="AC9" s="60">
        <f>Construction!AB34</f>
        <v/>
      </c>
      <c r="AD9" s="60">
        <f>Construction!AC34</f>
        <v/>
      </c>
      <c r="AE9" s="60">
        <f>Construction!AD34</f>
        <v/>
      </c>
      <c r="AF9" s="60">
        <f>Construction!AE34</f>
        <v/>
      </c>
      <c r="AG9" s="60">
        <f>Construction!AF34</f>
        <v/>
      </c>
      <c r="AH9" s="60">
        <f>Construction!AG34</f>
        <v/>
      </c>
      <c r="AI9" s="60">
        <f>Construction!AH34</f>
        <v/>
      </c>
      <c r="AJ9" s="60">
        <f>Construction!AI34</f>
        <v/>
      </c>
      <c r="AK9" s="60">
        <f>Construction!AJ34</f>
        <v/>
      </c>
      <c r="AL9" s="60">
        <f>Construction!AK34</f>
        <v/>
      </c>
      <c r="AM9" s="60">
        <f>Construction!AL34</f>
        <v/>
      </c>
      <c r="AN9" s="60">
        <f>Construction!AM34</f>
        <v/>
      </c>
      <c r="AO9" s="60">
        <f>Construction!AN34</f>
        <v/>
      </c>
      <c r="AP9" s="60">
        <f>Construction!AO34</f>
        <v/>
      </c>
      <c r="AQ9" s="60">
        <f>Construction!AP34</f>
        <v/>
      </c>
      <c r="AR9" s="60">
        <f>Construction!AQ34</f>
        <v/>
      </c>
      <c r="AS9" s="60">
        <f>Construction!AR34</f>
        <v/>
      </c>
    </row>
    <row r="10">
      <c r="B10" t="inlineStr">
        <is>
          <t>Principal Repayment</t>
        </is>
      </c>
      <c r="C10" s="55" t="inlineStr">
        <is>
          <t>k£</t>
        </is>
      </c>
      <c r="F10" s="60">
        <f>IF(TBA!D18=1,PPMT('Input Assumptions'!$D$35+'Input Assumptions'!$D$36,Debt!F3-Debt!$I$3,TBA!$C$18,Construction!$C$34),0)</f>
        <v/>
      </c>
      <c r="G10" s="60">
        <f>IF(TBA!E18=1,PPMT('Input Assumptions'!$D$35+'Input Assumptions'!$D$36,Debt!G3-Debt!$I$3,TBA!$C$18,Construction!$C$34),0)</f>
        <v/>
      </c>
      <c r="H10" s="60">
        <f>IF(TBA!F18=1,PPMT('Input Assumptions'!$D$35+'Input Assumptions'!$D$36,Debt!H3-Debt!$I$3,TBA!$C$18,Construction!$C$34),0)</f>
        <v/>
      </c>
      <c r="I10" s="60">
        <f>IF(TBA!G18=1,PPMT('Input Assumptions'!$D$35+'Input Assumptions'!$D$36,Debt!I3-Debt!$I$3,TBA!$C$18,Construction!$C$34),0)</f>
        <v/>
      </c>
      <c r="J10" s="60">
        <f>IF(TBA!H18=1,PPMT('Input Assumptions'!$D$35+'Input Assumptions'!$D$36,Debt!J3-Debt!$I$3,TBA!$C$18,Construction!$C$34),0)</f>
        <v/>
      </c>
      <c r="K10" s="60">
        <f>IF(TBA!I18=1,PPMT('Input Assumptions'!$D$35+'Input Assumptions'!$D$36,Debt!K3-Debt!$I$3,TBA!$C$18,Construction!$C$34),0)</f>
        <v/>
      </c>
      <c r="L10" s="60">
        <f>IF(TBA!J18=1,PPMT('Input Assumptions'!$D$35+'Input Assumptions'!$D$36,Debt!L3-Debt!$I$3,TBA!$C$18,Construction!$C$34),0)</f>
        <v/>
      </c>
      <c r="M10" s="60">
        <f>IF(TBA!K18=1,PPMT('Input Assumptions'!$D$35+'Input Assumptions'!$D$36,Debt!M3-Debt!$I$3,TBA!$C$18,Construction!$C$34),0)</f>
        <v/>
      </c>
      <c r="N10" s="60">
        <f>IF(TBA!L18=1,PPMT('Input Assumptions'!$D$35+'Input Assumptions'!$D$36,Debt!N3-Debt!$I$3,TBA!$C$18,Construction!$C$34),0)</f>
        <v/>
      </c>
      <c r="O10" s="60">
        <f>IF(TBA!M18=1,PPMT('Input Assumptions'!$D$35+'Input Assumptions'!$D$36,Debt!O3-Debt!$I$3,TBA!$C$18,Construction!$C$34),0)</f>
        <v/>
      </c>
      <c r="P10" s="60">
        <f>IF(TBA!N18=1,PPMT('Input Assumptions'!$D$35+'Input Assumptions'!$D$36,Debt!P3-Debt!$I$3,TBA!$C$18,Construction!$C$34),0)</f>
        <v/>
      </c>
      <c r="Q10" s="60">
        <f>IF(TBA!O18=1,PPMT('Input Assumptions'!$D$35+'Input Assumptions'!$D$36,Debt!Q3-Debt!$I$3,TBA!$C$18,Construction!$C$34),0)</f>
        <v/>
      </c>
      <c r="R10" s="60">
        <f>IF(TBA!P18=1,PPMT('Input Assumptions'!$D$35+'Input Assumptions'!$D$36,Debt!R3-Debt!$I$3,TBA!$C$18,Construction!$C$34),0)</f>
        <v/>
      </c>
      <c r="S10" s="60">
        <f>IF(TBA!Q18=1,PPMT('Input Assumptions'!$D$35+'Input Assumptions'!$D$36,Debt!S3-Debt!$I$3,TBA!$C$18,Construction!$C$34),0)</f>
        <v/>
      </c>
      <c r="T10" s="60">
        <f>IF(TBA!R18=1,PPMT('Input Assumptions'!$D$35+'Input Assumptions'!$D$36,Debt!T3-Debt!$I$3,TBA!$C$18,Construction!$C$34),0)</f>
        <v/>
      </c>
      <c r="U10" s="60">
        <f>IF(TBA!S18=1,PPMT('Input Assumptions'!$D$35+'Input Assumptions'!$D$36,Debt!U3-Debt!$I$3,TBA!$C$18,Construction!$C$34),0)</f>
        <v/>
      </c>
      <c r="V10" s="60">
        <f>IF(TBA!T18=1,PPMT('Input Assumptions'!$D$35+'Input Assumptions'!$D$36,Debt!V3-Debt!$I$3,TBA!$C$18,Construction!$C$34),0)</f>
        <v/>
      </c>
      <c r="W10" s="60">
        <f>IF(TBA!U18=1,PPMT('Input Assumptions'!$D$35+'Input Assumptions'!$D$36,Debt!W3-Debt!$I$3,TBA!$C$18,Construction!$C$34),0)</f>
        <v/>
      </c>
      <c r="X10" s="60">
        <f>IF(TBA!V18=1,PPMT('Input Assumptions'!$D$35+'Input Assumptions'!$D$36,Debt!X3-Debt!$I$3,TBA!$C$18,Construction!$C$34),0)</f>
        <v/>
      </c>
      <c r="Y10" s="60">
        <f>IF(TBA!W18=1,PPMT('Input Assumptions'!$D$35+'Input Assumptions'!$D$36,Debt!Y3-Debt!$I$3,TBA!$C$18,Construction!$C$34),0)</f>
        <v/>
      </c>
      <c r="Z10" s="60">
        <f>IF(TBA!X18=1,PPMT('Input Assumptions'!$D$35+'Input Assumptions'!$D$36,Debt!Z3-Debt!$I$3,TBA!$C$18,Construction!$C$34),0)</f>
        <v/>
      </c>
      <c r="AA10" s="60">
        <f>IF(TBA!Y18=1,PPMT('Input Assumptions'!$D$35+'Input Assumptions'!$D$36,Debt!AA3-Debt!$I$3,TBA!$C$18,Construction!$C$34),0)</f>
        <v/>
      </c>
      <c r="AB10" s="60">
        <f>IF(TBA!Z18=1,PPMT('Input Assumptions'!$D$35+'Input Assumptions'!$D$36,Debt!AB3-Debt!$I$3,TBA!$C$18,Construction!$C$34),0)</f>
        <v/>
      </c>
      <c r="AC10" s="60">
        <f>IF(TBA!AA18=1,PPMT('Input Assumptions'!$D$35+'Input Assumptions'!$D$36,Debt!AC3-Debt!$I$3,TBA!$C$18,Construction!$C$34),0)</f>
        <v/>
      </c>
      <c r="AD10" s="60">
        <f>IF(TBA!AB18=1,PPMT('Input Assumptions'!$D$35+'Input Assumptions'!$D$36,Debt!AD3-Debt!$I$3,TBA!$C$18,Construction!$C$34),0)</f>
        <v/>
      </c>
      <c r="AE10" s="60">
        <f>IF(TBA!AC18=1,PPMT('Input Assumptions'!$D$35+'Input Assumptions'!$D$36,Debt!AE3-Debt!$I$3,TBA!$C$18,Construction!$C$34),0)</f>
        <v/>
      </c>
      <c r="AF10" s="60">
        <f>IF(TBA!AD18=1,PPMT('Input Assumptions'!$D$35+'Input Assumptions'!$D$36,Debt!AF3-Debt!$I$3,TBA!$C$18,Construction!$C$34),0)</f>
        <v/>
      </c>
      <c r="AG10" s="60">
        <f>IF(TBA!AE18=1,PPMT('Input Assumptions'!$D$35+'Input Assumptions'!$D$36,Debt!AG3-Debt!$I$3,TBA!$C$18,Construction!$C$34),0)</f>
        <v/>
      </c>
      <c r="AH10" s="60">
        <f>IF(TBA!AF18=1,PPMT('Input Assumptions'!$D$35+'Input Assumptions'!$D$36,Debt!AH3-Debt!$I$3,TBA!$C$18,Construction!$C$34),0)</f>
        <v/>
      </c>
      <c r="AI10" s="60">
        <f>IF(TBA!AG18=1,PPMT('Input Assumptions'!$D$35+'Input Assumptions'!$D$36,Debt!AI3-Debt!$I$3,TBA!$C$18,Construction!$C$34),0)</f>
        <v/>
      </c>
      <c r="AJ10" s="60">
        <f>IF(TBA!AH18=1,PPMT('Input Assumptions'!$D$35+'Input Assumptions'!$D$36,Debt!AJ3-Debt!$I$3,TBA!$C$18,Construction!$C$34),0)</f>
        <v/>
      </c>
      <c r="AK10" s="60">
        <f>IF(TBA!AI18=1,PPMT('Input Assumptions'!$D$35+'Input Assumptions'!$D$36,Debt!AK3-Debt!$I$3,TBA!$C$18,Construction!$C$34),0)</f>
        <v/>
      </c>
      <c r="AL10" s="60">
        <f>IF(TBA!AJ18=1,PPMT('Input Assumptions'!$D$35+'Input Assumptions'!$D$36,Debt!AL3-Debt!$I$3,TBA!$C$18,Construction!$C$34),0)</f>
        <v/>
      </c>
      <c r="AM10" s="60">
        <f>IF(TBA!AK18=1,PPMT('Input Assumptions'!$D$35+'Input Assumptions'!$D$36,Debt!AM3-Debt!$I$3,TBA!$C$18,Construction!$C$34),0)</f>
        <v/>
      </c>
      <c r="AN10" s="60">
        <f>IF(TBA!AL18=1,PPMT('Input Assumptions'!$D$35+'Input Assumptions'!$D$36,Debt!AN3-Debt!$I$3,TBA!$C$18,Construction!$C$34),0)</f>
        <v/>
      </c>
      <c r="AO10" s="60">
        <f>IF(TBA!AM18=1,PPMT('Input Assumptions'!$D$35+'Input Assumptions'!$D$36,Debt!AO3-Debt!$I$3,TBA!$C$18,Construction!$C$34),0)</f>
        <v/>
      </c>
      <c r="AP10" s="60">
        <f>IF(TBA!AN18=1,PPMT('Input Assumptions'!$D$35+'Input Assumptions'!$D$36,Debt!AP3-Debt!$I$3,TBA!$C$18,Construction!$C$34),0)</f>
        <v/>
      </c>
      <c r="AQ10" s="60">
        <f>IF(TBA!AO18=1,PPMT('Input Assumptions'!$D$35+'Input Assumptions'!$D$36,Debt!AQ3-Debt!$I$3,TBA!$C$18,Construction!$C$34),0)</f>
        <v/>
      </c>
      <c r="AR10" s="60">
        <f>IF(TBA!AP18=1,PPMT('Input Assumptions'!$D$35+'Input Assumptions'!$D$36,Debt!AR3-Debt!$I$3,TBA!$C$18,Construction!$C$34),0)</f>
        <v/>
      </c>
      <c r="AS10" s="60">
        <f>IF(TBA!AQ18=1,PPMT('Input Assumptions'!$D$35+'Input Assumptions'!$D$36,Debt!AS3-Debt!$I$3,TBA!$C$18,Construction!$C$34),0)</f>
        <v/>
      </c>
    </row>
    <row r="11">
      <c r="B11" t="inlineStr">
        <is>
          <t>Closing Balance</t>
        </is>
      </c>
      <c r="C11" s="55" t="inlineStr">
        <is>
          <t>k£</t>
        </is>
      </c>
      <c r="F11" s="60">
        <f>SUM(F7:F10)</f>
        <v/>
      </c>
      <c r="G11" s="60">
        <f>SUM(G8:G10)</f>
        <v/>
      </c>
      <c r="H11" s="60">
        <f>SUM(H8:H10)</f>
        <v/>
      </c>
      <c r="I11" s="60">
        <f>SUM(I8:I10)</f>
        <v/>
      </c>
      <c r="J11" s="60">
        <f>SUM(J8:J10)</f>
        <v/>
      </c>
      <c r="K11" s="60">
        <f>SUM(K8:K10)</f>
        <v/>
      </c>
      <c r="L11" s="60">
        <f>SUM(L8:L10)</f>
        <v/>
      </c>
      <c r="M11" s="60">
        <f>SUM(M8:M10)</f>
        <v/>
      </c>
      <c r="N11" s="60">
        <f>SUM(N8:N10)</f>
        <v/>
      </c>
      <c r="O11" s="60">
        <f>SUM(O8:O10)</f>
        <v/>
      </c>
      <c r="P11" s="60">
        <f>SUM(P8:P10)</f>
        <v/>
      </c>
      <c r="Q11" s="60">
        <f>SUM(Q8:Q10)</f>
        <v/>
      </c>
      <c r="R11" s="60">
        <f>SUM(R8:R10)</f>
        <v/>
      </c>
      <c r="S11" s="60">
        <f>SUM(S8:S10)</f>
        <v/>
      </c>
      <c r="T11" s="60">
        <f>SUM(T8:T10)</f>
        <v/>
      </c>
      <c r="U11" s="60">
        <f>SUM(U8:U10)</f>
        <v/>
      </c>
      <c r="V11" s="60">
        <f>SUM(V8:V10)</f>
        <v/>
      </c>
      <c r="W11" s="60">
        <f>SUM(W8:W10)</f>
        <v/>
      </c>
      <c r="X11" s="60">
        <f>SUM(X8:X10)</f>
        <v/>
      </c>
      <c r="Y11" s="60">
        <f>SUM(Y8:Y10)</f>
        <v/>
      </c>
      <c r="Z11" s="60">
        <f>SUM(Z8:Z10)</f>
        <v/>
      </c>
      <c r="AA11" s="60">
        <f>SUM(AA8:AA10)</f>
        <v/>
      </c>
      <c r="AB11" s="60">
        <f>SUM(AB8:AB10)</f>
        <v/>
      </c>
      <c r="AC11" s="60">
        <f>SUM(AC8:AC10)</f>
        <v/>
      </c>
      <c r="AD11" s="60">
        <f>SUM(AD8:AD10)</f>
        <v/>
      </c>
      <c r="AE11" s="60">
        <f>SUM(AE8:AE10)</f>
        <v/>
      </c>
      <c r="AF11" s="60">
        <f>SUM(AF8:AF10)</f>
        <v/>
      </c>
      <c r="AG11" s="60">
        <f>SUM(AG8:AG10)</f>
        <v/>
      </c>
      <c r="AH11" s="60">
        <f>SUM(AH8:AH10)</f>
        <v/>
      </c>
      <c r="AI11" s="60">
        <f>SUM(AI8:AI10)</f>
        <v/>
      </c>
      <c r="AJ11" s="60">
        <f>SUM(AJ8:AJ10)</f>
        <v/>
      </c>
      <c r="AK11" s="60">
        <f>SUM(AK8:AK10)</f>
        <v/>
      </c>
      <c r="AL11" s="60">
        <f>SUM(AL8:AL10)</f>
        <v/>
      </c>
      <c r="AM11" s="60">
        <f>SUM(AM8:AM10)</f>
        <v/>
      </c>
      <c r="AN11" s="60">
        <f>SUM(AN8:AN10)</f>
        <v/>
      </c>
      <c r="AO11" s="60">
        <f>SUM(AO8:AO10)</f>
        <v/>
      </c>
      <c r="AP11" s="60">
        <f>SUM(AP8:AP10)</f>
        <v/>
      </c>
      <c r="AQ11" s="60">
        <f>SUM(AQ8:AQ10)</f>
        <v/>
      </c>
      <c r="AR11" s="60">
        <f>SUM(AR8:AR10)</f>
        <v/>
      </c>
      <c r="AS11" s="60">
        <f>SUM(AS8:AS10)</f>
        <v/>
      </c>
    </row>
    <row r="14">
      <c r="B14" t="inlineStr">
        <is>
          <t>Interests</t>
        </is>
      </c>
      <c r="C14" s="55" t="inlineStr">
        <is>
          <t>k£</t>
        </is>
      </c>
      <c r="F14" s="60">
        <f>-('Input Assumptions'!$D$35+'Input Assumptions'!$D$36)*Debt!F8*TBA!D18</f>
        <v/>
      </c>
      <c r="G14" s="60">
        <f>-('Input Assumptions'!$D$35+'Input Assumptions'!$D$36)*Debt!G8*TBA!E18</f>
        <v/>
      </c>
      <c r="H14" s="60">
        <f>-('Input Assumptions'!$D$35+'Input Assumptions'!$D$36)*Debt!H8*TBA!F18</f>
        <v/>
      </c>
      <c r="I14" s="60">
        <f>-('Input Assumptions'!$D$35+'Input Assumptions'!$D$36)*Debt!I8*TBA!G18</f>
        <v/>
      </c>
      <c r="J14" s="60">
        <f>-('Input Assumptions'!$D$35+'Input Assumptions'!$D$36)*Debt!J8*TBA!H18</f>
        <v/>
      </c>
      <c r="K14" s="60">
        <f>-('Input Assumptions'!$D$35+'Input Assumptions'!$D$36)*Debt!K8*TBA!I18</f>
        <v/>
      </c>
      <c r="L14" s="60">
        <f>-('Input Assumptions'!$D$35+'Input Assumptions'!$D$36)*Debt!L8*TBA!J18</f>
        <v/>
      </c>
      <c r="M14" s="60">
        <f>-('Input Assumptions'!$D$35+'Input Assumptions'!$D$36)*Debt!M8*TBA!K18</f>
        <v/>
      </c>
      <c r="N14" s="60">
        <f>-('Input Assumptions'!$D$35+'Input Assumptions'!$D$36)*Debt!N8*TBA!L18</f>
        <v/>
      </c>
      <c r="O14" s="60">
        <f>-('Input Assumptions'!$D$35+'Input Assumptions'!$D$36)*Debt!O8*TBA!M18</f>
        <v/>
      </c>
      <c r="P14" s="60">
        <f>-('Input Assumptions'!$D$35+'Input Assumptions'!$D$36)*Debt!P8*TBA!N18</f>
        <v/>
      </c>
      <c r="Q14" s="60">
        <f>-('Input Assumptions'!$D$35+'Input Assumptions'!$D$36)*Debt!Q8*TBA!O18</f>
        <v/>
      </c>
      <c r="R14" s="60">
        <f>-('Input Assumptions'!$D$35+'Input Assumptions'!$D$36)*Debt!R8*TBA!P18</f>
        <v/>
      </c>
      <c r="S14" s="60">
        <f>-('Input Assumptions'!$D$35+'Input Assumptions'!$D$36)*Debt!S8*TBA!Q18</f>
        <v/>
      </c>
      <c r="T14" s="60">
        <f>-('Input Assumptions'!$D$35+'Input Assumptions'!$D$36)*Debt!T8*TBA!R18</f>
        <v/>
      </c>
      <c r="U14" s="60">
        <f>-('Input Assumptions'!$D$35+'Input Assumptions'!$D$36)*Debt!U8*TBA!S18</f>
        <v/>
      </c>
      <c r="V14" s="60">
        <f>-('Input Assumptions'!$D$35+'Input Assumptions'!$D$36)*Debt!V8*TBA!T18</f>
        <v/>
      </c>
      <c r="W14" s="60">
        <f>-('Input Assumptions'!$D$35+'Input Assumptions'!$D$36)*Debt!W8*TBA!U18</f>
        <v/>
      </c>
      <c r="X14" s="60">
        <f>-('Input Assumptions'!$D$35+'Input Assumptions'!$D$36)*Debt!X8*TBA!V18</f>
        <v/>
      </c>
      <c r="Y14" s="60">
        <f>-('Input Assumptions'!$D$35+'Input Assumptions'!$D$36)*Debt!Y8*TBA!W18</f>
        <v/>
      </c>
      <c r="Z14" s="60">
        <f>-('Input Assumptions'!$D$35+'Input Assumptions'!$D$36)*Debt!Z8*TBA!X18</f>
        <v/>
      </c>
      <c r="AA14" s="60">
        <f>-('Input Assumptions'!$D$35+'Input Assumptions'!$D$36)*Debt!AA8*TBA!Y18</f>
        <v/>
      </c>
      <c r="AB14" s="60">
        <f>-('Input Assumptions'!$D$35+'Input Assumptions'!$D$36)*Debt!AB8*TBA!Z18</f>
        <v/>
      </c>
      <c r="AC14" s="60">
        <f>-('Input Assumptions'!$D$35+'Input Assumptions'!$D$36)*Debt!AC8*TBA!AA18</f>
        <v/>
      </c>
      <c r="AD14" s="60">
        <f>-('Input Assumptions'!$D$35+'Input Assumptions'!$D$36)*Debt!AD8*TBA!AB18</f>
        <v/>
      </c>
      <c r="AE14" s="60">
        <f>-('Input Assumptions'!$D$35+'Input Assumptions'!$D$36)*Debt!AE8*TBA!AC18</f>
        <v/>
      </c>
      <c r="AF14" s="60">
        <f>-('Input Assumptions'!$D$35+'Input Assumptions'!$D$36)*Debt!AF8*TBA!AD18</f>
        <v/>
      </c>
      <c r="AG14" s="60">
        <f>-('Input Assumptions'!$D$35+'Input Assumptions'!$D$36)*Debt!AG8*TBA!AE18</f>
        <v/>
      </c>
      <c r="AH14" s="60">
        <f>-('Input Assumptions'!$D$35+'Input Assumptions'!$D$36)*Debt!AH8*TBA!AF18</f>
        <v/>
      </c>
      <c r="AI14" s="60">
        <f>-('Input Assumptions'!$D$35+'Input Assumptions'!$D$36)*Debt!AI8*TBA!AG18</f>
        <v/>
      </c>
      <c r="AJ14" s="60">
        <f>-('Input Assumptions'!$D$35+'Input Assumptions'!$D$36)*Debt!AJ8*TBA!AH18</f>
        <v/>
      </c>
      <c r="AK14" s="60">
        <f>-('Input Assumptions'!$D$35+'Input Assumptions'!$D$36)*Debt!AK8*TBA!AI18</f>
        <v/>
      </c>
      <c r="AL14" s="60">
        <f>-('Input Assumptions'!$D$35+'Input Assumptions'!$D$36)*Debt!AL8*TBA!AJ18</f>
        <v/>
      </c>
      <c r="AM14" s="60">
        <f>-('Input Assumptions'!$D$35+'Input Assumptions'!$D$36)*Debt!AM8*TBA!AK18</f>
        <v/>
      </c>
      <c r="AN14" s="60">
        <f>-('Input Assumptions'!$D$35+'Input Assumptions'!$D$36)*Debt!AN8*TBA!AL18</f>
        <v/>
      </c>
      <c r="AO14" s="60">
        <f>-('Input Assumptions'!$D$35+'Input Assumptions'!$D$36)*Debt!AO8*TBA!AM18</f>
        <v/>
      </c>
      <c r="AP14" s="60">
        <f>-('Input Assumptions'!$D$35+'Input Assumptions'!$D$36)*Debt!AP8*TBA!AN18</f>
        <v/>
      </c>
      <c r="AQ14" s="60">
        <f>-('Input Assumptions'!$D$35+'Input Assumptions'!$D$36)*Debt!AQ8*TBA!AO18</f>
        <v/>
      </c>
      <c r="AR14" s="60">
        <f>-('Input Assumptions'!$D$35+'Input Assumptions'!$D$36)*Debt!AR8*TBA!AP18</f>
        <v/>
      </c>
      <c r="AS14" s="60">
        <f>-('Input Assumptions'!$D$35+'Input Assumptions'!$D$36)*Debt!AS8*TBA!AQ18</f>
        <v/>
      </c>
    </row>
    <row r="17">
      <c r="B17" t="inlineStr">
        <is>
          <t>Debt service</t>
        </is>
      </c>
      <c r="C17" s="55" t="inlineStr">
        <is>
          <t>k£</t>
        </is>
      </c>
      <c r="F17" s="60">
        <f>(F10+F14)*TBA!D18</f>
        <v/>
      </c>
      <c r="G17" s="60">
        <f>(G10+G14)*TBA!E18</f>
        <v/>
      </c>
      <c r="H17" s="60">
        <f>(H10+H14)*TBA!F18</f>
        <v/>
      </c>
      <c r="I17" s="60">
        <f>(I10+I14)*TBA!G18</f>
        <v/>
      </c>
      <c r="J17" s="60">
        <f>(J10+J14)*TBA!H18</f>
        <v/>
      </c>
      <c r="K17" s="60">
        <f>(K10+K14)*TBA!I18</f>
        <v/>
      </c>
      <c r="L17" s="60">
        <f>(L10+L14)*TBA!J18</f>
        <v/>
      </c>
      <c r="M17" s="60">
        <f>(M10+M14)*TBA!K18</f>
        <v/>
      </c>
      <c r="N17" s="60">
        <f>(N10+N14)*TBA!L18</f>
        <v/>
      </c>
      <c r="O17" s="60">
        <f>(O10+O14)*TBA!M18</f>
        <v/>
      </c>
      <c r="P17" s="60">
        <f>(P10+P14)*TBA!N18</f>
        <v/>
      </c>
      <c r="Q17" s="60">
        <f>(Q10+Q14)*TBA!O18</f>
        <v/>
      </c>
      <c r="R17" s="60">
        <f>(R10+R14)*TBA!P18</f>
        <v/>
      </c>
      <c r="S17" s="60">
        <f>(S10+S14)*TBA!Q18</f>
        <v/>
      </c>
      <c r="T17" s="60">
        <f>(T10+T14)*TBA!R18</f>
        <v/>
      </c>
      <c r="U17" s="60">
        <f>(U10+U14)*TBA!S18</f>
        <v/>
      </c>
      <c r="V17" s="60">
        <f>(V10+V14)*TBA!T18</f>
        <v/>
      </c>
      <c r="W17" s="60">
        <f>(W10+W14)*TBA!U18</f>
        <v/>
      </c>
      <c r="X17" s="60">
        <f>(X10+X14)*TBA!V18</f>
        <v/>
      </c>
      <c r="Y17" s="60">
        <f>(Y10+Y14)*TBA!W18</f>
        <v/>
      </c>
      <c r="Z17" s="60">
        <f>(Z10+Z14)*TBA!X18</f>
        <v/>
      </c>
      <c r="AA17" s="60">
        <f>(AA10+AA14)*TBA!Y18</f>
        <v/>
      </c>
      <c r="AB17" s="60">
        <f>(AB10+AB14)*TBA!Z18</f>
        <v/>
      </c>
      <c r="AC17" s="60">
        <f>(AC10+AC14)*TBA!AA18</f>
        <v/>
      </c>
      <c r="AD17" s="60">
        <f>(AD10+AD14)*TBA!AB18</f>
        <v/>
      </c>
      <c r="AE17" s="60">
        <f>(AE10+AE14)*TBA!AC18</f>
        <v/>
      </c>
      <c r="AF17" s="60">
        <f>(AF10+AF14)*TBA!AD18</f>
        <v/>
      </c>
      <c r="AG17" s="60">
        <f>(AG10+AG14)*TBA!AE18</f>
        <v/>
      </c>
      <c r="AH17" s="60">
        <f>(AH10+AH14)*TBA!AF18</f>
        <v/>
      </c>
      <c r="AI17" s="60">
        <f>(AI10+AI14)*TBA!AG18</f>
        <v/>
      </c>
      <c r="AJ17" s="60">
        <f>(AJ10+AJ14)*TBA!AH18</f>
        <v/>
      </c>
      <c r="AK17" s="60">
        <f>(AK10+AK14)*TBA!AI18</f>
        <v/>
      </c>
      <c r="AL17" s="60">
        <f>(AL10+AL14)*TBA!AJ18</f>
        <v/>
      </c>
      <c r="AM17" s="60">
        <f>(AM10+AM14)*TBA!AK18</f>
        <v/>
      </c>
      <c r="AN17" s="60">
        <f>(AN10+AN14)*TBA!AL18</f>
        <v/>
      </c>
      <c r="AO17" s="60">
        <f>(AO10+AO14)*TBA!AM18</f>
        <v/>
      </c>
      <c r="AP17" s="60">
        <f>(AP10+AP14)*TBA!AN18</f>
        <v/>
      </c>
      <c r="AQ17" s="60">
        <f>(AQ10+AQ14)*TBA!AO18</f>
        <v/>
      </c>
      <c r="AR17" s="60">
        <f>(AR10+AR14)*TBA!AP18</f>
        <v/>
      </c>
      <c r="AS17" s="60">
        <f>(AS10+AS14)*TBA!AQ18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S25"/>
  <sheetViews>
    <sheetView showGridLines="0" workbookViewId="0">
      <pane xSplit="5" topLeftCell="F1" activePane="topRight" state="frozen"/>
      <selection pane="topRight" activeCell="B6" sqref="B6"/>
    </sheetView>
  </sheetViews>
  <sheetFormatPr baseColWidth="8" defaultColWidth="0" defaultRowHeight="14.45"/>
  <cols>
    <col width="9" customWidth="1" min="1" max="1"/>
    <col width="32" customWidth="1" min="2" max="2"/>
    <col width="9" customWidth="1" style="1" min="3" max="3"/>
    <col width="12.140625" customWidth="1" style="1" min="4" max="4"/>
    <col width="4.5703125" customWidth="1" style="1" min="5" max="5"/>
    <col width="9" customWidth="1" style="9" min="6" max="6"/>
    <col width="9" customWidth="1" min="7" max="46"/>
    <col hidden="1" min="47" max="47"/>
    <col hidden="1" width="9" customWidth="1" min="48" max="16384"/>
  </cols>
  <sheetData>
    <row r="2">
      <c r="B2" s="29" t="inlineStr">
        <is>
          <t>Year</t>
        </is>
      </c>
      <c r="C2" s="62" t="n"/>
      <c r="D2" s="62" t="n"/>
      <c r="E2" s="62" t="n"/>
      <c r="F2" s="56" t="n">
        <v>1</v>
      </c>
      <c r="G2" s="56" t="n">
        <v>2</v>
      </c>
      <c r="H2" s="56" t="n">
        <v>3</v>
      </c>
      <c r="I2" s="56" t="n">
        <v>4</v>
      </c>
      <c r="J2" s="56" t="n">
        <v>5</v>
      </c>
      <c r="K2" s="56" t="n">
        <v>6</v>
      </c>
      <c r="L2" s="56" t="n">
        <v>7</v>
      </c>
      <c r="M2" s="56" t="n">
        <v>8</v>
      </c>
      <c r="N2" s="56" t="n">
        <v>9</v>
      </c>
      <c r="O2" s="56" t="n">
        <v>10</v>
      </c>
      <c r="P2" s="56" t="n">
        <v>11</v>
      </c>
      <c r="Q2" s="56" t="n">
        <v>12</v>
      </c>
      <c r="R2" s="56" t="n">
        <v>13</v>
      </c>
      <c r="S2" s="56" t="n">
        <v>14</v>
      </c>
      <c r="T2" s="56" t="n">
        <v>15</v>
      </c>
      <c r="U2" s="56" t="n">
        <v>16</v>
      </c>
      <c r="V2" s="56" t="n">
        <v>17</v>
      </c>
      <c r="W2" s="56" t="n">
        <v>18</v>
      </c>
      <c r="X2" s="56" t="n">
        <v>19</v>
      </c>
      <c r="Y2" s="56" t="n">
        <v>20</v>
      </c>
      <c r="Z2" s="56" t="n">
        <v>21</v>
      </c>
      <c r="AA2" s="56" t="n">
        <v>22</v>
      </c>
      <c r="AB2" s="56" t="n">
        <v>23</v>
      </c>
      <c r="AC2" s="56" t="n">
        <v>24</v>
      </c>
      <c r="AD2" s="56" t="n">
        <v>25</v>
      </c>
      <c r="AE2" s="56" t="n">
        <v>26</v>
      </c>
      <c r="AF2" s="56" t="n">
        <v>27</v>
      </c>
      <c r="AG2" s="56" t="n">
        <v>28</v>
      </c>
      <c r="AH2" s="56" t="n">
        <v>29</v>
      </c>
      <c r="AI2" s="56" t="n">
        <v>30</v>
      </c>
      <c r="AJ2" s="56" t="n">
        <v>31</v>
      </c>
      <c r="AK2" s="56" t="n">
        <v>32</v>
      </c>
      <c r="AL2" s="56" t="n">
        <v>33</v>
      </c>
      <c r="AM2" s="56" t="n">
        <v>34</v>
      </c>
      <c r="AN2" s="56" t="n">
        <v>35</v>
      </c>
      <c r="AO2" s="56" t="n">
        <v>36</v>
      </c>
      <c r="AP2" s="56" t="n">
        <v>37</v>
      </c>
      <c r="AQ2" s="56" t="n">
        <v>38</v>
      </c>
      <c r="AR2" s="56" t="n">
        <v>39</v>
      </c>
      <c r="AS2" s="57" t="n">
        <v>40</v>
      </c>
    </row>
    <row r="6" ht="17.65" customHeight="1">
      <c r="B6" s="29" t="inlineStr">
        <is>
          <t>P&amp;L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9">
      <c r="B9" t="inlineStr">
        <is>
          <t>Gross revenues</t>
        </is>
      </c>
      <c r="C9" s="55" t="inlineStr">
        <is>
          <t>k£</t>
        </is>
      </c>
      <c r="D9" s="55" t="n"/>
      <c r="E9" s="55" t="n"/>
      <c r="F9" s="33">
        <f>Operation!E14</f>
        <v/>
      </c>
      <c r="G9" s="33">
        <f>Operation!F14</f>
        <v/>
      </c>
      <c r="H9" s="33">
        <f>Operation!G14</f>
        <v/>
      </c>
      <c r="I9" s="33">
        <f>Operation!H14</f>
        <v/>
      </c>
      <c r="J9" s="33">
        <f>Operation!I14</f>
        <v/>
      </c>
      <c r="K9" s="33">
        <f>Operation!J14</f>
        <v/>
      </c>
      <c r="L9" s="33">
        <f>Operation!K14</f>
        <v/>
      </c>
      <c r="M9" s="33">
        <f>Operation!L14</f>
        <v/>
      </c>
      <c r="N9" s="33">
        <f>Operation!M14</f>
        <v/>
      </c>
      <c r="O9" s="33">
        <f>Operation!N14</f>
        <v/>
      </c>
      <c r="P9" s="33">
        <f>Operation!O14</f>
        <v/>
      </c>
      <c r="Q9" s="33">
        <f>Operation!P14</f>
        <v/>
      </c>
      <c r="R9" s="33">
        <f>Operation!Q14</f>
        <v/>
      </c>
      <c r="S9" s="33">
        <f>Operation!R14</f>
        <v/>
      </c>
      <c r="T9" s="33">
        <f>Operation!S14</f>
        <v/>
      </c>
      <c r="U9" s="33">
        <f>Operation!T14</f>
        <v/>
      </c>
      <c r="V9" s="33">
        <f>Operation!U14</f>
        <v/>
      </c>
      <c r="W9" s="33">
        <f>Operation!V14</f>
        <v/>
      </c>
      <c r="X9" s="33">
        <f>Operation!W14</f>
        <v/>
      </c>
      <c r="Y9" s="33">
        <f>Operation!X14</f>
        <v/>
      </c>
      <c r="Z9" s="33">
        <f>Operation!Y14</f>
        <v/>
      </c>
      <c r="AA9" s="33">
        <f>Operation!Z14</f>
        <v/>
      </c>
      <c r="AB9" s="33">
        <f>Operation!AA14</f>
        <v/>
      </c>
      <c r="AC9" s="33">
        <f>Operation!AB14</f>
        <v/>
      </c>
      <c r="AD9" s="33">
        <f>Operation!AC14</f>
        <v/>
      </c>
      <c r="AE9" s="33">
        <f>Operation!AD14</f>
        <v/>
      </c>
      <c r="AF9" s="33">
        <f>Operation!AE14</f>
        <v/>
      </c>
      <c r="AG9" s="33">
        <f>Operation!AF14</f>
        <v/>
      </c>
      <c r="AH9" s="33">
        <f>Operation!AG14</f>
        <v/>
      </c>
      <c r="AI9" s="33">
        <f>Operation!AH14</f>
        <v/>
      </c>
      <c r="AJ9" s="33">
        <f>Operation!AI14</f>
        <v/>
      </c>
      <c r="AK9" s="33">
        <f>Operation!AJ14</f>
        <v/>
      </c>
      <c r="AL9" s="33">
        <f>Operation!AK14</f>
        <v/>
      </c>
      <c r="AM9" s="33">
        <f>Operation!AL14</f>
        <v/>
      </c>
      <c r="AN9" s="33">
        <f>Operation!AM14</f>
        <v/>
      </c>
      <c r="AO9" s="33">
        <f>Operation!AN14</f>
        <v/>
      </c>
      <c r="AP9" s="33">
        <f>Operation!AO14</f>
        <v/>
      </c>
      <c r="AQ9" s="33">
        <f>Operation!AP14</f>
        <v/>
      </c>
      <c r="AR9" s="33">
        <f>Operation!AQ14</f>
        <v/>
      </c>
      <c r="AS9" s="33">
        <f>Operation!AR14</f>
        <v/>
      </c>
    </row>
    <row r="10"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</row>
    <row r="11">
      <c r="B11" t="inlineStr">
        <is>
          <t>OPEX</t>
        </is>
      </c>
      <c r="C11" s="55" t="inlineStr">
        <is>
          <t>k£</t>
        </is>
      </c>
      <c r="D11" s="55" t="n"/>
      <c r="E11" s="55" t="n"/>
      <c r="F11" s="33">
        <f>-Operation!E21</f>
        <v/>
      </c>
      <c r="G11" s="33">
        <f>-Operation!F21</f>
        <v/>
      </c>
      <c r="H11" s="33">
        <f>-Operation!G21</f>
        <v/>
      </c>
      <c r="I11" s="33">
        <f>-Operation!H21</f>
        <v/>
      </c>
      <c r="J11" s="33">
        <f>-Operation!I21</f>
        <v/>
      </c>
      <c r="K11" s="33">
        <f>-Operation!J21</f>
        <v/>
      </c>
      <c r="L11" s="33">
        <f>-Operation!K21</f>
        <v/>
      </c>
      <c r="M11" s="33">
        <f>-Operation!L21</f>
        <v/>
      </c>
      <c r="N11" s="33">
        <f>-Operation!M21</f>
        <v/>
      </c>
      <c r="O11" s="33">
        <f>-Operation!N21</f>
        <v/>
      </c>
      <c r="P11" s="33">
        <f>-Operation!O21</f>
        <v/>
      </c>
      <c r="Q11" s="33">
        <f>-Operation!P21</f>
        <v/>
      </c>
      <c r="R11" s="33">
        <f>-Operation!Q21</f>
        <v/>
      </c>
      <c r="S11" s="33">
        <f>-Operation!R21</f>
        <v/>
      </c>
      <c r="T11" s="33">
        <f>-Operation!S21</f>
        <v/>
      </c>
      <c r="U11" s="33">
        <f>-Operation!T21</f>
        <v/>
      </c>
      <c r="V11" s="33">
        <f>-Operation!U21</f>
        <v/>
      </c>
      <c r="W11" s="33">
        <f>-Operation!V21</f>
        <v/>
      </c>
      <c r="X11" s="33">
        <f>-Operation!W21</f>
        <v/>
      </c>
      <c r="Y11" s="33">
        <f>-Operation!X21</f>
        <v/>
      </c>
      <c r="Z11" s="33">
        <f>-Operation!Y21</f>
        <v/>
      </c>
      <c r="AA11" s="33">
        <f>-Operation!Z21</f>
        <v/>
      </c>
      <c r="AB11" s="33">
        <f>-Operation!AA21</f>
        <v/>
      </c>
      <c r="AC11" s="33">
        <f>-Operation!AB21</f>
        <v/>
      </c>
      <c r="AD11" s="33">
        <f>-Operation!AC21</f>
        <v/>
      </c>
      <c r="AE11" s="33">
        <f>-Operation!AD21</f>
        <v/>
      </c>
      <c r="AF11" s="33">
        <f>-Operation!AE21</f>
        <v/>
      </c>
      <c r="AG11" s="33">
        <f>-Operation!AF21</f>
        <v/>
      </c>
      <c r="AH11" s="33">
        <f>-Operation!AG21</f>
        <v/>
      </c>
      <c r="AI11" s="33">
        <f>-Operation!AH21</f>
        <v/>
      </c>
      <c r="AJ11" s="33">
        <f>-Operation!AI21</f>
        <v/>
      </c>
      <c r="AK11" s="33">
        <f>-Operation!AJ21</f>
        <v/>
      </c>
      <c r="AL11" s="33">
        <f>-Operation!AK21</f>
        <v/>
      </c>
      <c r="AM11" s="33">
        <f>-Operation!AL21</f>
        <v/>
      </c>
      <c r="AN11" s="33">
        <f>-Operation!AM21</f>
        <v/>
      </c>
      <c r="AO11" s="33">
        <f>-Operation!AN21</f>
        <v/>
      </c>
      <c r="AP11" s="33">
        <f>-Operation!AO21</f>
        <v/>
      </c>
      <c r="AQ11" s="33">
        <f>-Operation!AP21</f>
        <v/>
      </c>
      <c r="AR11" s="33">
        <f>-Operation!AQ21</f>
        <v/>
      </c>
      <c r="AS11" s="33">
        <f>-Operation!AR21</f>
        <v/>
      </c>
    </row>
    <row r="12"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</row>
    <row r="13">
      <c r="B13" s="61" t="inlineStr">
        <is>
          <t>EBITDA</t>
        </is>
      </c>
      <c r="C13" s="63" t="inlineStr">
        <is>
          <t>k£</t>
        </is>
      </c>
      <c r="D13" s="63" t="n"/>
      <c r="E13" s="63" t="n"/>
      <c r="F13" s="64">
        <f>SUM(F9:F12)</f>
        <v/>
      </c>
      <c r="G13" s="64">
        <f>SUM(G9:G12)</f>
        <v/>
      </c>
      <c r="H13" s="64">
        <f>SUM(H9:H12)</f>
        <v/>
      </c>
      <c r="I13" s="64">
        <f>SUM(I9:I12)</f>
        <v/>
      </c>
      <c r="J13" s="64">
        <f>SUM(J9:J12)</f>
        <v/>
      </c>
      <c r="K13" s="64">
        <f>SUM(K9:K12)</f>
        <v/>
      </c>
      <c r="L13" s="64">
        <f>SUM(L9:L12)</f>
        <v/>
      </c>
      <c r="M13" s="64">
        <f>SUM(M9:M12)</f>
        <v/>
      </c>
      <c r="N13" s="64">
        <f>SUM(N9:N12)</f>
        <v/>
      </c>
      <c r="O13" s="64">
        <f>SUM(O9:O12)</f>
        <v/>
      </c>
      <c r="P13" s="64">
        <f>SUM(P9:P12)</f>
        <v/>
      </c>
      <c r="Q13" s="64">
        <f>SUM(Q9:Q12)</f>
        <v/>
      </c>
      <c r="R13" s="64">
        <f>SUM(R9:R12)</f>
        <v/>
      </c>
      <c r="S13" s="64">
        <f>SUM(S9:S12)</f>
        <v/>
      </c>
      <c r="T13" s="64">
        <f>SUM(T9:T12)</f>
        <v/>
      </c>
      <c r="U13" s="64">
        <f>SUM(U9:U12)</f>
        <v/>
      </c>
      <c r="V13" s="64">
        <f>SUM(V9:V12)</f>
        <v/>
      </c>
      <c r="W13" s="64">
        <f>SUM(W9:W12)</f>
        <v/>
      </c>
      <c r="X13" s="64">
        <f>SUM(X9:X12)</f>
        <v/>
      </c>
      <c r="Y13" s="64">
        <f>SUM(Y9:Y12)</f>
        <v/>
      </c>
      <c r="Z13" s="64">
        <f>SUM(Z9:Z12)</f>
        <v/>
      </c>
      <c r="AA13" s="64">
        <f>SUM(AA9:AA12)</f>
        <v/>
      </c>
      <c r="AB13" s="64">
        <f>SUM(AB9:AB12)</f>
        <v/>
      </c>
      <c r="AC13" s="64">
        <f>SUM(AC9:AC12)</f>
        <v/>
      </c>
      <c r="AD13" s="64">
        <f>SUM(AD9:AD12)</f>
        <v/>
      </c>
      <c r="AE13" s="64">
        <f>SUM(AE9:AE12)</f>
        <v/>
      </c>
      <c r="AF13" s="64">
        <f>SUM(AF9:AF12)</f>
        <v/>
      </c>
      <c r="AG13" s="64">
        <f>SUM(AG9:AG12)</f>
        <v/>
      </c>
      <c r="AH13" s="64">
        <f>SUM(AH9:AH12)</f>
        <v/>
      </c>
      <c r="AI13" s="64">
        <f>SUM(AI9:AI12)</f>
        <v/>
      </c>
      <c r="AJ13" s="64">
        <f>SUM(AJ9:AJ12)</f>
        <v/>
      </c>
      <c r="AK13" s="64">
        <f>SUM(AK9:AK12)</f>
        <v/>
      </c>
      <c r="AL13" s="64">
        <f>SUM(AL9:AL12)</f>
        <v/>
      </c>
      <c r="AM13" s="64">
        <f>SUM(AM9:AM12)</f>
        <v/>
      </c>
      <c r="AN13" s="64">
        <f>SUM(AN9:AN12)</f>
        <v/>
      </c>
      <c r="AO13" s="64">
        <f>SUM(AO9:AO12)</f>
        <v/>
      </c>
      <c r="AP13" s="64">
        <f>SUM(AP9:AP12)</f>
        <v/>
      </c>
      <c r="AQ13" s="64">
        <f>SUM(AQ9:AQ12)</f>
        <v/>
      </c>
      <c r="AR13" s="64">
        <f>SUM(AR9:AR12)</f>
        <v/>
      </c>
      <c r="AS13" s="64">
        <f>SUM(AS9:AS12)</f>
        <v/>
      </c>
    </row>
    <row r="15">
      <c r="B15" t="inlineStr">
        <is>
          <t>Amortization</t>
        </is>
      </c>
      <c r="C15" s="55" t="inlineStr">
        <is>
          <t>k£</t>
        </is>
      </c>
      <c r="D15" s="55" t="n"/>
      <c r="E15" s="55" t="n"/>
      <c r="F15" s="33">
        <f>Amortization!E13</f>
        <v/>
      </c>
      <c r="G15" s="33">
        <f>Amortization!F13</f>
        <v/>
      </c>
      <c r="H15" s="33">
        <f>Amortization!G13</f>
        <v/>
      </c>
      <c r="I15" s="33">
        <f>Amortization!H13</f>
        <v/>
      </c>
      <c r="J15" s="33">
        <f>Amortization!I13</f>
        <v/>
      </c>
      <c r="K15" s="33">
        <f>Amortization!J13</f>
        <v/>
      </c>
      <c r="L15" s="33">
        <f>Amortization!K13</f>
        <v/>
      </c>
      <c r="M15" s="33">
        <f>Amortization!L13</f>
        <v/>
      </c>
      <c r="N15" s="33">
        <f>Amortization!M13</f>
        <v/>
      </c>
      <c r="O15" s="33">
        <f>Amortization!N13</f>
        <v/>
      </c>
      <c r="P15" s="33">
        <f>Amortization!O13</f>
        <v/>
      </c>
      <c r="Q15" s="33">
        <f>Amortization!P13</f>
        <v/>
      </c>
      <c r="R15" s="33">
        <f>Amortization!Q13</f>
        <v/>
      </c>
      <c r="S15" s="33">
        <f>Amortization!R13</f>
        <v/>
      </c>
      <c r="T15" s="33">
        <f>Amortization!S13</f>
        <v/>
      </c>
      <c r="U15" s="33">
        <f>Amortization!T13</f>
        <v/>
      </c>
      <c r="V15" s="33">
        <f>Amortization!U13</f>
        <v/>
      </c>
      <c r="W15" s="33">
        <f>Amortization!V13</f>
        <v/>
      </c>
      <c r="X15" s="33">
        <f>Amortization!W13</f>
        <v/>
      </c>
      <c r="Y15" s="33">
        <f>Amortization!X13</f>
        <v/>
      </c>
      <c r="Z15" s="33">
        <f>Amortization!Y13</f>
        <v/>
      </c>
      <c r="AA15" s="33">
        <f>Amortization!Z13</f>
        <v/>
      </c>
      <c r="AB15" s="33">
        <f>Amortization!AA13</f>
        <v/>
      </c>
      <c r="AC15" s="33">
        <f>Amortization!AB13</f>
        <v/>
      </c>
      <c r="AD15" s="33">
        <f>Amortization!AC13</f>
        <v/>
      </c>
      <c r="AE15" s="33">
        <f>Amortization!AD13</f>
        <v/>
      </c>
      <c r="AF15" s="33">
        <f>Amortization!AE13</f>
        <v/>
      </c>
      <c r="AG15" s="33">
        <f>Amortization!AF13</f>
        <v/>
      </c>
      <c r="AH15" s="33">
        <f>Amortization!AG13</f>
        <v/>
      </c>
      <c r="AI15" s="33">
        <f>Amortization!AH13</f>
        <v/>
      </c>
      <c r="AJ15" s="33">
        <f>Amortization!AI13</f>
        <v/>
      </c>
      <c r="AK15" s="33">
        <f>Amortization!AJ13</f>
        <v/>
      </c>
      <c r="AL15" s="33">
        <f>Amortization!AK13</f>
        <v/>
      </c>
      <c r="AM15" s="33">
        <f>Amortization!AL13</f>
        <v/>
      </c>
      <c r="AN15" s="33">
        <f>Amortization!AM13</f>
        <v/>
      </c>
      <c r="AO15" s="33">
        <f>Amortization!AN13</f>
        <v/>
      </c>
      <c r="AP15" s="33">
        <f>Amortization!AO13</f>
        <v/>
      </c>
      <c r="AQ15" s="33">
        <f>Amortization!AP13</f>
        <v/>
      </c>
      <c r="AR15" s="33">
        <f>Amortization!AQ13</f>
        <v/>
      </c>
      <c r="AS15" s="33">
        <f>Amortization!AR13</f>
        <v/>
      </c>
    </row>
    <row r="17">
      <c r="B17" s="61" t="inlineStr">
        <is>
          <t>EBIT</t>
        </is>
      </c>
      <c r="C17" s="63" t="inlineStr">
        <is>
          <t>k£</t>
        </is>
      </c>
      <c r="D17" s="63" t="n"/>
      <c r="E17" s="63" t="n"/>
      <c r="F17" s="64">
        <f>SUM(F13:F16)</f>
        <v/>
      </c>
      <c r="G17" s="64">
        <f>SUM(G13:G16)</f>
        <v/>
      </c>
      <c r="H17" s="64">
        <f>SUM(H13:H16)</f>
        <v/>
      </c>
      <c r="I17" s="64">
        <f>SUM(I13:I16)</f>
        <v/>
      </c>
      <c r="J17" s="64">
        <f>SUM(J13:J16)</f>
        <v/>
      </c>
      <c r="K17" s="64">
        <f>SUM(K13:K16)</f>
        <v/>
      </c>
      <c r="L17" s="64">
        <f>SUM(L13:L16)</f>
        <v/>
      </c>
      <c r="M17" s="64">
        <f>SUM(M13:M16)</f>
        <v/>
      </c>
      <c r="N17" s="64">
        <f>SUM(N13:N16)</f>
        <v/>
      </c>
      <c r="O17" s="64">
        <f>SUM(O13:O16)</f>
        <v/>
      </c>
      <c r="P17" s="64">
        <f>SUM(P13:P16)</f>
        <v/>
      </c>
      <c r="Q17" s="64">
        <f>SUM(Q13:Q16)</f>
        <v/>
      </c>
      <c r="R17" s="64">
        <f>SUM(R13:R16)</f>
        <v/>
      </c>
      <c r="S17" s="64">
        <f>SUM(S13:S16)</f>
        <v/>
      </c>
      <c r="T17" s="64">
        <f>SUM(T13:T16)</f>
        <v/>
      </c>
      <c r="U17" s="64">
        <f>SUM(U13:U16)</f>
        <v/>
      </c>
      <c r="V17" s="64">
        <f>SUM(V13:V16)</f>
        <v/>
      </c>
      <c r="W17" s="64">
        <f>SUM(W13:W16)</f>
        <v/>
      </c>
      <c r="X17" s="64">
        <f>SUM(X13:X16)</f>
        <v/>
      </c>
      <c r="Y17" s="64">
        <f>SUM(Y13:Y16)</f>
        <v/>
      </c>
      <c r="Z17" s="64">
        <f>SUM(Z13:Z16)</f>
        <v/>
      </c>
      <c r="AA17" s="64">
        <f>SUM(AA13:AA16)</f>
        <v/>
      </c>
      <c r="AB17" s="64">
        <f>SUM(AB13:AB16)</f>
        <v/>
      </c>
      <c r="AC17" s="64">
        <f>SUM(AC13:AC16)</f>
        <v/>
      </c>
      <c r="AD17" s="64">
        <f>SUM(AD13:AD16)</f>
        <v/>
      </c>
      <c r="AE17" s="64">
        <f>SUM(AE13:AE16)</f>
        <v/>
      </c>
      <c r="AF17" s="64">
        <f>SUM(AF13:AF16)</f>
        <v/>
      </c>
      <c r="AG17" s="64">
        <f>SUM(AG13:AG16)</f>
        <v/>
      </c>
      <c r="AH17" s="64">
        <f>SUM(AH13:AH16)</f>
        <v/>
      </c>
      <c r="AI17" s="64">
        <f>SUM(AI13:AI16)</f>
        <v/>
      </c>
      <c r="AJ17" s="64">
        <f>SUM(AJ13:AJ16)</f>
        <v/>
      </c>
      <c r="AK17" s="64">
        <f>SUM(AK13:AK16)</f>
        <v/>
      </c>
      <c r="AL17" s="64">
        <f>SUM(AL13:AL16)</f>
        <v/>
      </c>
      <c r="AM17" s="64">
        <f>SUM(AM13:AM16)</f>
        <v/>
      </c>
      <c r="AN17" s="64">
        <f>SUM(AN13:AN16)</f>
        <v/>
      </c>
      <c r="AO17" s="64">
        <f>SUM(AO13:AO16)</f>
        <v/>
      </c>
      <c r="AP17" s="64">
        <f>SUM(AP13:AP16)</f>
        <v/>
      </c>
      <c r="AQ17" s="64">
        <f>SUM(AQ13:AQ16)</f>
        <v/>
      </c>
      <c r="AR17" s="64">
        <f>SUM(AR13:AR16)</f>
        <v/>
      </c>
      <c r="AS17" s="64">
        <f>SUM(AS13:AS16)</f>
        <v/>
      </c>
    </row>
    <row r="19">
      <c r="B19" t="inlineStr">
        <is>
          <t>Interest</t>
        </is>
      </c>
      <c r="C19" s="55" t="inlineStr">
        <is>
          <t>k£</t>
        </is>
      </c>
      <c r="D19" s="55" t="n"/>
      <c r="E19" s="55" t="n"/>
      <c r="F19" s="33">
        <f>Debt!F14</f>
        <v/>
      </c>
      <c r="G19" s="33">
        <f>Debt!G14</f>
        <v/>
      </c>
      <c r="H19" s="33">
        <f>Debt!H14</f>
        <v/>
      </c>
      <c r="I19" s="33">
        <f>Debt!I14</f>
        <v/>
      </c>
      <c r="J19" s="33">
        <f>Debt!J14</f>
        <v/>
      </c>
      <c r="K19" s="33">
        <f>Debt!K14</f>
        <v/>
      </c>
      <c r="L19" s="33">
        <f>Debt!L14</f>
        <v/>
      </c>
      <c r="M19" s="33">
        <f>Debt!M14</f>
        <v/>
      </c>
      <c r="N19" s="33">
        <f>Debt!N14</f>
        <v/>
      </c>
      <c r="O19" s="33">
        <f>Debt!O14</f>
        <v/>
      </c>
      <c r="P19" s="33">
        <f>Debt!P14</f>
        <v/>
      </c>
      <c r="Q19" s="33">
        <f>Debt!Q14</f>
        <v/>
      </c>
      <c r="R19" s="33">
        <f>Debt!R14</f>
        <v/>
      </c>
      <c r="S19" s="33">
        <f>Debt!S14</f>
        <v/>
      </c>
      <c r="T19" s="33">
        <f>Debt!T14</f>
        <v/>
      </c>
      <c r="U19" s="33">
        <f>Debt!U14</f>
        <v/>
      </c>
      <c r="V19" s="33">
        <f>Debt!V14</f>
        <v/>
      </c>
      <c r="W19" s="33">
        <f>Debt!W14</f>
        <v/>
      </c>
      <c r="X19" s="33">
        <f>Debt!X14</f>
        <v/>
      </c>
      <c r="Y19" s="33">
        <f>Debt!Y14</f>
        <v/>
      </c>
      <c r="Z19" s="33">
        <f>Debt!Z14</f>
        <v/>
      </c>
      <c r="AA19" s="33">
        <f>Debt!AA14</f>
        <v/>
      </c>
      <c r="AB19" s="33">
        <f>Debt!AB14</f>
        <v/>
      </c>
      <c r="AC19" s="33">
        <f>Debt!AC14</f>
        <v/>
      </c>
      <c r="AD19" s="33">
        <f>Debt!AD14</f>
        <v/>
      </c>
      <c r="AE19" s="33">
        <f>Debt!AE14</f>
        <v/>
      </c>
      <c r="AF19" s="33">
        <f>Debt!AF14</f>
        <v/>
      </c>
      <c r="AG19" s="33">
        <f>Debt!AG14</f>
        <v/>
      </c>
      <c r="AH19" s="33">
        <f>Debt!AH14</f>
        <v/>
      </c>
      <c r="AI19" s="33">
        <f>Debt!AI14</f>
        <v/>
      </c>
      <c r="AJ19" s="33">
        <f>Debt!AJ14</f>
        <v/>
      </c>
      <c r="AK19" s="33">
        <f>Debt!AK14</f>
        <v/>
      </c>
      <c r="AL19" s="33">
        <f>Debt!AL14</f>
        <v/>
      </c>
      <c r="AM19" s="33">
        <f>Debt!AM14</f>
        <v/>
      </c>
      <c r="AN19" s="33">
        <f>Debt!AN14</f>
        <v/>
      </c>
      <c r="AO19" s="33">
        <f>Debt!AO14</f>
        <v/>
      </c>
      <c r="AP19" s="33">
        <f>Debt!AP14</f>
        <v/>
      </c>
      <c r="AQ19" s="33">
        <f>Debt!AQ14</f>
        <v/>
      </c>
      <c r="AR19" s="33">
        <f>Debt!AR14</f>
        <v/>
      </c>
      <c r="AS19" s="33">
        <f>Debt!AS14</f>
        <v/>
      </c>
    </row>
    <row r="21">
      <c r="B21" s="61" t="inlineStr">
        <is>
          <t>EBT (Taxable Profit)</t>
        </is>
      </c>
      <c r="C21" s="63" t="inlineStr">
        <is>
          <t>k£</t>
        </is>
      </c>
      <c r="D21" s="63" t="n"/>
      <c r="E21" s="63" t="n"/>
      <c r="F21" s="64">
        <f>SUM(F17:F20)</f>
        <v/>
      </c>
      <c r="G21" s="64">
        <f>SUM(G17:G20)</f>
        <v/>
      </c>
      <c r="H21" s="64">
        <f>SUM(H17:H20)</f>
        <v/>
      </c>
      <c r="I21" s="64">
        <f>SUM(I17:I20)</f>
        <v/>
      </c>
      <c r="J21" s="64">
        <f>SUM(J17:J20)</f>
        <v/>
      </c>
      <c r="K21" s="64">
        <f>SUM(K17:K20)</f>
        <v/>
      </c>
      <c r="L21" s="64">
        <f>SUM(L17:L20)</f>
        <v/>
      </c>
      <c r="M21" s="64">
        <f>SUM(M17:M20)</f>
        <v/>
      </c>
      <c r="N21" s="64">
        <f>SUM(N17:N20)</f>
        <v/>
      </c>
      <c r="O21" s="64">
        <f>SUM(O17:O20)</f>
        <v/>
      </c>
      <c r="P21" s="64">
        <f>SUM(P17:P20)</f>
        <v/>
      </c>
      <c r="Q21" s="64">
        <f>SUM(Q17:Q20)</f>
        <v/>
      </c>
      <c r="R21" s="64">
        <f>SUM(R17:R20)</f>
        <v/>
      </c>
      <c r="S21" s="64">
        <f>SUM(S17:S20)</f>
        <v/>
      </c>
      <c r="T21" s="64">
        <f>SUM(T17:T20)</f>
        <v/>
      </c>
      <c r="U21" s="64">
        <f>SUM(U17:U20)</f>
        <v/>
      </c>
      <c r="V21" s="64">
        <f>SUM(V17:V20)</f>
        <v/>
      </c>
      <c r="W21" s="64">
        <f>SUM(W17:W20)</f>
        <v/>
      </c>
      <c r="X21" s="64">
        <f>SUM(X17:X20)</f>
        <v/>
      </c>
      <c r="Y21" s="64">
        <f>SUM(Y17:Y20)</f>
        <v/>
      </c>
      <c r="Z21" s="64">
        <f>SUM(Z17:Z20)</f>
        <v/>
      </c>
      <c r="AA21" s="64">
        <f>SUM(AA17:AA20)</f>
        <v/>
      </c>
      <c r="AB21" s="64">
        <f>SUM(AB17:AB20)</f>
        <v/>
      </c>
      <c r="AC21" s="64">
        <f>SUM(AC17:AC20)</f>
        <v/>
      </c>
      <c r="AD21" s="64">
        <f>SUM(AD17:AD20)</f>
        <v/>
      </c>
      <c r="AE21" s="64">
        <f>SUM(AE17:AE20)</f>
        <v/>
      </c>
      <c r="AF21" s="64">
        <f>SUM(AF17:AF20)</f>
        <v/>
      </c>
      <c r="AG21" s="64">
        <f>SUM(AG17:AG20)</f>
        <v/>
      </c>
      <c r="AH21" s="64">
        <f>SUM(AH17:AH20)</f>
        <v/>
      </c>
      <c r="AI21" s="64">
        <f>SUM(AI17:AI20)</f>
        <v/>
      </c>
      <c r="AJ21" s="64">
        <f>SUM(AJ17:AJ20)</f>
        <v/>
      </c>
      <c r="AK21" s="64">
        <f>SUM(AK17:AK20)</f>
        <v/>
      </c>
      <c r="AL21" s="64">
        <f>SUM(AL17:AL20)</f>
        <v/>
      </c>
      <c r="AM21" s="64">
        <f>SUM(AM17:AM20)</f>
        <v/>
      </c>
      <c r="AN21" s="64">
        <f>SUM(AN17:AN20)</f>
        <v/>
      </c>
      <c r="AO21" s="64">
        <f>SUM(AO17:AO20)</f>
        <v/>
      </c>
      <c r="AP21" s="64">
        <f>SUM(AP17:AP20)</f>
        <v/>
      </c>
      <c r="AQ21" s="64">
        <f>SUM(AQ17:AQ20)</f>
        <v/>
      </c>
      <c r="AR21" s="64">
        <f>SUM(AR17:AR20)</f>
        <v/>
      </c>
      <c r="AS21" s="64">
        <f>SUM(AS17:AS20)</f>
        <v/>
      </c>
    </row>
    <row r="23">
      <c r="B23" t="inlineStr">
        <is>
          <t>Income Tax</t>
        </is>
      </c>
      <c r="C23" s="55" t="inlineStr">
        <is>
          <t>k£</t>
        </is>
      </c>
      <c r="D23" s="55" t="n"/>
      <c r="E23" s="55" t="n"/>
      <c r="F23" s="33">
        <f>IF(F21&lt;0,0,-'Input Assumptions'!$D$44*'P&amp;L'!F21)</f>
        <v/>
      </c>
      <c r="G23" s="33">
        <f>IF(G21&lt;0,0,-'Input Assumptions'!$D$44*'P&amp;L'!G21)</f>
        <v/>
      </c>
      <c r="H23" s="33">
        <f>IF(H21&lt;0,0,-'Input Assumptions'!$D$44*'P&amp;L'!H21)</f>
        <v/>
      </c>
      <c r="I23" s="33">
        <f>IF(I21&lt;0,0,-'Input Assumptions'!$D$44*'P&amp;L'!I21)</f>
        <v/>
      </c>
      <c r="J23" s="33">
        <f>IF(J21&lt;0,0,-'Input Assumptions'!$D$44*'P&amp;L'!J21)</f>
        <v/>
      </c>
      <c r="K23" s="33">
        <f>IF(K21&lt;0,0,-'Input Assumptions'!$D$44*'P&amp;L'!K21)</f>
        <v/>
      </c>
      <c r="L23" s="33">
        <f>IF(L21&lt;0,0,-'Input Assumptions'!$D$44*'P&amp;L'!L21)</f>
        <v/>
      </c>
      <c r="M23" s="33">
        <f>IF(M21&lt;0,0,-'Input Assumptions'!$D$44*'P&amp;L'!M21)</f>
        <v/>
      </c>
      <c r="N23" s="33">
        <f>IF(N21&lt;0,0,-'Input Assumptions'!$D$44*'P&amp;L'!N21)</f>
        <v/>
      </c>
      <c r="O23" s="33">
        <f>IF(O21&lt;0,0,-'Input Assumptions'!$D$44*'P&amp;L'!O21)</f>
        <v/>
      </c>
      <c r="P23" s="33">
        <f>IF(P21&lt;0,0,-'Input Assumptions'!$D$44*'P&amp;L'!P21)</f>
        <v/>
      </c>
      <c r="Q23" s="33">
        <f>IF(Q21&lt;0,0,-'Input Assumptions'!$D$44*'P&amp;L'!Q21)</f>
        <v/>
      </c>
      <c r="R23" s="33">
        <f>IF(R21&lt;0,0,-'Input Assumptions'!$D$44*'P&amp;L'!R21)</f>
        <v/>
      </c>
      <c r="S23" s="33">
        <f>IF(S21&lt;0,0,-'Input Assumptions'!$D$44*'P&amp;L'!S21)</f>
        <v/>
      </c>
      <c r="T23" s="33">
        <f>IF(T21&lt;0,0,-'Input Assumptions'!$D$44*'P&amp;L'!T21)</f>
        <v/>
      </c>
      <c r="U23" s="33">
        <f>IF(U21&lt;0,0,-'Input Assumptions'!$D$44*'P&amp;L'!U21)</f>
        <v/>
      </c>
      <c r="V23" s="33">
        <f>IF(V21&lt;0,0,-'Input Assumptions'!$D$44*'P&amp;L'!V21)</f>
        <v/>
      </c>
      <c r="W23" s="33">
        <f>IF(W21&lt;0,0,-'Input Assumptions'!$D$44*'P&amp;L'!W21)</f>
        <v/>
      </c>
      <c r="X23" s="33">
        <f>IF(X21&lt;0,0,-'Input Assumptions'!$D$44*'P&amp;L'!X21)</f>
        <v/>
      </c>
      <c r="Y23" s="33">
        <f>IF(Y21&lt;0,0,-'Input Assumptions'!$D$44*'P&amp;L'!Y21)</f>
        <v/>
      </c>
      <c r="Z23" s="33">
        <f>IF(Z21&lt;0,0,-'Input Assumptions'!$D$44*'P&amp;L'!Z21)</f>
        <v/>
      </c>
      <c r="AA23" s="33">
        <f>IF(AA21&lt;0,0,-'Input Assumptions'!$D$44*'P&amp;L'!AA21)</f>
        <v/>
      </c>
      <c r="AB23" s="33">
        <f>IF(AB21&lt;0,0,-'Input Assumptions'!$D$44*'P&amp;L'!AB21)</f>
        <v/>
      </c>
      <c r="AC23" s="33">
        <f>IF(AC21&lt;0,0,-'Input Assumptions'!$D$44*'P&amp;L'!AC21)</f>
        <v/>
      </c>
      <c r="AD23" s="33">
        <f>IF(AD21&lt;0,0,-'Input Assumptions'!$D$44*'P&amp;L'!AD21)</f>
        <v/>
      </c>
      <c r="AE23" s="33">
        <f>IF(AE21&lt;0,0,-'Input Assumptions'!$D$44*'P&amp;L'!AE21)</f>
        <v/>
      </c>
      <c r="AF23" s="33">
        <f>IF(AF21&lt;0,0,-'Input Assumptions'!$D$44*'P&amp;L'!AF21)</f>
        <v/>
      </c>
      <c r="AG23" s="33">
        <f>IF(AG21&lt;0,0,-'Input Assumptions'!$D$44*'P&amp;L'!AG21)</f>
        <v/>
      </c>
      <c r="AH23" s="33">
        <f>IF(AH21&lt;0,0,-'Input Assumptions'!$D$44*'P&amp;L'!AH21)</f>
        <v/>
      </c>
      <c r="AI23" s="33">
        <f>IF(AI21&lt;0,0,-'Input Assumptions'!$D$44*'P&amp;L'!AI21)</f>
        <v/>
      </c>
      <c r="AJ23" s="33">
        <f>IF(AJ21&lt;0,0,-'Input Assumptions'!$D$44*'P&amp;L'!AJ21)</f>
        <v/>
      </c>
      <c r="AK23" s="33">
        <f>IF(AK21&lt;0,0,-'Input Assumptions'!$D$44*'P&amp;L'!AK21)</f>
        <v/>
      </c>
      <c r="AL23" s="33">
        <f>IF(AL21&lt;0,0,-'Input Assumptions'!$D$44*'P&amp;L'!AL21)</f>
        <v/>
      </c>
      <c r="AM23" s="33">
        <f>IF(AM21&lt;0,0,-'Input Assumptions'!$D$44*'P&amp;L'!AM21)</f>
        <v/>
      </c>
      <c r="AN23" s="33">
        <f>IF(AN21&lt;0,0,-'Input Assumptions'!$D$44*'P&amp;L'!AN21)</f>
        <v/>
      </c>
      <c r="AO23" s="33">
        <f>IF(AO21&lt;0,0,-'Input Assumptions'!$D$44*'P&amp;L'!AO21)</f>
        <v/>
      </c>
      <c r="AP23" s="33">
        <f>IF(AP21&lt;0,0,-'Input Assumptions'!$D$44*'P&amp;L'!AP21)</f>
        <v/>
      </c>
      <c r="AQ23" s="33">
        <f>IF(AQ21&lt;0,0,-'Input Assumptions'!$D$44*'P&amp;L'!AQ21)</f>
        <v/>
      </c>
      <c r="AR23" s="33">
        <f>IF(AR21&lt;0,0,-'Input Assumptions'!$D$44*'P&amp;L'!AR21)</f>
        <v/>
      </c>
      <c r="AS23" s="33">
        <f>IF(AS21&lt;0,0,-'Input Assumptions'!$D$44*'P&amp;L'!AS21)</f>
        <v/>
      </c>
    </row>
    <row r="25">
      <c r="B25" s="61" t="inlineStr">
        <is>
          <t>Net Profit</t>
        </is>
      </c>
      <c r="C25" s="63" t="inlineStr">
        <is>
          <t>k£</t>
        </is>
      </c>
      <c r="D25" s="63" t="n"/>
      <c r="E25" s="63" t="n"/>
      <c r="F25" s="64">
        <f>SUM(F21:F24)</f>
        <v/>
      </c>
      <c r="G25" s="64">
        <f>SUM(G21:G24)</f>
        <v/>
      </c>
      <c r="H25" s="64">
        <f>SUM(H21:H24)</f>
        <v/>
      </c>
      <c r="I25" s="64">
        <f>SUM(I21:I24)</f>
        <v/>
      </c>
      <c r="J25" s="64">
        <f>SUM(J21:J24)</f>
        <v/>
      </c>
      <c r="K25" s="64">
        <f>SUM(K21:K24)</f>
        <v/>
      </c>
      <c r="L25" s="64">
        <f>SUM(L21:L24)</f>
        <v/>
      </c>
      <c r="M25" s="64">
        <f>SUM(M21:M24)</f>
        <v/>
      </c>
      <c r="N25" s="64">
        <f>SUM(N21:N24)</f>
        <v/>
      </c>
      <c r="O25" s="64">
        <f>SUM(O21:O24)</f>
        <v/>
      </c>
      <c r="P25" s="64">
        <f>SUM(P21:P24)</f>
        <v/>
      </c>
      <c r="Q25" s="64">
        <f>SUM(Q21:Q24)</f>
        <v/>
      </c>
      <c r="R25" s="64">
        <f>SUM(R21:R24)</f>
        <v/>
      </c>
      <c r="S25" s="64">
        <f>SUM(S21:S24)</f>
        <v/>
      </c>
      <c r="T25" s="64">
        <f>SUM(T21:T24)</f>
        <v/>
      </c>
      <c r="U25" s="64">
        <f>SUM(U21:U24)</f>
        <v/>
      </c>
      <c r="V25" s="64">
        <f>SUM(V21:V24)</f>
        <v/>
      </c>
      <c r="W25" s="64">
        <f>SUM(W21:W24)</f>
        <v/>
      </c>
      <c r="X25" s="64">
        <f>SUM(X21:X24)</f>
        <v/>
      </c>
      <c r="Y25" s="64">
        <f>SUM(Y21:Y24)</f>
        <v/>
      </c>
      <c r="Z25" s="64">
        <f>SUM(Z21:Z24)</f>
        <v/>
      </c>
      <c r="AA25" s="64">
        <f>SUM(AA21:AA24)</f>
        <v/>
      </c>
      <c r="AB25" s="64">
        <f>SUM(AB21:AB24)</f>
        <v/>
      </c>
      <c r="AC25" s="64">
        <f>SUM(AC21:AC24)</f>
        <v/>
      </c>
      <c r="AD25" s="64">
        <f>SUM(AD21:AD24)</f>
        <v/>
      </c>
      <c r="AE25" s="64">
        <f>SUM(AE21:AE24)</f>
        <v/>
      </c>
      <c r="AF25" s="64">
        <f>SUM(AF21:AF24)</f>
        <v/>
      </c>
      <c r="AG25" s="64">
        <f>SUM(AG21:AG24)</f>
        <v/>
      </c>
      <c r="AH25" s="64">
        <f>SUM(AH21:AH24)</f>
        <v/>
      </c>
      <c r="AI25" s="64">
        <f>SUM(AI21:AI24)</f>
        <v/>
      </c>
      <c r="AJ25" s="64">
        <f>SUM(AJ21:AJ24)</f>
        <v/>
      </c>
      <c r="AK25" s="64">
        <f>SUM(AK21:AK24)</f>
        <v/>
      </c>
      <c r="AL25" s="64">
        <f>SUM(AL21:AL24)</f>
        <v/>
      </c>
      <c r="AM25" s="64">
        <f>SUM(AM21:AM24)</f>
        <v/>
      </c>
      <c r="AN25" s="64">
        <f>SUM(AN21:AN24)</f>
        <v/>
      </c>
      <c r="AO25" s="64">
        <f>SUM(AO21:AO24)</f>
        <v/>
      </c>
      <c r="AP25" s="64">
        <f>SUM(AP21:AP24)</f>
        <v/>
      </c>
      <c r="AQ25" s="64">
        <f>SUM(AQ21:AQ24)</f>
        <v/>
      </c>
      <c r="AR25" s="64">
        <f>SUM(AR21:AR24)</f>
        <v/>
      </c>
      <c r="AS25" s="64">
        <f>SUM(AS21:AS24)</f>
        <v/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3:AS25"/>
  <sheetViews>
    <sheetView showGridLines="0" zoomScaleNormal="100" workbookViewId="0">
      <pane xSplit="5" topLeftCell="AJ1" activePane="topRight" state="frozen"/>
      <selection pane="topRight" activeCell="AS25" sqref="AS25"/>
    </sheetView>
  </sheetViews>
  <sheetFormatPr baseColWidth="8" defaultColWidth="0" defaultRowHeight="14.45"/>
  <cols>
    <col width="9" customWidth="1" min="1" max="1"/>
    <col width="40" customWidth="1" min="2" max="2"/>
    <col width="9" customWidth="1" min="3" max="5"/>
    <col width="9" customWidth="1" style="9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</row>
    <row r="6" ht="17.65" customHeight="1">
      <c r="B6" s="29" t="inlineStr">
        <is>
          <t>Cashflow Statement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8">
      <c r="B8" t="inlineStr">
        <is>
          <t>Gross Revenues</t>
        </is>
      </c>
      <c r="C8" s="55" t="inlineStr">
        <is>
          <t>k£</t>
        </is>
      </c>
      <c r="F8" s="33">
        <f>Operation!E14</f>
        <v/>
      </c>
      <c r="G8" s="33">
        <f>Operation!F14</f>
        <v/>
      </c>
      <c r="H8" s="33">
        <f>Operation!G14</f>
        <v/>
      </c>
      <c r="I8" s="33">
        <f>Operation!H14</f>
        <v/>
      </c>
      <c r="J8" s="33">
        <f>Operation!I14</f>
        <v/>
      </c>
      <c r="K8" s="33">
        <f>Operation!J14</f>
        <v/>
      </c>
      <c r="L8" s="33">
        <f>Operation!K14</f>
        <v/>
      </c>
      <c r="M8" s="33">
        <f>Operation!L14</f>
        <v/>
      </c>
      <c r="N8" s="33">
        <f>Operation!M14</f>
        <v/>
      </c>
      <c r="O8" s="33">
        <f>Operation!N14</f>
        <v/>
      </c>
      <c r="P8" s="33">
        <f>Operation!O14</f>
        <v/>
      </c>
      <c r="Q8" s="33">
        <f>Operation!P14</f>
        <v/>
      </c>
      <c r="R8" s="33">
        <f>Operation!Q14</f>
        <v/>
      </c>
      <c r="S8" s="33">
        <f>Operation!R14</f>
        <v/>
      </c>
      <c r="T8" s="33">
        <f>Operation!S14</f>
        <v/>
      </c>
      <c r="U8" s="33">
        <f>Operation!T14</f>
        <v/>
      </c>
      <c r="V8" s="33">
        <f>Operation!U14</f>
        <v/>
      </c>
      <c r="W8" s="33">
        <f>Operation!V14</f>
        <v/>
      </c>
      <c r="X8" s="33">
        <f>Operation!W14</f>
        <v/>
      </c>
      <c r="Y8" s="33">
        <f>Operation!X14</f>
        <v/>
      </c>
      <c r="Z8" s="33">
        <f>Operation!Y14</f>
        <v/>
      </c>
      <c r="AA8" s="33">
        <f>Operation!Z14</f>
        <v/>
      </c>
      <c r="AB8" s="33">
        <f>Operation!AA14</f>
        <v/>
      </c>
      <c r="AC8" s="33">
        <f>Operation!AB14</f>
        <v/>
      </c>
      <c r="AD8" s="33">
        <f>Operation!AC14</f>
        <v/>
      </c>
      <c r="AE8" s="33">
        <f>Operation!AD14</f>
        <v/>
      </c>
      <c r="AF8" s="33">
        <f>Operation!AE14</f>
        <v/>
      </c>
      <c r="AG8" s="33">
        <f>Operation!AF14</f>
        <v/>
      </c>
      <c r="AH8" s="33">
        <f>Operation!AG14</f>
        <v/>
      </c>
      <c r="AI8" s="33">
        <f>Operation!AH14</f>
        <v/>
      </c>
      <c r="AJ8" s="33">
        <f>Operation!AI14</f>
        <v/>
      </c>
      <c r="AK8" s="33">
        <f>Operation!AJ14</f>
        <v/>
      </c>
      <c r="AL8" s="33">
        <f>Operation!AK14</f>
        <v/>
      </c>
      <c r="AM8" s="33">
        <f>Operation!AL14</f>
        <v/>
      </c>
      <c r="AN8" s="33">
        <f>Operation!AM14</f>
        <v/>
      </c>
      <c r="AO8" s="33">
        <f>Operation!AN14</f>
        <v/>
      </c>
      <c r="AP8" s="33">
        <f>Operation!AO14</f>
        <v/>
      </c>
      <c r="AQ8" s="33">
        <f>Operation!AP14</f>
        <v/>
      </c>
      <c r="AR8" s="33">
        <f>Operation!AQ14</f>
        <v/>
      </c>
      <c r="AS8" s="33">
        <f>Operation!AR14</f>
        <v/>
      </c>
    </row>
    <row r="10">
      <c r="B10" t="inlineStr">
        <is>
          <t>OPEX (Maintenance &amp; SPV Costs)</t>
        </is>
      </c>
      <c r="C10" s="55" t="inlineStr">
        <is>
          <t>k£</t>
        </is>
      </c>
      <c r="F10" s="33">
        <f>-Operation!E21</f>
        <v/>
      </c>
      <c r="G10" s="33">
        <f>-Operation!F21</f>
        <v/>
      </c>
      <c r="H10" s="33">
        <f>-Operation!G21</f>
        <v/>
      </c>
      <c r="I10" s="33">
        <f>-Operation!H21</f>
        <v/>
      </c>
      <c r="J10" s="33">
        <f>-Operation!I21</f>
        <v/>
      </c>
      <c r="K10" s="33">
        <f>-Operation!J21</f>
        <v/>
      </c>
      <c r="L10" s="33">
        <f>-Operation!K21</f>
        <v/>
      </c>
      <c r="M10" s="33">
        <f>-Operation!L21</f>
        <v/>
      </c>
      <c r="N10" s="33">
        <f>-Operation!M21</f>
        <v/>
      </c>
      <c r="O10" s="33">
        <f>-Operation!N21</f>
        <v/>
      </c>
      <c r="P10" s="33">
        <f>-Operation!O21</f>
        <v/>
      </c>
      <c r="Q10" s="33">
        <f>-Operation!P21</f>
        <v/>
      </c>
      <c r="R10" s="33">
        <f>-Operation!Q21</f>
        <v/>
      </c>
      <c r="S10" s="33">
        <f>-Operation!R21</f>
        <v/>
      </c>
      <c r="T10" s="33">
        <f>-Operation!S21</f>
        <v/>
      </c>
      <c r="U10" s="33">
        <f>-Operation!T21</f>
        <v/>
      </c>
      <c r="V10" s="33">
        <f>-Operation!U21</f>
        <v/>
      </c>
      <c r="W10" s="33">
        <f>-Operation!V21</f>
        <v/>
      </c>
      <c r="X10" s="33">
        <f>-Operation!W21</f>
        <v/>
      </c>
      <c r="Y10" s="33">
        <f>-Operation!X21</f>
        <v/>
      </c>
      <c r="Z10" s="33">
        <f>-Operation!Y21</f>
        <v/>
      </c>
      <c r="AA10" s="33">
        <f>-Operation!Z21</f>
        <v/>
      </c>
      <c r="AB10" s="33">
        <f>-Operation!AA21</f>
        <v/>
      </c>
      <c r="AC10" s="33">
        <f>-Operation!AB21</f>
        <v/>
      </c>
      <c r="AD10" s="33">
        <f>-Operation!AC21</f>
        <v/>
      </c>
      <c r="AE10" s="33">
        <f>-Operation!AD21</f>
        <v/>
      </c>
      <c r="AF10" s="33">
        <f>-Operation!AE21</f>
        <v/>
      </c>
      <c r="AG10" s="33">
        <f>-Operation!AF21</f>
        <v/>
      </c>
      <c r="AH10" s="33">
        <f>-Operation!AG21</f>
        <v/>
      </c>
      <c r="AI10" s="33">
        <f>-Operation!AH21</f>
        <v/>
      </c>
      <c r="AJ10" s="33">
        <f>-Operation!AI21</f>
        <v/>
      </c>
      <c r="AK10" s="33">
        <f>-Operation!AJ21</f>
        <v/>
      </c>
      <c r="AL10" s="33">
        <f>-Operation!AK21</f>
        <v/>
      </c>
      <c r="AM10" s="33">
        <f>-Operation!AL21</f>
        <v/>
      </c>
      <c r="AN10" s="33">
        <f>-Operation!AM21</f>
        <v/>
      </c>
      <c r="AO10" s="33">
        <f>-Operation!AN21</f>
        <v/>
      </c>
      <c r="AP10" s="33">
        <f>-Operation!AO21</f>
        <v/>
      </c>
      <c r="AQ10" s="33">
        <f>-Operation!AP21</f>
        <v/>
      </c>
      <c r="AR10" s="33">
        <f>-Operation!AQ21</f>
        <v/>
      </c>
      <c r="AS10" s="33">
        <f>-Operation!AR21</f>
        <v/>
      </c>
    </row>
    <row r="12">
      <c r="B12" t="inlineStr">
        <is>
          <t>Income Tax</t>
        </is>
      </c>
      <c r="C12" s="55" t="inlineStr">
        <is>
          <t>k£</t>
        </is>
      </c>
      <c r="F12" s="33">
        <f>'P&amp;L'!F23</f>
        <v/>
      </c>
      <c r="G12" s="33">
        <f>'P&amp;L'!G23</f>
        <v/>
      </c>
      <c r="H12" s="33">
        <f>'P&amp;L'!H23</f>
        <v/>
      </c>
      <c r="I12" s="33">
        <f>'P&amp;L'!I23</f>
        <v/>
      </c>
      <c r="J12" s="33">
        <f>'P&amp;L'!J23</f>
        <v/>
      </c>
      <c r="K12" s="33">
        <f>'P&amp;L'!K23</f>
        <v/>
      </c>
      <c r="L12" s="33">
        <f>'P&amp;L'!L23</f>
        <v/>
      </c>
      <c r="M12" s="33">
        <f>'P&amp;L'!M23</f>
        <v/>
      </c>
      <c r="N12" s="33">
        <f>'P&amp;L'!N23</f>
        <v/>
      </c>
      <c r="O12" s="33">
        <f>'P&amp;L'!O23</f>
        <v/>
      </c>
      <c r="P12" s="33">
        <f>'P&amp;L'!P23</f>
        <v/>
      </c>
      <c r="Q12" s="33">
        <f>'P&amp;L'!Q23</f>
        <v/>
      </c>
      <c r="R12" s="33">
        <f>'P&amp;L'!R23</f>
        <v/>
      </c>
      <c r="S12" s="33">
        <f>'P&amp;L'!S23</f>
        <v/>
      </c>
      <c r="T12" s="33">
        <f>'P&amp;L'!T23</f>
        <v/>
      </c>
      <c r="U12" s="33">
        <f>'P&amp;L'!U23</f>
        <v/>
      </c>
      <c r="V12" s="33">
        <f>'P&amp;L'!V23</f>
        <v/>
      </c>
      <c r="W12" s="33">
        <f>'P&amp;L'!W23</f>
        <v/>
      </c>
      <c r="X12" s="33">
        <f>'P&amp;L'!X23</f>
        <v/>
      </c>
      <c r="Y12" s="33">
        <f>'P&amp;L'!Y23</f>
        <v/>
      </c>
      <c r="Z12" s="33">
        <f>'P&amp;L'!Z23</f>
        <v/>
      </c>
      <c r="AA12" s="33">
        <f>'P&amp;L'!AA23</f>
        <v/>
      </c>
      <c r="AB12" s="33">
        <f>'P&amp;L'!AB23</f>
        <v/>
      </c>
      <c r="AC12" s="33">
        <f>'P&amp;L'!AC23</f>
        <v/>
      </c>
      <c r="AD12" s="33">
        <f>'P&amp;L'!AD23</f>
        <v/>
      </c>
      <c r="AE12" s="33">
        <f>'P&amp;L'!AE23</f>
        <v/>
      </c>
      <c r="AF12" s="33">
        <f>'P&amp;L'!AF23</f>
        <v/>
      </c>
      <c r="AG12" s="33">
        <f>'P&amp;L'!AG23</f>
        <v/>
      </c>
      <c r="AH12" s="33">
        <f>'P&amp;L'!AH23</f>
        <v/>
      </c>
      <c r="AI12" s="33">
        <f>'P&amp;L'!AI23</f>
        <v/>
      </c>
      <c r="AJ12" s="33">
        <f>'P&amp;L'!AJ23</f>
        <v/>
      </c>
      <c r="AK12" s="33">
        <f>'P&amp;L'!AK23</f>
        <v/>
      </c>
      <c r="AL12" s="33">
        <f>'P&amp;L'!AL23</f>
        <v/>
      </c>
      <c r="AM12" s="33">
        <f>'P&amp;L'!AM23</f>
        <v/>
      </c>
      <c r="AN12" s="33">
        <f>'P&amp;L'!AN23</f>
        <v/>
      </c>
      <c r="AO12" s="33">
        <f>'P&amp;L'!AO23</f>
        <v/>
      </c>
      <c r="AP12" s="33">
        <f>'P&amp;L'!AP23</f>
        <v/>
      </c>
      <c r="AQ12" s="33">
        <f>'P&amp;L'!AQ23</f>
        <v/>
      </c>
      <c r="AR12" s="33">
        <f>'P&amp;L'!AR23</f>
        <v/>
      </c>
      <c r="AS12" s="33">
        <f>'P&amp;L'!AS23</f>
        <v/>
      </c>
    </row>
    <row r="14">
      <c r="B14" s="61" t="inlineStr">
        <is>
          <t>Cash Flow Available for Debt Service (CFADS)</t>
        </is>
      </c>
      <c r="C14" s="66" t="inlineStr">
        <is>
          <t>k£</t>
        </is>
      </c>
      <c r="D14" s="24" t="n"/>
      <c r="E14" s="24" t="n"/>
      <c r="F14" s="65">
        <f>SUM(F8:F13)</f>
        <v/>
      </c>
      <c r="G14" s="65">
        <f>SUM(G8:G13)</f>
        <v/>
      </c>
      <c r="H14" s="65">
        <f>SUM(H8:H13)</f>
        <v/>
      </c>
      <c r="I14" s="65">
        <f>SUM(I8:I13)</f>
        <v/>
      </c>
      <c r="J14" s="65">
        <f>SUM(J8:J13)</f>
        <v/>
      </c>
      <c r="K14" s="65">
        <f>SUM(K8:K13)</f>
        <v/>
      </c>
      <c r="L14" s="65">
        <f>SUM(L8:L13)</f>
        <v/>
      </c>
      <c r="M14" s="65">
        <f>SUM(M8:M13)</f>
        <v/>
      </c>
      <c r="N14" s="65">
        <f>SUM(N8:N13)</f>
        <v/>
      </c>
      <c r="O14" s="65">
        <f>SUM(O8:O13)</f>
        <v/>
      </c>
      <c r="P14" s="65">
        <f>SUM(P8:P13)</f>
        <v/>
      </c>
      <c r="Q14" s="65">
        <f>SUM(Q8:Q13)</f>
        <v/>
      </c>
      <c r="R14" s="65">
        <f>SUM(R8:R13)</f>
        <v/>
      </c>
      <c r="S14" s="65">
        <f>SUM(S8:S13)</f>
        <v/>
      </c>
      <c r="T14" s="65">
        <f>SUM(T8:T13)</f>
        <v/>
      </c>
      <c r="U14" s="65">
        <f>SUM(U8:U13)</f>
        <v/>
      </c>
      <c r="V14" s="65">
        <f>SUM(V8:V13)</f>
        <v/>
      </c>
      <c r="W14" s="65">
        <f>SUM(W8:W13)</f>
        <v/>
      </c>
      <c r="X14" s="65">
        <f>SUM(X8:X13)</f>
        <v/>
      </c>
      <c r="Y14" s="65">
        <f>SUM(Y8:Y13)</f>
        <v/>
      </c>
      <c r="Z14" s="65">
        <f>SUM(Z8:Z13)</f>
        <v/>
      </c>
      <c r="AA14" s="65">
        <f>SUM(AA8:AA13)</f>
        <v/>
      </c>
      <c r="AB14" s="65">
        <f>SUM(AB8:AB13)</f>
        <v/>
      </c>
      <c r="AC14" s="65">
        <f>SUM(AC8:AC13)</f>
        <v/>
      </c>
      <c r="AD14" s="65">
        <f>SUM(AD8:AD13)</f>
        <v/>
      </c>
      <c r="AE14" s="65">
        <f>SUM(AE8:AE13)</f>
        <v/>
      </c>
      <c r="AF14" s="65">
        <f>SUM(AF8:AF13)</f>
        <v/>
      </c>
      <c r="AG14" s="65">
        <f>SUM(AG8:AG13)</f>
        <v/>
      </c>
      <c r="AH14" s="65">
        <f>SUM(AH8:AH13)</f>
        <v/>
      </c>
      <c r="AI14" s="65">
        <f>SUM(AI8:AI13)</f>
        <v/>
      </c>
      <c r="AJ14" s="65">
        <f>SUM(AJ8:AJ13)</f>
        <v/>
      </c>
      <c r="AK14" s="65">
        <f>SUM(AK8:AK13)</f>
        <v/>
      </c>
      <c r="AL14" s="65">
        <f>SUM(AL8:AL13)</f>
        <v/>
      </c>
      <c r="AM14" s="65">
        <f>SUM(AM8:AM13)</f>
        <v/>
      </c>
      <c r="AN14" s="65">
        <f>SUM(AN8:AN13)</f>
        <v/>
      </c>
      <c r="AO14" s="65">
        <f>SUM(AO8:AO13)</f>
        <v/>
      </c>
      <c r="AP14" s="65">
        <f>SUM(AP8:AP13)</f>
        <v/>
      </c>
      <c r="AQ14" s="65">
        <f>SUM(AQ8:AQ13)</f>
        <v/>
      </c>
      <c r="AR14" s="65">
        <f>SUM(AR8:AR13)</f>
        <v/>
      </c>
      <c r="AS14" s="65">
        <f>SUM(AS8:AS13)</f>
        <v/>
      </c>
    </row>
    <row r="16">
      <c r="B16" t="inlineStr">
        <is>
          <t>Interest</t>
        </is>
      </c>
      <c r="C16" s="55" t="inlineStr">
        <is>
          <t>k£</t>
        </is>
      </c>
      <c r="F16" s="33">
        <f>Debt!F14</f>
        <v/>
      </c>
      <c r="G16" s="33">
        <f>Debt!G14</f>
        <v/>
      </c>
      <c r="H16" s="33">
        <f>Debt!H14</f>
        <v/>
      </c>
      <c r="I16" s="33">
        <f>Debt!I14</f>
        <v/>
      </c>
      <c r="J16" s="33">
        <f>Debt!J14</f>
        <v/>
      </c>
      <c r="K16" s="33">
        <f>Debt!K14</f>
        <v/>
      </c>
      <c r="L16" s="33">
        <f>Debt!L14</f>
        <v/>
      </c>
      <c r="M16" s="33">
        <f>Debt!M14</f>
        <v/>
      </c>
      <c r="N16" s="33">
        <f>Debt!N14</f>
        <v/>
      </c>
      <c r="O16" s="33">
        <f>Debt!O14</f>
        <v/>
      </c>
      <c r="P16" s="33">
        <f>Debt!P14</f>
        <v/>
      </c>
      <c r="Q16" s="33">
        <f>Debt!Q14</f>
        <v/>
      </c>
      <c r="R16" s="33">
        <f>Debt!R14</f>
        <v/>
      </c>
      <c r="S16" s="33">
        <f>Debt!S14</f>
        <v/>
      </c>
      <c r="T16" s="33">
        <f>Debt!T14</f>
        <v/>
      </c>
      <c r="U16" s="33">
        <f>Debt!U14</f>
        <v/>
      </c>
      <c r="V16" s="33">
        <f>Debt!V14</f>
        <v/>
      </c>
      <c r="W16" s="33">
        <f>Debt!W14</f>
        <v/>
      </c>
      <c r="X16" s="33">
        <f>Debt!X14</f>
        <v/>
      </c>
      <c r="Y16" s="33">
        <f>Debt!Y14</f>
        <v/>
      </c>
      <c r="Z16" s="33">
        <f>Debt!Z14</f>
        <v/>
      </c>
      <c r="AA16" s="33">
        <f>Debt!AA14</f>
        <v/>
      </c>
      <c r="AB16" s="33">
        <f>Debt!AB14</f>
        <v/>
      </c>
      <c r="AC16" s="33">
        <f>Debt!AC14</f>
        <v/>
      </c>
      <c r="AD16" s="33">
        <f>Debt!AD14</f>
        <v/>
      </c>
      <c r="AE16" s="33">
        <f>Debt!AE14</f>
        <v/>
      </c>
      <c r="AF16" s="33">
        <f>Debt!AF14</f>
        <v/>
      </c>
      <c r="AG16" s="33">
        <f>Debt!AG14</f>
        <v/>
      </c>
      <c r="AH16" s="33">
        <f>Debt!AH14</f>
        <v/>
      </c>
      <c r="AI16" s="33">
        <f>Debt!AI14</f>
        <v/>
      </c>
      <c r="AJ16" s="33">
        <f>Debt!AJ14</f>
        <v/>
      </c>
      <c r="AK16" s="33">
        <f>Debt!AK14</f>
        <v/>
      </c>
      <c r="AL16" s="33">
        <f>Debt!AL14</f>
        <v/>
      </c>
      <c r="AM16" s="33">
        <f>Debt!AM14</f>
        <v/>
      </c>
      <c r="AN16" s="33">
        <f>Debt!AN14</f>
        <v/>
      </c>
      <c r="AO16" s="33">
        <f>Debt!AO14</f>
        <v/>
      </c>
      <c r="AP16" s="33">
        <f>Debt!AP14</f>
        <v/>
      </c>
      <c r="AQ16" s="33">
        <f>Debt!AQ14</f>
        <v/>
      </c>
      <c r="AR16" s="33">
        <f>Debt!AR14</f>
        <v/>
      </c>
      <c r="AS16" s="33">
        <f>Debt!AS14</f>
        <v/>
      </c>
    </row>
    <row r="17">
      <c r="B17" t="inlineStr">
        <is>
          <t>Principal repayment</t>
        </is>
      </c>
      <c r="C17" s="55" t="inlineStr">
        <is>
          <t>k£</t>
        </is>
      </c>
      <c r="F17" s="33">
        <f>Debt!F10</f>
        <v/>
      </c>
      <c r="G17" s="33">
        <f>Debt!G10</f>
        <v/>
      </c>
      <c r="H17" s="33">
        <f>Debt!H10</f>
        <v/>
      </c>
      <c r="I17" s="33">
        <f>Debt!I10</f>
        <v/>
      </c>
      <c r="J17" s="33">
        <f>Debt!J10</f>
        <v/>
      </c>
      <c r="K17" s="33">
        <f>Debt!K10</f>
        <v/>
      </c>
      <c r="L17" s="33">
        <f>Debt!L10</f>
        <v/>
      </c>
      <c r="M17" s="33">
        <f>Debt!M10</f>
        <v/>
      </c>
      <c r="N17" s="33">
        <f>Debt!N10</f>
        <v/>
      </c>
      <c r="O17" s="33">
        <f>Debt!O10</f>
        <v/>
      </c>
      <c r="P17" s="33">
        <f>Debt!P10</f>
        <v/>
      </c>
      <c r="Q17" s="33">
        <f>Debt!Q10</f>
        <v/>
      </c>
      <c r="R17" s="33">
        <f>Debt!R10</f>
        <v/>
      </c>
      <c r="S17" s="33">
        <f>Debt!S10</f>
        <v/>
      </c>
      <c r="T17" s="33">
        <f>Debt!T10</f>
        <v/>
      </c>
      <c r="U17" s="33">
        <f>Debt!U10</f>
        <v/>
      </c>
      <c r="V17" s="33">
        <f>Debt!V10</f>
        <v/>
      </c>
      <c r="W17" s="33">
        <f>Debt!W10</f>
        <v/>
      </c>
      <c r="X17" s="33">
        <f>Debt!X10</f>
        <v/>
      </c>
      <c r="Y17" s="33">
        <f>Debt!Y10</f>
        <v/>
      </c>
      <c r="Z17" s="33">
        <f>Debt!Z10</f>
        <v/>
      </c>
      <c r="AA17" s="33">
        <f>Debt!AA10</f>
        <v/>
      </c>
      <c r="AB17" s="33">
        <f>Debt!AB10</f>
        <v/>
      </c>
      <c r="AC17" s="33">
        <f>Debt!AC10</f>
        <v/>
      </c>
      <c r="AD17" s="33">
        <f>Debt!AD10</f>
        <v/>
      </c>
      <c r="AE17" s="33">
        <f>Debt!AE10</f>
        <v/>
      </c>
      <c r="AF17" s="33">
        <f>Debt!AF10</f>
        <v/>
      </c>
      <c r="AG17" s="33">
        <f>Debt!AG10</f>
        <v/>
      </c>
      <c r="AH17" s="33">
        <f>Debt!AH10</f>
        <v/>
      </c>
      <c r="AI17" s="33">
        <f>Debt!AI10</f>
        <v/>
      </c>
      <c r="AJ17" s="33">
        <f>Debt!AJ10</f>
        <v/>
      </c>
      <c r="AK17" s="33">
        <f>Debt!AK10</f>
        <v/>
      </c>
      <c r="AL17" s="33">
        <f>Debt!AL10</f>
        <v/>
      </c>
      <c r="AM17" s="33">
        <f>Debt!AM10</f>
        <v/>
      </c>
      <c r="AN17" s="33">
        <f>Debt!AN10</f>
        <v/>
      </c>
      <c r="AO17" s="33">
        <f>Debt!AO10</f>
        <v/>
      </c>
      <c r="AP17" s="33">
        <f>Debt!AP10</f>
        <v/>
      </c>
      <c r="AQ17" s="33">
        <f>Debt!AQ10</f>
        <v/>
      </c>
      <c r="AR17" s="33">
        <f>Debt!AR10</f>
        <v/>
      </c>
      <c r="AS17" s="33">
        <f>Debt!AS10</f>
        <v/>
      </c>
    </row>
    <row r="19">
      <c r="B19" s="61" t="inlineStr">
        <is>
          <t>Cash Flow Available for Equity</t>
        </is>
      </c>
      <c r="C19" s="66" t="inlineStr">
        <is>
          <t>k£</t>
        </is>
      </c>
      <c r="D19" s="24" t="n"/>
      <c r="E19" s="24" t="n"/>
      <c r="F19" s="65">
        <f>F14+F16+F17</f>
        <v/>
      </c>
      <c r="G19" s="65">
        <f>G14+G16+G17</f>
        <v/>
      </c>
      <c r="H19" s="65">
        <f>H14+H16+H17</f>
        <v/>
      </c>
      <c r="I19" s="65">
        <f>I14+I16+I17</f>
        <v/>
      </c>
      <c r="J19" s="65">
        <f>J14+J16+J17</f>
        <v/>
      </c>
      <c r="K19" s="65">
        <f>K14+K16+K17</f>
        <v/>
      </c>
      <c r="L19" s="65">
        <f>L14+L16+L17</f>
        <v/>
      </c>
      <c r="M19" s="65">
        <f>M14+M16+M17</f>
        <v/>
      </c>
      <c r="N19" s="65">
        <f>N14+N16+N17</f>
        <v/>
      </c>
      <c r="O19" s="65">
        <f>O14+O16+O17</f>
        <v/>
      </c>
      <c r="P19" s="65">
        <f>P14+P16+P17</f>
        <v/>
      </c>
      <c r="Q19" s="65">
        <f>Q14+Q16+Q17</f>
        <v/>
      </c>
      <c r="R19" s="65">
        <f>R14+R16+R17</f>
        <v/>
      </c>
      <c r="S19" s="65">
        <f>S14+S16+S17</f>
        <v/>
      </c>
      <c r="T19" s="65">
        <f>T14+T16+T17</f>
        <v/>
      </c>
      <c r="U19" s="65">
        <f>U14+U16+U17</f>
        <v/>
      </c>
      <c r="V19" s="65">
        <f>V14+V16+V17</f>
        <v/>
      </c>
      <c r="W19" s="65">
        <f>W14+W16+W17</f>
        <v/>
      </c>
      <c r="X19" s="65">
        <f>X14+X16+X17</f>
        <v/>
      </c>
      <c r="Y19" s="65">
        <f>Y14+Y16+Y17</f>
        <v/>
      </c>
      <c r="Z19" s="65">
        <f>Z14+Z16+Z17</f>
        <v/>
      </c>
      <c r="AA19" s="65">
        <f>AA14+AA16+AA17</f>
        <v/>
      </c>
      <c r="AB19" s="65">
        <f>AB14+AB16+AB17</f>
        <v/>
      </c>
      <c r="AC19" s="65">
        <f>AC14+AC16+AC17</f>
        <v/>
      </c>
      <c r="AD19" s="65">
        <f>AD14+AD16+AD17</f>
        <v/>
      </c>
      <c r="AE19" s="65">
        <f>AE14+AE16+AE17</f>
        <v/>
      </c>
      <c r="AF19" s="65">
        <f>AF14+AF16+AF17</f>
        <v/>
      </c>
      <c r="AG19" s="65">
        <f>AG14+AG16+AG17</f>
        <v/>
      </c>
      <c r="AH19" s="65">
        <f>AH14+AH16+AH17</f>
        <v/>
      </c>
      <c r="AI19" s="65">
        <f>AI14+AI16+AI17</f>
        <v/>
      </c>
      <c r="AJ19" s="65">
        <f>AJ14+AJ16+AJ17</f>
        <v/>
      </c>
      <c r="AK19" s="65">
        <f>AK14+AK16+AK17</f>
        <v/>
      </c>
      <c r="AL19" s="65">
        <f>AL14+AL16+AL17</f>
        <v/>
      </c>
      <c r="AM19" s="65">
        <f>AM14+AM16+AM17</f>
        <v/>
      </c>
      <c r="AN19" s="65">
        <f>AN14+AN16+AN17</f>
        <v/>
      </c>
      <c r="AO19" s="65">
        <f>AO14+AO16+AO17</f>
        <v/>
      </c>
      <c r="AP19" s="65">
        <f>AP14+AP16+AP17</f>
        <v/>
      </c>
      <c r="AQ19" s="65">
        <f>AQ14+AQ16+AQ17</f>
        <v/>
      </c>
      <c r="AR19" s="65">
        <f>AR14+AR16+AR17</f>
        <v/>
      </c>
      <c r="AS19" s="65">
        <f>AS14+AS16+AS17</f>
        <v/>
      </c>
    </row>
    <row r="21">
      <c r="B21" t="inlineStr">
        <is>
          <t>Dividends</t>
        </is>
      </c>
      <c r="C21" s="55" t="inlineStr">
        <is>
          <t>k£</t>
        </is>
      </c>
      <c r="F21" s="33">
        <f>-MIN(MAX('Input Assumptions'!$D$45*'P&amp;L'!F25,0),MAX(F19+E25,0))</f>
        <v/>
      </c>
      <c r="G21" s="33">
        <f>-MIN(MAX('Input Assumptions'!$D$45*'P&amp;L'!G25,0),MAX(G19+F25,0))</f>
        <v/>
      </c>
      <c r="H21" s="33">
        <f>-MIN(MAX('Input Assumptions'!$D$45*'P&amp;L'!H25,0),MAX(H19+G25,0))</f>
        <v/>
      </c>
      <c r="I21" s="33">
        <f>-MIN(MAX('Input Assumptions'!$D$45*'P&amp;L'!I25,0),MAX(I19+H25,0))</f>
        <v/>
      </c>
      <c r="J21" s="33">
        <f>-MIN(MAX('Input Assumptions'!$D$45*'P&amp;L'!J25,0),MAX(J19+I25,0))</f>
        <v/>
      </c>
      <c r="K21" s="33">
        <f>-MIN(MAX('Input Assumptions'!$D$45*'P&amp;L'!K25,0),MAX(K19+J25,0))</f>
        <v/>
      </c>
      <c r="L21" s="33">
        <f>-MIN(MAX('Input Assumptions'!$D$45*'P&amp;L'!L25,0),MAX(L19+K25,0))</f>
        <v/>
      </c>
      <c r="M21" s="33">
        <f>-MIN(MAX('Input Assumptions'!$D$45*'P&amp;L'!M25,0),MAX(M19+L25,0))</f>
        <v/>
      </c>
      <c r="N21" s="33">
        <f>-MIN(MAX('Input Assumptions'!$D$45*'P&amp;L'!N25,0),MAX(N19+M25,0))</f>
        <v/>
      </c>
      <c r="O21" s="33">
        <f>-MIN(MAX('Input Assumptions'!$D$45*'P&amp;L'!O25,0),MAX(O19+N25,0))</f>
        <v/>
      </c>
      <c r="P21" s="33">
        <f>-MIN(MAX('Input Assumptions'!$D$45*'P&amp;L'!P25,0),MAX(P19+O25,0))</f>
        <v/>
      </c>
      <c r="Q21" s="33">
        <f>-MIN(MAX('Input Assumptions'!$D$45*'P&amp;L'!Q25,0),MAX(Q19+P25,0))</f>
        <v/>
      </c>
      <c r="R21" s="33">
        <f>-MIN(MAX('Input Assumptions'!$D$45*'P&amp;L'!R25,0),MAX(R19+Q25,0))</f>
        <v/>
      </c>
      <c r="S21" s="33">
        <f>-MIN(MAX('Input Assumptions'!$D$45*'P&amp;L'!S25,0),MAX(S19+R25,0))</f>
        <v/>
      </c>
      <c r="T21" s="33">
        <f>-MIN(MAX('Input Assumptions'!$D$45*'P&amp;L'!T25,0),MAX(T19+S25,0))</f>
        <v/>
      </c>
      <c r="U21" s="33">
        <f>-MIN(MAX('Input Assumptions'!$D$45*'P&amp;L'!U25,0),MAX(U19+T25,0))</f>
        <v/>
      </c>
      <c r="V21" s="33">
        <f>-MIN(MAX('Input Assumptions'!$D$45*'P&amp;L'!V25,0),MAX(V19+U25,0))</f>
        <v/>
      </c>
      <c r="W21" s="33">
        <f>-MIN(MAX('Input Assumptions'!$D$45*'P&amp;L'!W25,0),MAX(W19+V25,0))</f>
        <v/>
      </c>
      <c r="X21" s="33">
        <f>-MIN(MAX('Input Assumptions'!$D$45*'P&amp;L'!X25,0),MAX(X19+W25,0))</f>
        <v/>
      </c>
      <c r="Y21" s="33">
        <f>-MIN(MAX('Input Assumptions'!$D$45*'P&amp;L'!Y25,0),MAX(Y19+X25,0))</f>
        <v/>
      </c>
      <c r="Z21" s="33">
        <f>-MIN(MAX('Input Assumptions'!$D$45*'P&amp;L'!Z25,0),MAX(Z19+Y25,0))</f>
        <v/>
      </c>
      <c r="AA21" s="33">
        <f>-MIN(MAX('Input Assumptions'!$D$45*'P&amp;L'!AA25,0),MAX(AA19+Z25,0))</f>
        <v/>
      </c>
      <c r="AB21" s="33">
        <f>-MIN(MAX('Input Assumptions'!$D$45*'P&amp;L'!AB25,0),MAX(AB19+AA25,0))</f>
        <v/>
      </c>
      <c r="AC21" s="33">
        <f>-MIN(MAX('Input Assumptions'!$D$45*'P&amp;L'!AC25,0),MAX(AC19+AB25,0))</f>
        <v/>
      </c>
      <c r="AD21" s="33">
        <f>-MIN(MAX('Input Assumptions'!$D$45*'P&amp;L'!AD25,0),MAX(AD19+AC25,0))</f>
        <v/>
      </c>
      <c r="AE21" s="33">
        <f>-MIN(MAX('Input Assumptions'!$D$45*'P&amp;L'!AE25,0),MAX(AE19+AD25,0))</f>
        <v/>
      </c>
      <c r="AF21" s="33">
        <f>-MIN(MAX('Input Assumptions'!$D$45*'P&amp;L'!AF25,0),MAX(AF19+AE25,0))</f>
        <v/>
      </c>
      <c r="AG21" s="33">
        <f>-MIN(MAX('Input Assumptions'!$D$45*'P&amp;L'!AG25,0),MAX(AG19+AF25,0))</f>
        <v/>
      </c>
      <c r="AH21" s="33">
        <f>-MIN(MAX('Input Assumptions'!$D$45*'P&amp;L'!AH25,0),MAX(AH19+AG25,0))</f>
        <v/>
      </c>
      <c r="AI21" s="33">
        <f>-MIN(MAX('Input Assumptions'!$D$45*'P&amp;L'!AI25,0),MAX(AI19+AH25,0))</f>
        <v/>
      </c>
      <c r="AJ21" s="33">
        <f>-MIN(MAX('Input Assumptions'!$D$45*'P&amp;L'!AJ25,0),MAX(AJ19+AI25,0))</f>
        <v/>
      </c>
      <c r="AK21" s="33">
        <f>-MIN(MAX('Input Assumptions'!$D$45*'P&amp;L'!AK25,0),MAX(AK19+AJ25,0))</f>
        <v/>
      </c>
      <c r="AL21" s="33">
        <f>-MIN(MAX('Input Assumptions'!$D$45*'P&amp;L'!AL25,0),MAX(AL19+AK25,0))</f>
        <v/>
      </c>
      <c r="AM21" s="33">
        <f>-MIN(MAX('Input Assumptions'!$D$45*'P&amp;L'!AM25,0),MAX(AM19+AL25,0))</f>
        <v/>
      </c>
      <c r="AN21" s="33">
        <f>-MIN(MAX('Input Assumptions'!$D$45*'P&amp;L'!AN25,0),MAX(AN19+AM25,0))</f>
        <v/>
      </c>
      <c r="AO21" s="33">
        <f>-MIN(MAX('Input Assumptions'!$D$45*'P&amp;L'!AO25,0),MAX(AO19+AN25,0))</f>
        <v/>
      </c>
      <c r="AP21" s="33">
        <f>-MIN(MAX('Input Assumptions'!$D$45*'P&amp;L'!AP25,0),MAX(AP19+AO25,0))</f>
        <v/>
      </c>
      <c r="AQ21" s="33">
        <f>-MIN(MAX('Input Assumptions'!$D$45*'P&amp;L'!AQ25,0),MAX(AQ19+AP25,0))</f>
        <v/>
      </c>
      <c r="AR21" s="33">
        <f>-MIN(MAX('Input Assumptions'!$D$45*'P&amp;L'!AR25,0),MAX(AR19+AQ25,0))</f>
        <v/>
      </c>
      <c r="AS21" s="33">
        <f>-MIN(MAX('Input Assumptions'!$D$45*'P&amp;L'!AS25,0),MAX(AS19+AR25,0))</f>
        <v/>
      </c>
    </row>
    <row r="23">
      <c r="B23" t="inlineStr">
        <is>
          <t>Net Cash Flow</t>
        </is>
      </c>
      <c r="C23" s="55" t="inlineStr">
        <is>
          <t>k£</t>
        </is>
      </c>
      <c r="F23" s="33">
        <f>F19+F21</f>
        <v/>
      </c>
      <c r="G23" s="33">
        <f>G19+G21</f>
        <v/>
      </c>
      <c r="H23" s="33">
        <f>H19+H21</f>
        <v/>
      </c>
      <c r="I23" s="33">
        <f>I19+I21</f>
        <v/>
      </c>
      <c r="J23" s="33">
        <f>J19+J21</f>
        <v/>
      </c>
      <c r="K23" s="33">
        <f>K19+K21</f>
        <v/>
      </c>
      <c r="L23" s="33">
        <f>L19+L21</f>
        <v/>
      </c>
      <c r="M23" s="33">
        <f>M19+M21</f>
        <v/>
      </c>
      <c r="N23" s="33">
        <f>N19+N21</f>
        <v/>
      </c>
      <c r="O23" s="33">
        <f>O19+O21</f>
        <v/>
      </c>
      <c r="P23" s="33">
        <f>P19+P21</f>
        <v/>
      </c>
      <c r="Q23" s="33">
        <f>Q19+Q21</f>
        <v/>
      </c>
      <c r="R23" s="33">
        <f>R19+R21</f>
        <v/>
      </c>
      <c r="S23" s="33">
        <f>S19+S21</f>
        <v/>
      </c>
      <c r="T23" s="33">
        <f>T19+T21</f>
        <v/>
      </c>
      <c r="U23" s="33">
        <f>U19+U21</f>
        <v/>
      </c>
      <c r="V23" s="33">
        <f>V19+V21</f>
        <v/>
      </c>
      <c r="W23" s="33">
        <f>W19+W21</f>
        <v/>
      </c>
      <c r="X23" s="33">
        <f>X19+X21</f>
        <v/>
      </c>
      <c r="Y23" s="33">
        <f>Y19+Y21</f>
        <v/>
      </c>
      <c r="Z23" s="33">
        <f>Z19+Z21</f>
        <v/>
      </c>
      <c r="AA23" s="33">
        <f>AA19+AA21</f>
        <v/>
      </c>
      <c r="AB23" s="33">
        <f>AB19+AB21</f>
        <v/>
      </c>
      <c r="AC23" s="33">
        <f>AC19+AC21</f>
        <v/>
      </c>
      <c r="AD23" s="33">
        <f>AD19+AD21</f>
        <v/>
      </c>
      <c r="AE23" s="33">
        <f>AE19+AE21</f>
        <v/>
      </c>
      <c r="AF23" s="33">
        <f>AF19+AF21</f>
        <v/>
      </c>
      <c r="AG23" s="33">
        <f>AG19+AG21</f>
        <v/>
      </c>
      <c r="AH23" s="33">
        <f>AH19+AH21</f>
        <v/>
      </c>
      <c r="AI23" s="33">
        <f>AI19+AI21</f>
        <v/>
      </c>
      <c r="AJ23" s="33">
        <f>AJ19+AJ21</f>
        <v/>
      </c>
      <c r="AK23" s="33">
        <f>AK19+AK21</f>
        <v/>
      </c>
      <c r="AL23" s="33">
        <f>AL19+AL21</f>
        <v/>
      </c>
      <c r="AM23" s="33">
        <f>AM19+AM21</f>
        <v/>
      </c>
      <c r="AN23" s="33">
        <f>AN19+AN21</f>
        <v/>
      </c>
      <c r="AO23" s="33">
        <f>AO19+AO21</f>
        <v/>
      </c>
      <c r="AP23" s="33">
        <f>AP19+AP21</f>
        <v/>
      </c>
      <c r="AQ23" s="33">
        <f>AQ19+AQ21</f>
        <v/>
      </c>
      <c r="AR23" s="33">
        <f>AR19+AR21</f>
        <v/>
      </c>
      <c r="AS23" s="33">
        <f>AS19+AS21</f>
        <v/>
      </c>
    </row>
    <row r="25">
      <c r="B25" t="inlineStr">
        <is>
          <t>Cash in hands</t>
        </is>
      </c>
      <c r="C25" s="55" t="inlineStr">
        <is>
          <t>k£</t>
        </is>
      </c>
      <c r="F25" s="33">
        <f>E25+F23</f>
        <v/>
      </c>
      <c r="G25" s="33">
        <f>F25+G23</f>
        <v/>
      </c>
      <c r="H25" s="33">
        <f>G25+H23</f>
        <v/>
      </c>
      <c r="I25" s="33">
        <f>H25+I23</f>
        <v/>
      </c>
      <c r="J25" s="33">
        <f>I25+J23</f>
        <v/>
      </c>
      <c r="K25" s="33">
        <f>J25+K23</f>
        <v/>
      </c>
      <c r="L25" s="33">
        <f>K25+L23</f>
        <v/>
      </c>
      <c r="M25" s="33">
        <f>L25+M23</f>
        <v/>
      </c>
      <c r="N25" s="33">
        <f>M25+N23</f>
        <v/>
      </c>
      <c r="O25" s="33">
        <f>N25+O23</f>
        <v/>
      </c>
      <c r="P25" s="33">
        <f>O25+P23</f>
        <v/>
      </c>
      <c r="Q25" s="33">
        <f>P25+Q23</f>
        <v/>
      </c>
      <c r="R25" s="33">
        <f>Q25+R23</f>
        <v/>
      </c>
      <c r="S25" s="33">
        <f>R25+S23</f>
        <v/>
      </c>
      <c r="T25" s="33">
        <f>S25+T23</f>
        <v/>
      </c>
      <c r="U25" s="33">
        <f>T25+U23</f>
        <v/>
      </c>
      <c r="V25" s="33">
        <f>U25+V23</f>
        <v/>
      </c>
      <c r="W25" s="33">
        <f>V25+W23</f>
        <v/>
      </c>
      <c r="X25" s="33">
        <f>W25+X23</f>
        <v/>
      </c>
      <c r="Y25" s="33">
        <f>X25+Y23</f>
        <v/>
      </c>
      <c r="Z25" s="33">
        <f>Y25+Z23</f>
        <v/>
      </c>
      <c r="AA25" s="33">
        <f>Z25+AA23</f>
        <v/>
      </c>
      <c r="AB25" s="33">
        <f>AA25+AB23</f>
        <v/>
      </c>
      <c r="AC25" s="33">
        <f>AB25+AC23</f>
        <v/>
      </c>
      <c r="AD25" s="33">
        <f>AC25+AD23</f>
        <v/>
      </c>
      <c r="AE25" s="33">
        <f>AD25+AE23</f>
        <v/>
      </c>
      <c r="AF25" s="33">
        <f>AE25+AF23</f>
        <v/>
      </c>
      <c r="AG25" s="33">
        <f>AF25+AG23</f>
        <v/>
      </c>
      <c r="AH25" s="33">
        <f>AG25+AH23</f>
        <v/>
      </c>
      <c r="AI25" s="33">
        <f>AH25+AI23</f>
        <v/>
      </c>
      <c r="AJ25" s="33">
        <f>AI25+AJ23</f>
        <v/>
      </c>
      <c r="AK25" s="33">
        <f>AJ25+AK23</f>
        <v/>
      </c>
      <c r="AL25" s="33">
        <f>AK25+AL23</f>
        <v/>
      </c>
      <c r="AM25" s="33">
        <f>AL25+AM23</f>
        <v/>
      </c>
      <c r="AN25" s="33">
        <f>AM25+AN23</f>
        <v/>
      </c>
      <c r="AO25" s="33">
        <f>AN25+AO23</f>
        <v/>
      </c>
      <c r="AP25" s="33">
        <f>AO25+AP23</f>
        <v/>
      </c>
      <c r="AQ25" s="33">
        <f>AP25+AQ23</f>
        <v/>
      </c>
      <c r="AR25" s="33">
        <f>AQ25+AR23</f>
        <v/>
      </c>
      <c r="AS25" s="33">
        <f>AR25+AS23</f>
        <v/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3:AT19"/>
  <sheetViews>
    <sheetView showGridLines="0" zoomScaleNormal="100" workbookViewId="0">
      <pane xSplit="5" topLeftCell="AH1" activePane="topRight" state="frozen"/>
      <selection pane="topRight" activeCell="A6" sqref="A6:XFD6"/>
    </sheetView>
  </sheetViews>
  <sheetFormatPr baseColWidth="8" defaultColWidth="0" defaultRowHeight="14.45"/>
  <cols>
    <col width="9" customWidth="1" min="1" max="1"/>
    <col width="29.7109375" customWidth="1" min="2" max="2"/>
    <col width="9" customWidth="1" min="3" max="3"/>
    <col width="5.7109375" customWidth="1" min="4" max="4"/>
    <col width="10.85546875" customWidth="1" min="5" max="5"/>
    <col width="9" customWidth="1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  <c r="AT3" s="9" t="n"/>
    </row>
    <row r="6" ht="17.65" customHeight="1">
      <c r="B6" s="29" t="inlineStr">
        <is>
          <t>Balance Sheet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  <c r="AT6" s="9" t="n"/>
    </row>
    <row r="8">
      <c r="B8" t="inlineStr">
        <is>
          <t>Asset</t>
        </is>
      </c>
      <c r="C8" s="55" t="inlineStr">
        <is>
          <t>k£</t>
        </is>
      </c>
      <c r="F8" s="33">
        <f>Amortization!E10</f>
        <v/>
      </c>
      <c r="G8" s="33">
        <f>Amortization!F10</f>
        <v/>
      </c>
      <c r="H8" s="33">
        <f>Amortization!G10</f>
        <v/>
      </c>
      <c r="I8" s="33">
        <f>Amortization!H10</f>
        <v/>
      </c>
      <c r="J8" s="33">
        <f>Amortization!I10</f>
        <v/>
      </c>
      <c r="K8" s="33">
        <f>Amortization!J10</f>
        <v/>
      </c>
      <c r="L8" s="33">
        <f>Amortization!K10</f>
        <v/>
      </c>
      <c r="M8" s="33">
        <f>Amortization!L10</f>
        <v/>
      </c>
      <c r="N8" s="33">
        <f>Amortization!M10</f>
        <v/>
      </c>
      <c r="O8" s="33">
        <f>Amortization!N10</f>
        <v/>
      </c>
      <c r="P8" s="33">
        <f>Amortization!O10</f>
        <v/>
      </c>
      <c r="Q8" s="33">
        <f>Amortization!P10</f>
        <v/>
      </c>
      <c r="R8" s="33">
        <f>Amortization!Q10</f>
        <v/>
      </c>
      <c r="S8" s="33">
        <f>Amortization!R10</f>
        <v/>
      </c>
      <c r="T8" s="33">
        <f>Amortization!S10</f>
        <v/>
      </c>
      <c r="U8" s="33">
        <f>Amortization!T10</f>
        <v/>
      </c>
      <c r="V8" s="33">
        <f>Amortization!U10</f>
        <v/>
      </c>
      <c r="W8" s="33">
        <f>Amortization!V10</f>
        <v/>
      </c>
      <c r="X8" s="33">
        <f>Amortization!W10</f>
        <v/>
      </c>
      <c r="Y8" s="33">
        <f>Amortization!X10</f>
        <v/>
      </c>
      <c r="Z8" s="33">
        <f>Amortization!Y10</f>
        <v/>
      </c>
      <c r="AA8" s="33">
        <f>Amortization!Z10</f>
        <v/>
      </c>
      <c r="AB8" s="33">
        <f>Amortization!AA10</f>
        <v/>
      </c>
      <c r="AC8" s="33">
        <f>Amortization!AB10</f>
        <v/>
      </c>
      <c r="AD8" s="33">
        <f>Amortization!AC10</f>
        <v/>
      </c>
      <c r="AE8" s="33">
        <f>Amortization!AD10</f>
        <v/>
      </c>
      <c r="AF8" s="33">
        <f>Amortization!AE10</f>
        <v/>
      </c>
      <c r="AG8" s="33">
        <f>Amortization!AF10</f>
        <v/>
      </c>
      <c r="AH8" s="33">
        <f>Amortization!AG10</f>
        <v/>
      </c>
      <c r="AI8" s="33">
        <f>Amortization!AH10</f>
        <v/>
      </c>
      <c r="AJ8" s="33">
        <f>Amortization!AI10</f>
        <v/>
      </c>
      <c r="AK8" s="33">
        <f>Amortization!AJ10</f>
        <v/>
      </c>
      <c r="AL8" s="33">
        <f>Amortization!AK10</f>
        <v/>
      </c>
      <c r="AM8" s="33">
        <f>Amortization!AL10</f>
        <v/>
      </c>
      <c r="AN8" s="33">
        <f>Amortization!AM10</f>
        <v/>
      </c>
      <c r="AO8" s="33">
        <f>Amortization!AN10</f>
        <v/>
      </c>
      <c r="AP8" s="33">
        <f>Amortization!AO10</f>
        <v/>
      </c>
      <c r="AQ8" s="33">
        <f>Amortization!AP10</f>
        <v/>
      </c>
      <c r="AR8" s="33">
        <f>Amortization!AQ10</f>
        <v/>
      </c>
      <c r="AS8" s="33">
        <f>Amortization!AR10</f>
        <v/>
      </c>
    </row>
    <row r="9">
      <c r="B9" t="inlineStr">
        <is>
          <t>Cash in hand</t>
        </is>
      </c>
      <c r="C9" s="55" t="inlineStr">
        <is>
          <t>k£</t>
        </is>
      </c>
      <c r="F9" s="33">
        <f>CFS!F25</f>
        <v/>
      </c>
      <c r="G9" s="33">
        <f>CFS!G25</f>
        <v/>
      </c>
      <c r="H9" s="33">
        <f>CFS!H25</f>
        <v/>
      </c>
      <c r="I9" s="33">
        <f>CFS!I25</f>
        <v/>
      </c>
      <c r="J9" s="33">
        <f>CFS!J25</f>
        <v/>
      </c>
      <c r="K9" s="33">
        <f>CFS!K25</f>
        <v/>
      </c>
      <c r="L9" s="33">
        <f>CFS!L25</f>
        <v/>
      </c>
      <c r="M9" s="33">
        <f>CFS!M25</f>
        <v/>
      </c>
      <c r="N9" s="33">
        <f>CFS!N25</f>
        <v/>
      </c>
      <c r="O9" s="33">
        <f>CFS!O25</f>
        <v/>
      </c>
      <c r="P9" s="33">
        <f>CFS!P25</f>
        <v/>
      </c>
      <c r="Q9" s="33">
        <f>CFS!Q25</f>
        <v/>
      </c>
      <c r="R9" s="33">
        <f>CFS!R25</f>
        <v/>
      </c>
      <c r="S9" s="33">
        <f>CFS!S25</f>
        <v/>
      </c>
      <c r="T9" s="33">
        <f>CFS!T25</f>
        <v/>
      </c>
      <c r="U9" s="33">
        <f>CFS!U25</f>
        <v/>
      </c>
      <c r="V9" s="33">
        <f>CFS!V25</f>
        <v/>
      </c>
      <c r="W9" s="33">
        <f>CFS!W25</f>
        <v/>
      </c>
      <c r="X9" s="33">
        <f>CFS!X25</f>
        <v/>
      </c>
      <c r="Y9" s="33">
        <f>CFS!Y25</f>
        <v/>
      </c>
      <c r="Z9" s="33">
        <f>CFS!Z25</f>
        <v/>
      </c>
      <c r="AA9" s="33">
        <f>CFS!AA25</f>
        <v/>
      </c>
      <c r="AB9" s="33">
        <f>CFS!AB25</f>
        <v/>
      </c>
      <c r="AC9" s="33">
        <f>CFS!AC25</f>
        <v/>
      </c>
      <c r="AD9" s="33">
        <f>CFS!AD25</f>
        <v/>
      </c>
      <c r="AE9" s="33">
        <f>CFS!AE25</f>
        <v/>
      </c>
      <c r="AF9" s="33">
        <f>CFS!AF25</f>
        <v/>
      </c>
      <c r="AG9" s="33">
        <f>CFS!AG25</f>
        <v/>
      </c>
      <c r="AH9" s="33">
        <f>CFS!AH25</f>
        <v/>
      </c>
      <c r="AI9" s="33">
        <f>CFS!AI25</f>
        <v/>
      </c>
      <c r="AJ9" s="33">
        <f>CFS!AJ25</f>
        <v/>
      </c>
      <c r="AK9" s="33">
        <f>CFS!AK25</f>
        <v/>
      </c>
      <c r="AL9" s="33">
        <f>CFS!AL25</f>
        <v/>
      </c>
      <c r="AM9" s="33">
        <f>CFS!AM25</f>
        <v/>
      </c>
      <c r="AN9" s="33">
        <f>CFS!AN25</f>
        <v/>
      </c>
      <c r="AO9" s="33">
        <f>CFS!AO25</f>
        <v/>
      </c>
      <c r="AP9" s="33">
        <f>CFS!AP25</f>
        <v/>
      </c>
      <c r="AQ9" s="33">
        <f>CFS!AQ25</f>
        <v/>
      </c>
      <c r="AR9" s="33">
        <f>CFS!AR25</f>
        <v/>
      </c>
      <c r="AS9" s="33">
        <f>CFS!AS25</f>
        <v/>
      </c>
    </row>
    <row r="10">
      <c r="B10" s="31" t="inlineStr">
        <is>
          <t>Total</t>
        </is>
      </c>
      <c r="C10" s="51" t="inlineStr">
        <is>
          <t>k£</t>
        </is>
      </c>
      <c r="D10" s="31" t="n"/>
      <c r="E10" s="31" t="n"/>
      <c r="F10" s="35">
        <f>SUM(F8:F9)</f>
        <v/>
      </c>
      <c r="G10" s="35">
        <f>SUM(G8:G9)</f>
        <v/>
      </c>
      <c r="H10" s="35">
        <f>SUM(H8:H9)</f>
        <v/>
      </c>
      <c r="I10" s="35">
        <f>SUM(I8:I9)</f>
        <v/>
      </c>
      <c r="J10" s="35">
        <f>SUM(J8:J9)</f>
        <v/>
      </c>
      <c r="K10" s="35">
        <f>SUM(K8:K9)</f>
        <v/>
      </c>
      <c r="L10" s="35">
        <f>SUM(L8:L9)</f>
        <v/>
      </c>
      <c r="M10" s="35">
        <f>SUM(M8:M9)</f>
        <v/>
      </c>
      <c r="N10" s="35">
        <f>SUM(N8:N9)</f>
        <v/>
      </c>
      <c r="O10" s="35">
        <f>SUM(O8:O9)</f>
        <v/>
      </c>
      <c r="P10" s="35">
        <f>SUM(P8:P9)</f>
        <v/>
      </c>
      <c r="Q10" s="35">
        <f>SUM(Q8:Q9)</f>
        <v/>
      </c>
      <c r="R10" s="35">
        <f>SUM(R8:R9)</f>
        <v/>
      </c>
      <c r="S10" s="35">
        <f>SUM(S8:S9)</f>
        <v/>
      </c>
      <c r="T10" s="35">
        <f>SUM(T8:T9)</f>
        <v/>
      </c>
      <c r="U10" s="35">
        <f>SUM(U8:U9)</f>
        <v/>
      </c>
      <c r="V10" s="35">
        <f>SUM(V8:V9)</f>
        <v/>
      </c>
      <c r="W10" s="35">
        <f>SUM(W8:W9)</f>
        <v/>
      </c>
      <c r="X10" s="35">
        <f>SUM(X8:X9)</f>
        <v/>
      </c>
      <c r="Y10" s="35">
        <f>SUM(Y8:Y9)</f>
        <v/>
      </c>
      <c r="Z10" s="35">
        <f>SUM(Z8:Z9)</f>
        <v/>
      </c>
      <c r="AA10" s="35">
        <f>SUM(AA8:AA9)</f>
        <v/>
      </c>
      <c r="AB10" s="35">
        <f>SUM(AB8:AB9)</f>
        <v/>
      </c>
      <c r="AC10" s="35">
        <f>SUM(AC8:AC9)</f>
        <v/>
      </c>
      <c r="AD10" s="35">
        <f>SUM(AD8:AD9)</f>
        <v/>
      </c>
      <c r="AE10" s="35">
        <f>SUM(AE8:AE9)</f>
        <v/>
      </c>
      <c r="AF10" s="35">
        <f>SUM(AF8:AF9)</f>
        <v/>
      </c>
      <c r="AG10" s="35">
        <f>SUM(AG8:AG9)</f>
        <v/>
      </c>
      <c r="AH10" s="35">
        <f>SUM(AH8:AH9)</f>
        <v/>
      </c>
      <c r="AI10" s="35">
        <f>SUM(AI8:AI9)</f>
        <v/>
      </c>
      <c r="AJ10" s="35">
        <f>SUM(AJ8:AJ9)</f>
        <v/>
      </c>
      <c r="AK10" s="35">
        <f>SUM(AK8:AK9)</f>
        <v/>
      </c>
      <c r="AL10" s="35">
        <f>SUM(AL8:AL9)</f>
        <v/>
      </c>
      <c r="AM10" s="35">
        <f>SUM(AM8:AM9)</f>
        <v/>
      </c>
      <c r="AN10" s="35">
        <f>SUM(AN8:AN9)</f>
        <v/>
      </c>
      <c r="AO10" s="35">
        <f>SUM(AO8:AO9)</f>
        <v/>
      </c>
      <c r="AP10" s="35">
        <f>SUM(AP8:AP9)</f>
        <v/>
      </c>
      <c r="AQ10" s="35">
        <f>SUM(AQ8:AQ9)</f>
        <v/>
      </c>
      <c r="AR10" s="35">
        <f>SUM(AR8:AR9)</f>
        <v/>
      </c>
      <c r="AS10" s="35">
        <f>SUM(AS8:AS9)</f>
        <v/>
      </c>
    </row>
    <row r="11"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</row>
    <row r="12"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</row>
    <row r="13">
      <c r="B13" t="inlineStr">
        <is>
          <t>Equity</t>
        </is>
      </c>
      <c r="C13" s="55" t="inlineStr">
        <is>
          <t>k£</t>
        </is>
      </c>
      <c r="F13" s="33">
        <f>SUM(Construction!$E$26:E26)</f>
        <v/>
      </c>
      <c r="G13" s="33">
        <f>SUM(Construction!$E$26:F26)</f>
        <v/>
      </c>
      <c r="H13" s="33">
        <f>SUM(Construction!$E$26:G26)</f>
        <v/>
      </c>
      <c r="I13" s="33">
        <f>SUM(Construction!$E$26:H26)</f>
        <v/>
      </c>
      <c r="J13" s="33">
        <f>SUM(Construction!$E$26:I26)</f>
        <v/>
      </c>
      <c r="K13" s="33">
        <f>SUM(Construction!$E$26:J26)</f>
        <v/>
      </c>
      <c r="L13" s="33">
        <f>SUM(Construction!$E$26:K26)</f>
        <v/>
      </c>
      <c r="M13" s="33">
        <f>SUM(Construction!$E$26:L26)</f>
        <v/>
      </c>
      <c r="N13" s="33">
        <f>SUM(Construction!$E$26:M26)</f>
        <v/>
      </c>
      <c r="O13" s="33">
        <f>SUM(Construction!$E$26:N26)</f>
        <v/>
      </c>
      <c r="P13" s="33">
        <f>SUM(Construction!$E$26:O26)</f>
        <v/>
      </c>
      <c r="Q13" s="33">
        <f>SUM(Construction!$E$26:P26)</f>
        <v/>
      </c>
      <c r="R13" s="33">
        <f>SUM(Construction!$E$26:Q26)</f>
        <v/>
      </c>
      <c r="S13" s="33">
        <f>SUM(Construction!$E$26:R26)</f>
        <v/>
      </c>
      <c r="T13" s="33">
        <f>SUM(Construction!$E$26:S26)</f>
        <v/>
      </c>
      <c r="U13" s="33">
        <f>SUM(Construction!$E$26:T26)</f>
        <v/>
      </c>
      <c r="V13" s="33">
        <f>SUM(Construction!$E$26:U26)</f>
        <v/>
      </c>
      <c r="W13" s="33">
        <f>SUM(Construction!$E$26:V26)</f>
        <v/>
      </c>
      <c r="X13" s="33">
        <f>SUM(Construction!$E$26:W26)</f>
        <v/>
      </c>
      <c r="Y13" s="33">
        <f>SUM(Construction!$E$26:X26)</f>
        <v/>
      </c>
      <c r="Z13" s="33">
        <f>SUM(Construction!$E$26:Y26)</f>
        <v/>
      </c>
      <c r="AA13" s="33">
        <f>SUM(Construction!$E$26:Z26)</f>
        <v/>
      </c>
      <c r="AB13" s="33">
        <f>SUM(Construction!$E$26:AA26)</f>
        <v/>
      </c>
      <c r="AC13" s="33">
        <f>SUM(Construction!$E$26:AB26)</f>
        <v/>
      </c>
      <c r="AD13" s="33">
        <f>SUM(Construction!$E$26:AC26)</f>
        <v/>
      </c>
      <c r="AE13" s="33">
        <f>SUM(Construction!$E$26:AD26)</f>
        <v/>
      </c>
      <c r="AF13" s="33">
        <f>SUM(Construction!$E$26:AE26)</f>
        <v/>
      </c>
      <c r="AG13" s="33">
        <f>SUM(Construction!$E$26:AF26)</f>
        <v/>
      </c>
      <c r="AH13" s="33">
        <f>SUM(Construction!$E$26:AG26)</f>
        <v/>
      </c>
      <c r="AI13" s="33">
        <f>SUM(Construction!$E$26:AH26)</f>
        <v/>
      </c>
      <c r="AJ13" s="33">
        <f>SUM(Construction!$E$26:AI26)</f>
        <v/>
      </c>
      <c r="AK13" s="33">
        <f>SUM(Construction!$E$26:AJ26)</f>
        <v/>
      </c>
      <c r="AL13" s="33">
        <f>SUM(Construction!$E$26:AK26)</f>
        <v/>
      </c>
      <c r="AM13" s="33">
        <f>SUM(Construction!$E$26:AL26)</f>
        <v/>
      </c>
      <c r="AN13" s="33">
        <f>SUM(Construction!$E$26:AM26)</f>
        <v/>
      </c>
      <c r="AO13" s="33">
        <f>SUM(Construction!$E$26:AN26)</f>
        <v/>
      </c>
      <c r="AP13" s="33">
        <f>SUM(Construction!$E$26:AO26)</f>
        <v/>
      </c>
      <c r="AQ13" s="33">
        <f>SUM(Construction!$E$26:AP26)</f>
        <v/>
      </c>
      <c r="AR13" s="33">
        <f>SUM(Construction!$E$26:AQ26)</f>
        <v/>
      </c>
      <c r="AS13" s="33">
        <f>SUM(Construction!$E$26:AR26)</f>
        <v/>
      </c>
    </row>
    <row r="14">
      <c r="B14" t="inlineStr">
        <is>
          <t>Retained Earnings</t>
        </is>
      </c>
      <c r="C14" s="55" t="inlineStr">
        <is>
          <t>k£</t>
        </is>
      </c>
      <c r="F14" s="33">
        <f>'P&amp;L'!F25+CFS!F21+'Balance Sheet'!E14</f>
        <v/>
      </c>
      <c r="G14" s="33">
        <f>'P&amp;L'!G25+CFS!G21+'Balance Sheet'!F14</f>
        <v/>
      </c>
      <c r="H14" s="33">
        <f>'P&amp;L'!H25+CFS!H21+'Balance Sheet'!G14</f>
        <v/>
      </c>
      <c r="I14" s="33">
        <f>'P&amp;L'!I25+CFS!I21+'Balance Sheet'!H14</f>
        <v/>
      </c>
      <c r="J14" s="33">
        <f>'P&amp;L'!J25+CFS!J21+'Balance Sheet'!I14</f>
        <v/>
      </c>
      <c r="K14" s="33">
        <f>'P&amp;L'!K25+CFS!K21+'Balance Sheet'!J14</f>
        <v/>
      </c>
      <c r="L14" s="33">
        <f>'P&amp;L'!L25+CFS!L21+'Balance Sheet'!K14</f>
        <v/>
      </c>
      <c r="M14" s="33">
        <f>'P&amp;L'!M25+CFS!M21+'Balance Sheet'!L14</f>
        <v/>
      </c>
      <c r="N14" s="33">
        <f>'P&amp;L'!N25+CFS!N21+'Balance Sheet'!M14</f>
        <v/>
      </c>
      <c r="O14" s="33">
        <f>'P&amp;L'!O25+CFS!O21+'Balance Sheet'!N14</f>
        <v/>
      </c>
      <c r="P14" s="33">
        <f>'P&amp;L'!P25+CFS!P21+'Balance Sheet'!O14</f>
        <v/>
      </c>
      <c r="Q14" s="33">
        <f>'P&amp;L'!Q25+CFS!Q21+'Balance Sheet'!P14</f>
        <v/>
      </c>
      <c r="R14" s="33">
        <f>'P&amp;L'!R25+CFS!R21+'Balance Sheet'!Q14</f>
        <v/>
      </c>
      <c r="S14" s="33">
        <f>'P&amp;L'!S25+CFS!S21+'Balance Sheet'!R14</f>
        <v/>
      </c>
      <c r="T14" s="33">
        <f>'P&amp;L'!T25+CFS!T21+'Balance Sheet'!S14</f>
        <v/>
      </c>
      <c r="U14" s="33">
        <f>'P&amp;L'!U25+CFS!U21+'Balance Sheet'!T14</f>
        <v/>
      </c>
      <c r="V14" s="33">
        <f>'P&amp;L'!V25+CFS!V21+'Balance Sheet'!U14</f>
        <v/>
      </c>
      <c r="W14" s="33">
        <f>'P&amp;L'!W25+CFS!W21+'Balance Sheet'!V14</f>
        <v/>
      </c>
      <c r="X14" s="33">
        <f>'P&amp;L'!X25+CFS!X21+'Balance Sheet'!W14</f>
        <v/>
      </c>
      <c r="Y14" s="33">
        <f>'P&amp;L'!Y25+CFS!Y21+'Balance Sheet'!X14</f>
        <v/>
      </c>
      <c r="Z14" s="33">
        <f>'P&amp;L'!Z25+CFS!Z21+'Balance Sheet'!Y14</f>
        <v/>
      </c>
      <c r="AA14" s="33">
        <f>'P&amp;L'!AA25+CFS!AA21+'Balance Sheet'!Z14</f>
        <v/>
      </c>
      <c r="AB14" s="33">
        <f>'P&amp;L'!AB25+CFS!AB21+'Balance Sheet'!AA14</f>
        <v/>
      </c>
      <c r="AC14" s="33">
        <f>'P&amp;L'!AC25+CFS!AC21+'Balance Sheet'!AB14</f>
        <v/>
      </c>
      <c r="AD14" s="33">
        <f>'P&amp;L'!AD25+CFS!AD21+'Balance Sheet'!AC14</f>
        <v/>
      </c>
      <c r="AE14" s="33">
        <f>'P&amp;L'!AE25+CFS!AE21+'Balance Sheet'!AD14</f>
        <v/>
      </c>
      <c r="AF14" s="33">
        <f>'P&amp;L'!AF25+CFS!AF21+'Balance Sheet'!AE14</f>
        <v/>
      </c>
      <c r="AG14" s="33">
        <f>'P&amp;L'!AG25+CFS!AG21+'Balance Sheet'!AF14</f>
        <v/>
      </c>
      <c r="AH14" s="33">
        <f>'P&amp;L'!AH25+CFS!AH21+'Balance Sheet'!AG14</f>
        <v/>
      </c>
      <c r="AI14" s="33">
        <f>'P&amp;L'!AI25+CFS!AI21+'Balance Sheet'!AH14</f>
        <v/>
      </c>
      <c r="AJ14" s="33">
        <f>'P&amp;L'!AJ25+CFS!AJ21+'Balance Sheet'!AI14</f>
        <v/>
      </c>
      <c r="AK14" s="33">
        <f>'P&amp;L'!AK25+CFS!AK21+'Balance Sheet'!AJ14</f>
        <v/>
      </c>
      <c r="AL14" s="33">
        <f>'P&amp;L'!AL25+CFS!AL21+'Balance Sheet'!AK14</f>
        <v/>
      </c>
      <c r="AM14" s="33">
        <f>'P&amp;L'!AM25+CFS!AM21+'Balance Sheet'!AL14</f>
        <v/>
      </c>
      <c r="AN14" s="33">
        <f>'P&amp;L'!AN25+CFS!AN21+'Balance Sheet'!AM14</f>
        <v/>
      </c>
      <c r="AO14" s="33">
        <f>'P&amp;L'!AO25+CFS!AO21+'Balance Sheet'!AN14</f>
        <v/>
      </c>
      <c r="AP14" s="33">
        <f>'P&amp;L'!AP25+CFS!AP21+'Balance Sheet'!AO14</f>
        <v/>
      </c>
      <c r="AQ14" s="33">
        <f>'P&amp;L'!AQ25+CFS!AQ21+'Balance Sheet'!AP14</f>
        <v/>
      </c>
      <c r="AR14" s="33">
        <f>'P&amp;L'!AR25+CFS!AR21+'Balance Sheet'!AQ14</f>
        <v/>
      </c>
      <c r="AS14" s="33">
        <f>'P&amp;L'!AS25+CFS!AS21+'Balance Sheet'!AR14</f>
        <v/>
      </c>
    </row>
    <row r="15">
      <c r="B15" t="inlineStr">
        <is>
          <t>Debt</t>
        </is>
      </c>
      <c r="C15" s="55" t="inlineStr">
        <is>
          <t>k£</t>
        </is>
      </c>
      <c r="F15" s="33">
        <f>Debt!F11</f>
        <v/>
      </c>
      <c r="G15" s="33">
        <f>Debt!G11</f>
        <v/>
      </c>
      <c r="H15" s="33">
        <f>Debt!H11</f>
        <v/>
      </c>
      <c r="I15" s="33">
        <f>Debt!I11</f>
        <v/>
      </c>
      <c r="J15" s="33">
        <f>Debt!J11</f>
        <v/>
      </c>
      <c r="K15" s="33">
        <f>Debt!K11</f>
        <v/>
      </c>
      <c r="L15" s="33">
        <f>Debt!L11</f>
        <v/>
      </c>
      <c r="M15" s="33">
        <f>Debt!M11</f>
        <v/>
      </c>
      <c r="N15" s="33">
        <f>Debt!N11</f>
        <v/>
      </c>
      <c r="O15" s="33">
        <f>Debt!O11</f>
        <v/>
      </c>
      <c r="P15" s="33">
        <f>Debt!P11</f>
        <v/>
      </c>
      <c r="Q15" s="33">
        <f>Debt!Q11</f>
        <v/>
      </c>
      <c r="R15" s="33">
        <f>Debt!R11</f>
        <v/>
      </c>
      <c r="S15" s="33">
        <f>Debt!S11</f>
        <v/>
      </c>
      <c r="T15" s="33">
        <f>Debt!T11</f>
        <v/>
      </c>
      <c r="U15" s="33">
        <f>Debt!U11</f>
        <v/>
      </c>
      <c r="V15" s="33">
        <f>Debt!V11</f>
        <v/>
      </c>
      <c r="W15" s="33">
        <f>Debt!W11</f>
        <v/>
      </c>
      <c r="X15" s="33">
        <f>Debt!X11</f>
        <v/>
      </c>
      <c r="Y15" s="33">
        <f>Debt!Y11</f>
        <v/>
      </c>
      <c r="Z15" s="33">
        <f>Debt!Z11</f>
        <v/>
      </c>
      <c r="AA15" s="33">
        <f>Debt!AA11</f>
        <v/>
      </c>
      <c r="AB15" s="33">
        <f>Debt!AB11</f>
        <v/>
      </c>
      <c r="AC15" s="33">
        <f>Debt!AC11</f>
        <v/>
      </c>
      <c r="AD15" s="33">
        <f>Debt!AD11</f>
        <v/>
      </c>
      <c r="AE15" s="33">
        <f>Debt!AE11</f>
        <v/>
      </c>
      <c r="AF15" s="33">
        <f>Debt!AF11</f>
        <v/>
      </c>
      <c r="AG15" s="33">
        <f>Debt!AG11</f>
        <v/>
      </c>
      <c r="AH15" s="33">
        <f>Debt!AH11</f>
        <v/>
      </c>
      <c r="AI15" s="33">
        <f>Debt!AI11</f>
        <v/>
      </c>
      <c r="AJ15" s="33">
        <f>Debt!AJ11</f>
        <v/>
      </c>
      <c r="AK15" s="33">
        <f>Debt!AK11</f>
        <v/>
      </c>
      <c r="AL15" s="33">
        <f>Debt!AL11</f>
        <v/>
      </c>
      <c r="AM15" s="33">
        <f>Debt!AM11</f>
        <v/>
      </c>
      <c r="AN15" s="33">
        <f>Debt!AN11</f>
        <v/>
      </c>
      <c r="AO15" s="33">
        <f>Debt!AO11</f>
        <v/>
      </c>
      <c r="AP15" s="33">
        <f>Debt!AP11</f>
        <v/>
      </c>
      <c r="AQ15" s="33">
        <f>Debt!AQ11</f>
        <v/>
      </c>
      <c r="AR15" s="33">
        <f>Debt!AR11</f>
        <v/>
      </c>
      <c r="AS15" s="33">
        <f>Debt!AS11</f>
        <v/>
      </c>
    </row>
    <row r="16">
      <c r="B16" s="31" t="inlineStr">
        <is>
          <t>Total</t>
        </is>
      </c>
      <c r="C16" s="51" t="inlineStr">
        <is>
          <t>k£</t>
        </is>
      </c>
      <c r="D16" s="31" t="n"/>
      <c r="E16" s="31" t="n"/>
      <c r="F16" s="35">
        <f>SUM(F13:F15)</f>
        <v/>
      </c>
      <c r="G16" s="35">
        <f>SUM(G13:G15)</f>
        <v/>
      </c>
      <c r="H16" s="35">
        <f>SUM(H13:H15)</f>
        <v/>
      </c>
      <c r="I16" s="35">
        <f>SUM(I13:I15)</f>
        <v/>
      </c>
      <c r="J16" s="35">
        <f>SUM(J13:J15)</f>
        <v/>
      </c>
      <c r="K16" s="35">
        <f>SUM(K13:K15)</f>
        <v/>
      </c>
      <c r="L16" s="35">
        <f>SUM(L13:L15)</f>
        <v/>
      </c>
      <c r="M16" s="35">
        <f>SUM(M13:M15)</f>
        <v/>
      </c>
      <c r="N16" s="35">
        <f>SUM(N13:N15)</f>
        <v/>
      </c>
      <c r="O16" s="35">
        <f>SUM(O13:O15)</f>
        <v/>
      </c>
      <c r="P16" s="35">
        <f>SUM(P13:P15)</f>
        <v/>
      </c>
      <c r="Q16" s="35">
        <f>SUM(Q13:Q15)</f>
        <v/>
      </c>
      <c r="R16" s="35">
        <f>SUM(R13:R15)</f>
        <v/>
      </c>
      <c r="S16" s="35">
        <f>SUM(S13:S15)</f>
        <v/>
      </c>
      <c r="T16" s="35">
        <f>SUM(T13:T15)</f>
        <v/>
      </c>
      <c r="U16" s="35">
        <f>SUM(U13:U15)</f>
        <v/>
      </c>
      <c r="V16" s="35">
        <f>SUM(V13:V15)</f>
        <v/>
      </c>
      <c r="W16" s="35">
        <f>SUM(W13:W15)</f>
        <v/>
      </c>
      <c r="X16" s="35">
        <f>SUM(X13:X15)</f>
        <v/>
      </c>
      <c r="Y16" s="35">
        <f>SUM(Y13:Y15)</f>
        <v/>
      </c>
      <c r="Z16" s="35">
        <f>SUM(Z13:Z15)</f>
        <v/>
      </c>
      <c r="AA16" s="35">
        <f>SUM(AA13:AA15)</f>
        <v/>
      </c>
      <c r="AB16" s="35">
        <f>SUM(AB13:AB15)</f>
        <v/>
      </c>
      <c r="AC16" s="35">
        <f>SUM(AC13:AC15)</f>
        <v/>
      </c>
      <c r="AD16" s="35">
        <f>SUM(AD13:AD15)</f>
        <v/>
      </c>
      <c r="AE16" s="35">
        <f>SUM(AE13:AE15)</f>
        <v/>
      </c>
      <c r="AF16" s="35">
        <f>SUM(AF13:AF15)</f>
        <v/>
      </c>
      <c r="AG16" s="35">
        <f>SUM(AG13:AG15)</f>
        <v/>
      </c>
      <c r="AH16" s="35">
        <f>SUM(AH13:AH15)</f>
        <v/>
      </c>
      <c r="AI16" s="35">
        <f>SUM(AI13:AI15)</f>
        <v/>
      </c>
      <c r="AJ16" s="35">
        <f>SUM(AJ13:AJ15)</f>
        <v/>
      </c>
      <c r="AK16" s="35">
        <f>SUM(AK13:AK15)</f>
        <v/>
      </c>
      <c r="AL16" s="35">
        <f>SUM(AL13:AL15)</f>
        <v/>
      </c>
      <c r="AM16" s="35">
        <f>SUM(AM13:AM15)</f>
        <v/>
      </c>
      <c r="AN16" s="35">
        <f>SUM(AN13:AN15)</f>
        <v/>
      </c>
      <c r="AO16" s="35">
        <f>SUM(AO13:AO15)</f>
        <v/>
      </c>
      <c r="AP16" s="35">
        <f>SUM(AP13:AP15)</f>
        <v/>
      </c>
      <c r="AQ16" s="35">
        <f>SUM(AQ13:AQ15)</f>
        <v/>
      </c>
      <c r="AR16" s="35">
        <f>SUM(AR13:AR15)</f>
        <v/>
      </c>
      <c r="AS16" s="35">
        <f>SUM(AS13:AS15)</f>
        <v/>
      </c>
    </row>
    <row r="17"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</row>
    <row r="18"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</row>
    <row r="19">
      <c r="E19" s="20" t="inlineStr">
        <is>
          <t>CHECK</t>
        </is>
      </c>
      <c r="F19" s="67">
        <f>F10-F16&lt;0.01</f>
        <v/>
      </c>
      <c r="G19" s="67">
        <f>G10-G16&lt;0.01</f>
        <v/>
      </c>
      <c r="H19" s="67">
        <f>H10-H16&lt;0.01</f>
        <v/>
      </c>
      <c r="I19" s="67">
        <f>I10-I16&lt;0.01</f>
        <v/>
      </c>
      <c r="J19" s="67">
        <f>J10-J16&lt;0.01</f>
        <v/>
      </c>
      <c r="K19" s="67">
        <f>K10-K16&lt;0.01</f>
        <v/>
      </c>
      <c r="L19" s="67">
        <f>L10-L16&lt;0.01</f>
        <v/>
      </c>
      <c r="M19" s="67">
        <f>M10-M16&lt;0.01</f>
        <v/>
      </c>
      <c r="N19" s="67">
        <f>N10-N16&lt;0.01</f>
        <v/>
      </c>
      <c r="O19" s="67">
        <f>O10-O16&lt;0.01</f>
        <v/>
      </c>
      <c r="P19" s="67">
        <f>P10-P16&lt;0.01</f>
        <v/>
      </c>
      <c r="Q19" s="67">
        <f>Q10-Q16&lt;0.01</f>
        <v/>
      </c>
      <c r="R19" s="67">
        <f>R10-R16&lt;0.01</f>
        <v/>
      </c>
      <c r="S19" s="67">
        <f>S10-S16&lt;0.01</f>
        <v/>
      </c>
      <c r="T19" s="67">
        <f>T10-T16&lt;0.01</f>
        <v/>
      </c>
      <c r="U19" s="67">
        <f>U10-U16&lt;0.01</f>
        <v/>
      </c>
      <c r="V19" s="67">
        <f>V10-V16&lt;0.01</f>
        <v/>
      </c>
      <c r="W19" s="67">
        <f>W10-W16&lt;0.01</f>
        <v/>
      </c>
      <c r="X19" s="67">
        <f>X10-X16&lt;0.01</f>
        <v/>
      </c>
      <c r="Y19" s="67">
        <f>Y10-Y16&lt;0.01</f>
        <v/>
      </c>
      <c r="Z19" s="67">
        <f>Z10-Z16&lt;0.01</f>
        <v/>
      </c>
      <c r="AA19" s="67">
        <f>AA10-AA16&lt;0.01</f>
        <v/>
      </c>
      <c r="AB19" s="67">
        <f>AB10-AB16&lt;0.01</f>
        <v/>
      </c>
      <c r="AC19" s="67">
        <f>AC10-AC16&lt;0.01</f>
        <v/>
      </c>
      <c r="AD19" s="67">
        <f>AD10-AD16&lt;0.01</f>
        <v/>
      </c>
      <c r="AE19" s="67">
        <f>AE10-AE16&lt;0.01</f>
        <v/>
      </c>
      <c r="AF19" s="67">
        <f>AF10-AF16&lt;0.01</f>
        <v/>
      </c>
      <c r="AG19" s="67">
        <f>AG10-AG16&lt;0.01</f>
        <v/>
      </c>
      <c r="AH19" s="67">
        <f>AH10-AH16&lt;0.01</f>
        <v/>
      </c>
      <c r="AI19" s="67">
        <f>AI10-AI16&lt;0.01</f>
        <v/>
      </c>
      <c r="AJ19" s="67">
        <f>AJ10-AJ16&lt;0.01</f>
        <v/>
      </c>
      <c r="AK19" s="67">
        <f>AK10-AK16&lt;0.01</f>
        <v/>
      </c>
      <c r="AL19" s="67">
        <f>AL10-AL16&lt;0.01</f>
        <v/>
      </c>
      <c r="AM19" s="67">
        <f>AM10-AM16&lt;0.01</f>
        <v/>
      </c>
      <c r="AN19" s="67">
        <f>AN10-AN16&lt;0.01</f>
        <v/>
      </c>
      <c r="AO19" s="67">
        <f>AO10-AO16&lt;0.01</f>
        <v/>
      </c>
      <c r="AP19" s="67">
        <f>AP10-AP16&lt;0.01</f>
        <v/>
      </c>
      <c r="AQ19" s="67">
        <f>AQ10-AQ16&lt;0.01</f>
        <v/>
      </c>
      <c r="AR19" s="67">
        <f>AR10-AR16&lt;0.01</f>
        <v/>
      </c>
      <c r="AS19" s="68">
        <f>AS10-AS16&lt;0.01</f>
        <v/>
      </c>
    </row>
  </sheetData>
  <conditionalFormatting sqref="F19:AS19">
    <cfRule type="cellIs" priority="1" operator="equal" dxfId="1">
      <formula>FALSE</formula>
    </cfRule>
    <cfRule type="cellIs" priority="2" operator="equal" dxfId="1">
      <formula>FALSE</formula>
    </cfRule>
    <cfRule type="cellIs" priority="3" operator="equal" dxfId="0">
      <formula>TRUE</formula>
    </cfRule>
  </conditionalFormatting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3:AS29"/>
  <sheetViews>
    <sheetView showGridLines="0" workbookViewId="0">
      <pane xSplit="5" topLeftCell="F1" activePane="topRight" state="frozen"/>
      <selection pane="topRight" activeCell="I29" sqref="I29"/>
    </sheetView>
  </sheetViews>
  <sheetFormatPr baseColWidth="8" defaultColWidth="0" defaultRowHeight="14.45"/>
  <cols>
    <col width="9" customWidth="1" min="1" max="1"/>
    <col width="25.85546875" customWidth="1" min="2" max="2"/>
    <col width="9" customWidth="1" min="3" max="3"/>
    <col width="3.28515625" customWidth="1" min="4" max="4"/>
    <col width="12.7109375" customWidth="1" min="5" max="5"/>
    <col width="9" customWidth="1" style="9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</row>
    <row r="6" ht="17.65" customHeight="1">
      <c r="B6" s="29" t="inlineStr">
        <is>
          <t>Project IRR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8">
      <c r="B8" t="inlineStr">
        <is>
          <t>CAPEX (incl. SPV costs)</t>
        </is>
      </c>
      <c r="C8" s="9" t="inlineStr">
        <is>
          <t>k£</t>
        </is>
      </c>
      <c r="F8" s="33">
        <f>-Construction!E12</f>
        <v/>
      </c>
      <c r="G8" s="33">
        <f>-Construction!F12</f>
        <v/>
      </c>
      <c r="H8" s="33">
        <f>-Construction!G12</f>
        <v/>
      </c>
      <c r="I8" s="33">
        <f>-Construction!H12</f>
        <v/>
      </c>
      <c r="J8" s="33">
        <f>-Construction!I12</f>
        <v/>
      </c>
      <c r="K8" s="33">
        <f>-Construction!J12</f>
        <v/>
      </c>
      <c r="L8" s="33">
        <f>-Construction!K12</f>
        <v/>
      </c>
      <c r="M8" s="33">
        <f>-Construction!L12</f>
        <v/>
      </c>
      <c r="N8" s="33">
        <f>-Construction!M12</f>
        <v/>
      </c>
      <c r="O8" s="33">
        <f>-Construction!N12</f>
        <v/>
      </c>
      <c r="P8" s="33">
        <f>-Construction!O12</f>
        <v/>
      </c>
      <c r="Q8" s="33">
        <f>-Construction!P12</f>
        <v/>
      </c>
      <c r="R8" s="33">
        <f>-Construction!Q12</f>
        <v/>
      </c>
      <c r="S8" s="33">
        <f>-Construction!R12</f>
        <v/>
      </c>
      <c r="T8" s="33">
        <f>-Construction!S12</f>
        <v/>
      </c>
      <c r="U8" s="33">
        <f>-Construction!T12</f>
        <v/>
      </c>
      <c r="V8" s="33">
        <f>-Construction!U12</f>
        <v/>
      </c>
      <c r="W8" s="33">
        <f>-Construction!V12</f>
        <v/>
      </c>
      <c r="X8" s="33">
        <f>-Construction!W12</f>
        <v/>
      </c>
      <c r="Y8" s="33">
        <f>-Construction!X12</f>
        <v/>
      </c>
      <c r="Z8" s="33">
        <f>-Construction!Y12</f>
        <v/>
      </c>
      <c r="AA8" s="33">
        <f>-Construction!Z12</f>
        <v/>
      </c>
      <c r="AB8" s="33">
        <f>-Construction!AA12</f>
        <v/>
      </c>
      <c r="AC8" s="33">
        <f>-Construction!AB12</f>
        <v/>
      </c>
      <c r="AD8" s="33">
        <f>-Construction!AC12</f>
        <v/>
      </c>
      <c r="AE8" s="33">
        <f>-Construction!AD12</f>
        <v/>
      </c>
      <c r="AF8" s="33">
        <f>-Construction!AE12</f>
        <v/>
      </c>
      <c r="AG8" s="33">
        <f>-Construction!AF12</f>
        <v/>
      </c>
      <c r="AH8" s="33">
        <f>-Construction!AG12</f>
        <v/>
      </c>
      <c r="AI8" s="33">
        <f>-Construction!AH12</f>
        <v/>
      </c>
      <c r="AJ8" s="33">
        <f>-Construction!AI12</f>
        <v/>
      </c>
      <c r="AK8" s="33">
        <f>-Construction!AJ12</f>
        <v/>
      </c>
      <c r="AL8" s="33">
        <f>-Construction!AK12</f>
        <v/>
      </c>
      <c r="AM8" s="33">
        <f>-Construction!AL12</f>
        <v/>
      </c>
      <c r="AN8" s="33">
        <f>-Construction!AM12</f>
        <v/>
      </c>
      <c r="AO8" s="33">
        <f>-Construction!AN12</f>
        <v/>
      </c>
      <c r="AP8" s="33">
        <f>-Construction!AO12</f>
        <v/>
      </c>
      <c r="AQ8" s="33">
        <f>-Construction!AP12</f>
        <v/>
      </c>
      <c r="AR8" s="33">
        <f>-Construction!AQ12</f>
        <v/>
      </c>
      <c r="AS8" s="33">
        <f>-Construction!AR12</f>
        <v/>
      </c>
    </row>
    <row r="9">
      <c r="B9" t="inlineStr">
        <is>
          <t>Arrangement fee</t>
        </is>
      </c>
      <c r="C9" s="9" t="inlineStr">
        <is>
          <t>k£</t>
        </is>
      </c>
      <c r="F9" s="33">
        <f>-Construction!E13</f>
        <v/>
      </c>
      <c r="G9" s="33">
        <f>-Construction!F13</f>
        <v/>
      </c>
      <c r="H9" s="33">
        <f>-Construction!G13</f>
        <v/>
      </c>
      <c r="I9" s="33">
        <f>-Construction!H13</f>
        <v/>
      </c>
      <c r="J9" s="33">
        <f>-Construction!I13</f>
        <v/>
      </c>
      <c r="K9" s="33">
        <f>-Construction!J13</f>
        <v/>
      </c>
      <c r="L9" s="33">
        <f>-Construction!K13</f>
        <v/>
      </c>
      <c r="M9" s="33">
        <f>-Construction!L13</f>
        <v/>
      </c>
      <c r="N9" s="33">
        <f>-Construction!M13</f>
        <v/>
      </c>
      <c r="O9" s="33">
        <f>-Construction!N13</f>
        <v/>
      </c>
      <c r="P9" s="33">
        <f>-Construction!O13</f>
        <v/>
      </c>
      <c r="Q9" s="33">
        <f>-Construction!P13</f>
        <v/>
      </c>
      <c r="R9" s="33">
        <f>-Construction!Q13</f>
        <v/>
      </c>
      <c r="S9" s="33">
        <f>-Construction!R13</f>
        <v/>
      </c>
      <c r="T9" s="33">
        <f>-Construction!S13</f>
        <v/>
      </c>
      <c r="U9" s="33">
        <f>-Construction!T13</f>
        <v/>
      </c>
      <c r="V9" s="33">
        <f>-Construction!U13</f>
        <v/>
      </c>
      <c r="W9" s="33">
        <f>-Construction!V13</f>
        <v/>
      </c>
      <c r="X9" s="33">
        <f>-Construction!W13</f>
        <v/>
      </c>
      <c r="Y9" s="33">
        <f>-Construction!X13</f>
        <v/>
      </c>
      <c r="Z9" s="33">
        <f>-Construction!Y13</f>
        <v/>
      </c>
      <c r="AA9" s="33">
        <f>-Construction!Z13</f>
        <v/>
      </c>
      <c r="AB9" s="33">
        <f>-Construction!AA13</f>
        <v/>
      </c>
      <c r="AC9" s="33">
        <f>-Construction!AB13</f>
        <v/>
      </c>
      <c r="AD9" s="33">
        <f>-Construction!AC13</f>
        <v/>
      </c>
      <c r="AE9" s="33">
        <f>-Construction!AD13</f>
        <v/>
      </c>
      <c r="AF9" s="33">
        <f>-Construction!AE13</f>
        <v/>
      </c>
      <c r="AG9" s="33">
        <f>-Construction!AF13</f>
        <v/>
      </c>
      <c r="AH9" s="33">
        <f>-Construction!AG13</f>
        <v/>
      </c>
      <c r="AI9" s="33">
        <f>-Construction!AH13</f>
        <v/>
      </c>
      <c r="AJ9" s="33">
        <f>-Construction!AI13</f>
        <v/>
      </c>
      <c r="AK9" s="33">
        <f>-Construction!AJ13</f>
        <v/>
      </c>
      <c r="AL9" s="33">
        <f>-Construction!AK13</f>
        <v/>
      </c>
      <c r="AM9" s="33">
        <f>-Construction!AL13</f>
        <v/>
      </c>
      <c r="AN9" s="33">
        <f>-Construction!AM13</f>
        <v/>
      </c>
      <c r="AO9" s="33">
        <f>-Construction!AN13</f>
        <v/>
      </c>
      <c r="AP9" s="33">
        <f>-Construction!AO13</f>
        <v/>
      </c>
      <c r="AQ9" s="33">
        <f>-Construction!AP13</f>
        <v/>
      </c>
      <c r="AR9" s="33">
        <f>-Construction!AQ13</f>
        <v/>
      </c>
      <c r="AS9" s="33">
        <f>-Construction!AR13</f>
        <v/>
      </c>
    </row>
    <row r="10">
      <c r="B10" t="inlineStr">
        <is>
          <t xml:space="preserve">Engagement fee </t>
        </is>
      </c>
      <c r="C10" s="9" t="inlineStr">
        <is>
          <t>k£</t>
        </is>
      </c>
      <c r="F10" s="33">
        <f>-Construction!E14</f>
        <v/>
      </c>
      <c r="G10" s="33">
        <f>-Construction!F14</f>
        <v/>
      </c>
      <c r="H10" s="33">
        <f>-Construction!G14</f>
        <v/>
      </c>
      <c r="I10" s="33">
        <f>-Construction!H14</f>
        <v/>
      </c>
      <c r="J10" s="33">
        <f>-Construction!I14</f>
        <v/>
      </c>
      <c r="K10" s="33">
        <f>-Construction!J14</f>
        <v/>
      </c>
      <c r="L10" s="33">
        <f>-Construction!K14</f>
        <v/>
      </c>
      <c r="M10" s="33">
        <f>-Construction!L14</f>
        <v/>
      </c>
      <c r="N10" s="33">
        <f>-Construction!M14</f>
        <v/>
      </c>
      <c r="O10" s="33">
        <f>-Construction!N14</f>
        <v/>
      </c>
      <c r="P10" s="33">
        <f>-Construction!O14</f>
        <v/>
      </c>
      <c r="Q10" s="33">
        <f>-Construction!P14</f>
        <v/>
      </c>
      <c r="R10" s="33">
        <f>-Construction!Q14</f>
        <v/>
      </c>
      <c r="S10" s="33">
        <f>-Construction!R14</f>
        <v/>
      </c>
      <c r="T10" s="33">
        <f>-Construction!S14</f>
        <v/>
      </c>
      <c r="U10" s="33">
        <f>-Construction!T14</f>
        <v/>
      </c>
      <c r="V10" s="33">
        <f>-Construction!U14</f>
        <v/>
      </c>
      <c r="W10" s="33">
        <f>-Construction!V14</f>
        <v/>
      </c>
      <c r="X10" s="33">
        <f>-Construction!W14</f>
        <v/>
      </c>
      <c r="Y10" s="33">
        <f>-Construction!X14</f>
        <v/>
      </c>
      <c r="Z10" s="33">
        <f>-Construction!Y14</f>
        <v/>
      </c>
      <c r="AA10" s="33">
        <f>-Construction!Z14</f>
        <v/>
      </c>
      <c r="AB10" s="33">
        <f>-Construction!AA14</f>
        <v/>
      </c>
      <c r="AC10" s="33">
        <f>-Construction!AB14</f>
        <v/>
      </c>
      <c r="AD10" s="33">
        <f>-Construction!AC14</f>
        <v/>
      </c>
      <c r="AE10" s="33">
        <f>-Construction!AD14</f>
        <v/>
      </c>
      <c r="AF10" s="33">
        <f>-Construction!AE14</f>
        <v/>
      </c>
      <c r="AG10" s="33">
        <f>-Construction!AF14</f>
        <v/>
      </c>
      <c r="AH10" s="33">
        <f>-Construction!AG14</f>
        <v/>
      </c>
      <c r="AI10" s="33">
        <f>-Construction!AH14</f>
        <v/>
      </c>
      <c r="AJ10" s="33">
        <f>-Construction!AI14</f>
        <v/>
      </c>
      <c r="AK10" s="33">
        <f>-Construction!AJ14</f>
        <v/>
      </c>
      <c r="AL10" s="33">
        <f>-Construction!AK14</f>
        <v/>
      </c>
      <c r="AM10" s="33">
        <f>-Construction!AL14</f>
        <v/>
      </c>
      <c r="AN10" s="33">
        <f>-Construction!AM14</f>
        <v/>
      </c>
      <c r="AO10" s="33">
        <f>-Construction!AN14</f>
        <v/>
      </c>
      <c r="AP10" s="33">
        <f>-Construction!AO14</f>
        <v/>
      </c>
      <c r="AQ10" s="33">
        <f>-Construction!AP14</f>
        <v/>
      </c>
      <c r="AR10" s="33">
        <f>-Construction!AQ14</f>
        <v/>
      </c>
      <c r="AS10" s="33">
        <f>-Construction!AR14</f>
        <v/>
      </c>
    </row>
    <row r="11">
      <c r="B11" t="inlineStr">
        <is>
          <t>Capitalized Interests</t>
        </is>
      </c>
      <c r="C11" s="9" t="inlineStr">
        <is>
          <t>k£</t>
        </is>
      </c>
      <c r="F11" s="33">
        <f>-Construction!E15</f>
        <v/>
      </c>
      <c r="G11" s="33">
        <f>-Construction!F15</f>
        <v/>
      </c>
      <c r="H11" s="33">
        <f>-Construction!G15</f>
        <v/>
      </c>
      <c r="I11" s="33">
        <f>-Construction!H15</f>
        <v/>
      </c>
      <c r="J11" s="33">
        <f>-Construction!I15</f>
        <v/>
      </c>
      <c r="K11" s="33">
        <f>-Construction!J15</f>
        <v/>
      </c>
      <c r="L11" s="33">
        <f>-Construction!K15</f>
        <v/>
      </c>
      <c r="M11" s="33">
        <f>-Construction!L15</f>
        <v/>
      </c>
      <c r="N11" s="33">
        <f>-Construction!M15</f>
        <v/>
      </c>
      <c r="O11" s="33">
        <f>-Construction!N15</f>
        <v/>
      </c>
      <c r="P11" s="33">
        <f>-Construction!O15</f>
        <v/>
      </c>
      <c r="Q11" s="33">
        <f>-Construction!P15</f>
        <v/>
      </c>
      <c r="R11" s="33">
        <f>-Construction!Q15</f>
        <v/>
      </c>
      <c r="S11" s="33">
        <f>-Construction!R15</f>
        <v/>
      </c>
      <c r="T11" s="33">
        <f>-Construction!S15</f>
        <v/>
      </c>
      <c r="U11" s="33">
        <f>-Construction!T15</f>
        <v/>
      </c>
      <c r="V11" s="33">
        <f>-Construction!U15</f>
        <v/>
      </c>
      <c r="W11" s="33">
        <f>-Construction!V15</f>
        <v/>
      </c>
      <c r="X11" s="33">
        <f>-Construction!W15</f>
        <v/>
      </c>
      <c r="Y11" s="33">
        <f>-Construction!X15</f>
        <v/>
      </c>
      <c r="Z11" s="33">
        <f>-Construction!Y15</f>
        <v/>
      </c>
      <c r="AA11" s="33">
        <f>-Construction!Z15</f>
        <v/>
      </c>
      <c r="AB11" s="33">
        <f>-Construction!AA15</f>
        <v/>
      </c>
      <c r="AC11" s="33">
        <f>-Construction!AB15</f>
        <v/>
      </c>
      <c r="AD11" s="33">
        <f>-Construction!AC15</f>
        <v/>
      </c>
      <c r="AE11" s="33">
        <f>-Construction!AD15</f>
        <v/>
      </c>
      <c r="AF11" s="33">
        <f>-Construction!AE15</f>
        <v/>
      </c>
      <c r="AG11" s="33">
        <f>-Construction!AF15</f>
        <v/>
      </c>
      <c r="AH11" s="33">
        <f>-Construction!AG15</f>
        <v/>
      </c>
      <c r="AI11" s="33">
        <f>-Construction!AH15</f>
        <v/>
      </c>
      <c r="AJ11" s="33">
        <f>-Construction!AI15</f>
        <v/>
      </c>
      <c r="AK11" s="33">
        <f>-Construction!AJ15</f>
        <v/>
      </c>
      <c r="AL11" s="33">
        <f>-Construction!AK15</f>
        <v/>
      </c>
      <c r="AM11" s="33">
        <f>-Construction!AL15</f>
        <v/>
      </c>
      <c r="AN11" s="33">
        <f>-Construction!AM15</f>
        <v/>
      </c>
      <c r="AO11" s="33">
        <f>-Construction!AN15</f>
        <v/>
      </c>
      <c r="AP11" s="33">
        <f>-Construction!AO15</f>
        <v/>
      </c>
      <c r="AQ11" s="33">
        <f>-Construction!AP15</f>
        <v/>
      </c>
      <c r="AR11" s="33">
        <f>-Construction!AQ15</f>
        <v/>
      </c>
      <c r="AS11" s="33">
        <f>-Construction!AR15</f>
        <v/>
      </c>
    </row>
    <row r="12">
      <c r="B12" s="30" t="inlineStr">
        <is>
          <t>Total Investment</t>
        </is>
      </c>
      <c r="C12" s="69" t="inlineStr">
        <is>
          <t>k£</t>
        </is>
      </c>
      <c r="D12" s="70" t="n"/>
      <c r="E12" s="75">
        <f>SUM(F12:AS12)</f>
        <v/>
      </c>
      <c r="F12" s="75">
        <f>SUM(F8:F11)</f>
        <v/>
      </c>
      <c r="G12" s="75">
        <f>SUM(G8:G11)</f>
        <v/>
      </c>
      <c r="H12" s="75">
        <f>SUM(H8:H11)</f>
        <v/>
      </c>
      <c r="I12" s="75">
        <f>SUM(I8:I11)</f>
        <v/>
      </c>
      <c r="J12" s="75">
        <f>SUM(J8:J11)</f>
        <v/>
      </c>
      <c r="K12" s="75">
        <f>SUM(K8:K11)</f>
        <v/>
      </c>
      <c r="L12" s="75">
        <f>SUM(L8:L11)</f>
        <v/>
      </c>
      <c r="M12" s="75">
        <f>SUM(M8:M11)</f>
        <v/>
      </c>
      <c r="N12" s="75">
        <f>SUM(N8:N11)</f>
        <v/>
      </c>
      <c r="O12" s="75">
        <f>SUM(O8:O11)</f>
        <v/>
      </c>
      <c r="P12" s="75">
        <f>SUM(P8:P11)</f>
        <v/>
      </c>
      <c r="Q12" s="75">
        <f>SUM(Q8:Q11)</f>
        <v/>
      </c>
      <c r="R12" s="75">
        <f>SUM(R8:R11)</f>
        <v/>
      </c>
      <c r="S12" s="75">
        <f>SUM(S8:S11)</f>
        <v/>
      </c>
      <c r="T12" s="75">
        <f>SUM(T8:T11)</f>
        <v/>
      </c>
      <c r="U12" s="75">
        <f>SUM(U8:U11)</f>
        <v/>
      </c>
      <c r="V12" s="75">
        <f>SUM(V8:V11)</f>
        <v/>
      </c>
      <c r="W12" s="75">
        <f>SUM(W8:W11)</f>
        <v/>
      </c>
      <c r="X12" s="75">
        <f>SUM(X8:X11)</f>
        <v/>
      </c>
      <c r="Y12" s="75">
        <f>SUM(Y8:Y11)</f>
        <v/>
      </c>
      <c r="Z12" s="75">
        <f>SUM(Z8:Z11)</f>
        <v/>
      </c>
      <c r="AA12" s="75">
        <f>SUM(AA8:AA11)</f>
        <v/>
      </c>
      <c r="AB12" s="75">
        <f>SUM(AB8:AB11)</f>
        <v/>
      </c>
      <c r="AC12" s="75">
        <f>SUM(AC8:AC11)</f>
        <v/>
      </c>
      <c r="AD12" s="75">
        <f>SUM(AD8:AD11)</f>
        <v/>
      </c>
      <c r="AE12" s="75">
        <f>SUM(AE8:AE11)</f>
        <v/>
      </c>
      <c r="AF12" s="75">
        <f>SUM(AF8:AF11)</f>
        <v/>
      </c>
      <c r="AG12" s="75">
        <f>SUM(AG8:AG11)</f>
        <v/>
      </c>
      <c r="AH12" s="75">
        <f>SUM(AH8:AH11)</f>
        <v/>
      </c>
      <c r="AI12" s="75">
        <f>SUM(AI8:AI11)</f>
        <v/>
      </c>
      <c r="AJ12" s="75">
        <f>SUM(AJ8:AJ11)</f>
        <v/>
      </c>
      <c r="AK12" s="75">
        <f>SUM(AK8:AK11)</f>
        <v/>
      </c>
      <c r="AL12" s="75">
        <f>SUM(AL8:AL11)</f>
        <v/>
      </c>
      <c r="AM12" s="75">
        <f>SUM(AM8:AM11)</f>
        <v/>
      </c>
      <c r="AN12" s="75">
        <f>SUM(AN8:AN11)</f>
        <v/>
      </c>
      <c r="AO12" s="75">
        <f>SUM(AO8:AO11)</f>
        <v/>
      </c>
      <c r="AP12" s="75">
        <f>SUM(AP8:AP11)</f>
        <v/>
      </c>
      <c r="AQ12" s="75">
        <f>SUM(AQ8:AQ11)</f>
        <v/>
      </c>
      <c r="AR12" s="75">
        <f>SUM(AR8:AR11)</f>
        <v/>
      </c>
      <c r="AS12" s="75">
        <f>SUM(AS8:AS11)</f>
        <v/>
      </c>
    </row>
    <row r="13">
      <c r="C13" s="9" t="n"/>
    </row>
    <row r="14">
      <c r="B14" t="inlineStr">
        <is>
          <t>Revenues PC+HV</t>
        </is>
      </c>
      <c r="C14" s="9" t="inlineStr">
        <is>
          <t>k£</t>
        </is>
      </c>
      <c r="F14" s="33">
        <f>Operation!E14</f>
        <v/>
      </c>
      <c r="G14" s="33">
        <f>Operation!F14</f>
        <v/>
      </c>
      <c r="H14" s="33">
        <f>Operation!G14</f>
        <v/>
      </c>
      <c r="I14" s="33">
        <f>Operation!H14</f>
        <v/>
      </c>
      <c r="J14" s="33">
        <f>Operation!I14</f>
        <v/>
      </c>
      <c r="K14" s="33">
        <f>Operation!J14</f>
        <v/>
      </c>
      <c r="L14" s="33">
        <f>Operation!K14</f>
        <v/>
      </c>
      <c r="M14" s="33">
        <f>Operation!L14</f>
        <v/>
      </c>
      <c r="N14" s="33">
        <f>Operation!M14</f>
        <v/>
      </c>
      <c r="O14" s="33">
        <f>Operation!N14</f>
        <v/>
      </c>
      <c r="P14" s="33">
        <f>Operation!O14</f>
        <v/>
      </c>
      <c r="Q14" s="33">
        <f>Operation!P14</f>
        <v/>
      </c>
      <c r="R14" s="33">
        <f>Operation!Q14</f>
        <v/>
      </c>
      <c r="S14" s="33">
        <f>Operation!R14</f>
        <v/>
      </c>
      <c r="T14" s="33">
        <f>Operation!S14</f>
        <v/>
      </c>
      <c r="U14" s="33">
        <f>Operation!T14</f>
        <v/>
      </c>
      <c r="V14" s="33">
        <f>Operation!U14</f>
        <v/>
      </c>
      <c r="W14" s="33">
        <f>Operation!V14</f>
        <v/>
      </c>
      <c r="X14" s="33">
        <f>Operation!W14</f>
        <v/>
      </c>
      <c r="Y14" s="33">
        <f>Operation!X14</f>
        <v/>
      </c>
      <c r="Z14" s="33">
        <f>Operation!Y14</f>
        <v/>
      </c>
      <c r="AA14" s="33">
        <f>Operation!Z14</f>
        <v/>
      </c>
      <c r="AB14" s="33">
        <f>Operation!AA14</f>
        <v/>
      </c>
      <c r="AC14" s="33">
        <f>Operation!AB14</f>
        <v/>
      </c>
      <c r="AD14" s="33">
        <f>Operation!AC14</f>
        <v/>
      </c>
      <c r="AE14" s="33">
        <f>Operation!AD14</f>
        <v/>
      </c>
      <c r="AF14" s="33">
        <f>Operation!AE14</f>
        <v/>
      </c>
      <c r="AG14" s="33">
        <f>Operation!AF14</f>
        <v/>
      </c>
      <c r="AH14" s="33">
        <f>Operation!AG14</f>
        <v/>
      </c>
      <c r="AI14" s="33">
        <f>Operation!AH14</f>
        <v/>
      </c>
      <c r="AJ14" s="33">
        <f>Operation!AI14</f>
        <v/>
      </c>
      <c r="AK14" s="33">
        <f>Operation!AJ14</f>
        <v/>
      </c>
      <c r="AL14" s="33">
        <f>Operation!AK14</f>
        <v/>
      </c>
      <c r="AM14" s="33">
        <f>Operation!AL14</f>
        <v/>
      </c>
      <c r="AN14" s="33">
        <f>Operation!AM14</f>
        <v/>
      </c>
      <c r="AO14" s="33">
        <f>Operation!AN14</f>
        <v/>
      </c>
      <c r="AP14" s="33">
        <f>Operation!AO14</f>
        <v/>
      </c>
      <c r="AQ14" s="33">
        <f>Operation!AP14</f>
        <v/>
      </c>
      <c r="AR14" s="33">
        <f>Operation!AQ14</f>
        <v/>
      </c>
      <c r="AS14" s="33">
        <f>Operation!AR14</f>
        <v/>
      </c>
    </row>
    <row r="15">
      <c r="B15" t="inlineStr">
        <is>
          <t>Maintenance &amp; SPV Costs</t>
        </is>
      </c>
      <c r="C15" s="9" t="inlineStr">
        <is>
          <t>k£</t>
        </is>
      </c>
      <c r="F15" s="33">
        <f>-Operation!E21</f>
        <v/>
      </c>
      <c r="G15" s="33">
        <f>-Operation!F21</f>
        <v/>
      </c>
      <c r="H15" s="33">
        <f>-Operation!G21</f>
        <v/>
      </c>
      <c r="I15" s="33">
        <f>-Operation!H21</f>
        <v/>
      </c>
      <c r="J15" s="33">
        <f>-Operation!I21</f>
        <v/>
      </c>
      <c r="K15" s="33">
        <f>-Operation!J21</f>
        <v/>
      </c>
      <c r="L15" s="33">
        <f>-Operation!K21</f>
        <v/>
      </c>
      <c r="M15" s="33">
        <f>-Operation!L21</f>
        <v/>
      </c>
      <c r="N15" s="33">
        <f>-Operation!M21</f>
        <v/>
      </c>
      <c r="O15" s="33">
        <f>-Operation!N21</f>
        <v/>
      </c>
      <c r="P15" s="33">
        <f>-Operation!O21</f>
        <v/>
      </c>
      <c r="Q15" s="33">
        <f>-Operation!P21</f>
        <v/>
      </c>
      <c r="R15" s="33">
        <f>-Operation!Q21</f>
        <v/>
      </c>
      <c r="S15" s="33">
        <f>-Operation!R21</f>
        <v/>
      </c>
      <c r="T15" s="33">
        <f>-Operation!S21</f>
        <v/>
      </c>
      <c r="U15" s="33">
        <f>-Operation!T21</f>
        <v/>
      </c>
      <c r="V15" s="33">
        <f>-Operation!U21</f>
        <v/>
      </c>
      <c r="W15" s="33">
        <f>-Operation!V21</f>
        <v/>
      </c>
      <c r="X15" s="33">
        <f>-Operation!W21</f>
        <v/>
      </c>
      <c r="Y15" s="33">
        <f>-Operation!X21</f>
        <v/>
      </c>
      <c r="Z15" s="33">
        <f>-Operation!Y21</f>
        <v/>
      </c>
      <c r="AA15" s="33">
        <f>-Operation!Z21</f>
        <v/>
      </c>
      <c r="AB15" s="33">
        <f>-Operation!AA21</f>
        <v/>
      </c>
      <c r="AC15" s="33">
        <f>-Operation!AB21</f>
        <v/>
      </c>
      <c r="AD15" s="33">
        <f>-Operation!AC21</f>
        <v/>
      </c>
      <c r="AE15" s="33">
        <f>-Operation!AD21</f>
        <v/>
      </c>
      <c r="AF15" s="33">
        <f>-Operation!AE21</f>
        <v/>
      </c>
      <c r="AG15" s="33">
        <f>-Operation!AF21</f>
        <v/>
      </c>
      <c r="AH15" s="33">
        <f>-Operation!AG21</f>
        <v/>
      </c>
      <c r="AI15" s="33">
        <f>-Operation!AH21</f>
        <v/>
      </c>
      <c r="AJ15" s="33">
        <f>-Operation!AI21</f>
        <v/>
      </c>
      <c r="AK15" s="33">
        <f>-Operation!AJ21</f>
        <v/>
      </c>
      <c r="AL15" s="33">
        <f>-Operation!AK21</f>
        <v/>
      </c>
      <c r="AM15" s="33">
        <f>-Operation!AL21</f>
        <v/>
      </c>
      <c r="AN15" s="33">
        <f>-Operation!AM21</f>
        <v/>
      </c>
      <c r="AO15" s="33">
        <f>-Operation!AN21</f>
        <v/>
      </c>
      <c r="AP15" s="33">
        <f>-Operation!AO21</f>
        <v/>
      </c>
      <c r="AQ15" s="33">
        <f>-Operation!AP21</f>
        <v/>
      </c>
      <c r="AR15" s="33">
        <f>-Operation!AQ21</f>
        <v/>
      </c>
      <c r="AS15" s="33">
        <f>-Operation!AR21</f>
        <v/>
      </c>
    </row>
    <row r="16">
      <c r="B16" t="inlineStr">
        <is>
          <t>Corporate Tax</t>
        </is>
      </c>
      <c r="C16" s="9" t="inlineStr">
        <is>
          <t>k£</t>
        </is>
      </c>
      <c r="F16" s="33">
        <f>'P&amp;L'!F23</f>
        <v/>
      </c>
      <c r="G16" s="33">
        <f>'P&amp;L'!G23</f>
        <v/>
      </c>
      <c r="H16" s="33">
        <f>'P&amp;L'!H23</f>
        <v/>
      </c>
      <c r="I16" s="33">
        <f>'P&amp;L'!I23</f>
        <v/>
      </c>
      <c r="J16" s="33">
        <f>'P&amp;L'!J23</f>
        <v/>
      </c>
      <c r="K16" s="33">
        <f>'P&amp;L'!K23</f>
        <v/>
      </c>
      <c r="L16" s="33">
        <f>'P&amp;L'!L23</f>
        <v/>
      </c>
      <c r="M16" s="33">
        <f>'P&amp;L'!M23</f>
        <v/>
      </c>
      <c r="N16" s="33">
        <f>'P&amp;L'!N23</f>
        <v/>
      </c>
      <c r="O16" s="33">
        <f>'P&amp;L'!O23</f>
        <v/>
      </c>
      <c r="P16" s="33">
        <f>'P&amp;L'!P23</f>
        <v/>
      </c>
      <c r="Q16" s="33">
        <f>'P&amp;L'!Q23</f>
        <v/>
      </c>
      <c r="R16" s="33">
        <f>'P&amp;L'!R23</f>
        <v/>
      </c>
      <c r="S16" s="33">
        <f>'P&amp;L'!S23</f>
        <v/>
      </c>
      <c r="T16" s="33">
        <f>'P&amp;L'!T23</f>
        <v/>
      </c>
      <c r="U16" s="33">
        <f>'P&amp;L'!U23</f>
        <v/>
      </c>
      <c r="V16" s="33">
        <f>'P&amp;L'!V23</f>
        <v/>
      </c>
      <c r="W16" s="33">
        <f>'P&amp;L'!W23</f>
        <v/>
      </c>
      <c r="X16" s="33">
        <f>'P&amp;L'!X23</f>
        <v/>
      </c>
      <c r="Y16" s="33">
        <f>'P&amp;L'!Y23</f>
        <v/>
      </c>
      <c r="Z16" s="33">
        <f>'P&amp;L'!Z23</f>
        <v/>
      </c>
      <c r="AA16" s="33">
        <f>'P&amp;L'!AA23</f>
        <v/>
      </c>
      <c r="AB16" s="33">
        <f>'P&amp;L'!AB23</f>
        <v/>
      </c>
      <c r="AC16" s="33">
        <f>'P&amp;L'!AC23</f>
        <v/>
      </c>
      <c r="AD16" s="33">
        <f>'P&amp;L'!AD23</f>
        <v/>
      </c>
      <c r="AE16" s="33">
        <f>'P&amp;L'!AE23</f>
        <v/>
      </c>
      <c r="AF16" s="33">
        <f>'P&amp;L'!AF23</f>
        <v/>
      </c>
      <c r="AG16" s="33">
        <f>'P&amp;L'!AG23</f>
        <v/>
      </c>
      <c r="AH16" s="33">
        <f>'P&amp;L'!AH23</f>
        <v/>
      </c>
      <c r="AI16" s="33">
        <f>'P&amp;L'!AI23</f>
        <v/>
      </c>
      <c r="AJ16" s="33">
        <f>'P&amp;L'!AJ23</f>
        <v/>
      </c>
      <c r="AK16" s="33">
        <f>'P&amp;L'!AK23</f>
        <v/>
      </c>
      <c r="AL16" s="33">
        <f>'P&amp;L'!AL23</f>
        <v/>
      </c>
      <c r="AM16" s="33">
        <f>'P&amp;L'!AM23</f>
        <v/>
      </c>
      <c r="AN16" s="33">
        <f>'P&amp;L'!AN23</f>
        <v/>
      </c>
      <c r="AO16" s="33">
        <f>'P&amp;L'!AO23</f>
        <v/>
      </c>
      <c r="AP16" s="33">
        <f>'P&amp;L'!AP23</f>
        <v/>
      </c>
      <c r="AQ16" s="33">
        <f>'P&amp;L'!AQ23</f>
        <v/>
      </c>
      <c r="AR16" s="33">
        <f>'P&amp;L'!AR23</f>
        <v/>
      </c>
      <c r="AS16" s="33">
        <f>'P&amp;L'!AS23</f>
        <v/>
      </c>
    </row>
    <row r="17">
      <c r="B17" s="30" t="inlineStr">
        <is>
          <t>Cash Flow</t>
        </is>
      </c>
      <c r="C17" s="69" t="inlineStr">
        <is>
          <t>k£</t>
        </is>
      </c>
      <c r="D17" s="70" t="n"/>
      <c r="E17" s="70" t="n"/>
      <c r="F17" s="75">
        <f>SUM(F12:F16)</f>
        <v/>
      </c>
      <c r="G17" s="75">
        <f>SUM(G12:G16)</f>
        <v/>
      </c>
      <c r="H17" s="75">
        <f>SUM(H12:H16)</f>
        <v/>
      </c>
      <c r="I17" s="75">
        <f>SUM(I12:I16)</f>
        <v/>
      </c>
      <c r="J17" s="75">
        <f>SUM(J12:J16)</f>
        <v/>
      </c>
      <c r="K17" s="75">
        <f>SUM(K12:K16)</f>
        <v/>
      </c>
      <c r="L17" s="75">
        <f>SUM(L12:L16)</f>
        <v/>
      </c>
      <c r="M17" s="75">
        <f>SUM(M12:M16)</f>
        <v/>
      </c>
      <c r="N17" s="75">
        <f>SUM(N12:N16)</f>
        <v/>
      </c>
      <c r="O17" s="75">
        <f>SUM(O12:O16)</f>
        <v/>
      </c>
      <c r="P17" s="75">
        <f>SUM(P12:P16)</f>
        <v/>
      </c>
      <c r="Q17" s="75">
        <f>SUM(Q12:Q16)</f>
        <v/>
      </c>
      <c r="R17" s="75">
        <f>SUM(R12:R16)</f>
        <v/>
      </c>
      <c r="S17" s="75">
        <f>SUM(S12:S16)</f>
        <v/>
      </c>
      <c r="T17" s="75">
        <f>SUM(T12:T16)</f>
        <v/>
      </c>
      <c r="U17" s="75">
        <f>SUM(U12:U16)</f>
        <v/>
      </c>
      <c r="V17" s="75">
        <f>SUM(V12:V16)</f>
        <v/>
      </c>
      <c r="W17" s="75">
        <f>SUM(W12:W16)</f>
        <v/>
      </c>
      <c r="X17" s="75">
        <f>SUM(X12:X16)</f>
        <v/>
      </c>
      <c r="Y17" s="75">
        <f>SUM(Y12:Y16)</f>
        <v/>
      </c>
      <c r="Z17" s="75">
        <f>SUM(Z12:Z16)</f>
        <v/>
      </c>
      <c r="AA17" s="75">
        <f>SUM(AA12:AA16)</f>
        <v/>
      </c>
      <c r="AB17" s="75">
        <f>SUM(AB12:AB16)</f>
        <v/>
      </c>
      <c r="AC17" s="75">
        <f>SUM(AC12:AC16)</f>
        <v/>
      </c>
      <c r="AD17" s="75">
        <f>SUM(AD12:AD16)</f>
        <v/>
      </c>
      <c r="AE17" s="75">
        <f>SUM(AE12:AE16)</f>
        <v/>
      </c>
      <c r="AF17" s="75">
        <f>SUM(AF12:AF16)</f>
        <v/>
      </c>
      <c r="AG17" s="75">
        <f>SUM(AG12:AG16)</f>
        <v/>
      </c>
      <c r="AH17" s="75">
        <f>SUM(AH12:AH16)</f>
        <v/>
      </c>
      <c r="AI17" s="75">
        <f>SUM(AI12:AI16)</f>
        <v/>
      </c>
      <c r="AJ17" s="75">
        <f>SUM(AJ12:AJ16)</f>
        <v/>
      </c>
      <c r="AK17" s="75">
        <f>SUM(AK12:AK16)</f>
        <v/>
      </c>
      <c r="AL17" s="75">
        <f>SUM(AL12:AL16)</f>
        <v/>
      </c>
      <c r="AM17" s="75">
        <f>SUM(AM12:AM16)</f>
        <v/>
      </c>
      <c r="AN17" s="75">
        <f>SUM(AN12:AN16)</f>
        <v/>
      </c>
      <c r="AO17" s="75">
        <f>SUM(AO12:AO16)</f>
        <v/>
      </c>
      <c r="AP17" s="75">
        <f>SUM(AP12:AP16)</f>
        <v/>
      </c>
      <c r="AQ17" s="75">
        <f>SUM(AQ12:AQ16)</f>
        <v/>
      </c>
      <c r="AR17" s="75">
        <f>SUM(AR12:AR16)</f>
        <v/>
      </c>
      <c r="AS17" s="75">
        <f>SUM(AS12:AS16)</f>
        <v/>
      </c>
    </row>
    <row r="18" ht="14.65" customHeight="1" thickBot="1"/>
    <row r="19" ht="14.65" customHeight="1" thickBot="1">
      <c r="B19" s="71" t="inlineStr">
        <is>
          <t>Project IRR</t>
        </is>
      </c>
      <c r="C19" s="72" t="inlineStr">
        <is>
          <t>%</t>
        </is>
      </c>
      <c r="D19" s="73" t="n"/>
      <c r="E19" s="74">
        <f>IRR(F17:AS17)</f>
        <v/>
      </c>
    </row>
    <row r="22" ht="17.65" customHeight="1">
      <c r="B22" s="29" t="inlineStr">
        <is>
          <t>Equity IRR</t>
        </is>
      </c>
      <c r="C22" s="62" t="n"/>
      <c r="D22" s="62" t="n"/>
      <c r="E22" s="62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  <c r="R22" s="58" t="n"/>
      <c r="S22" s="58" t="n"/>
      <c r="T22" s="58" t="n"/>
      <c r="U22" s="58" t="n"/>
      <c r="V22" s="58" t="n"/>
      <c r="W22" s="58" t="n"/>
      <c r="X22" s="58" t="n"/>
      <c r="Y22" s="58" t="n"/>
      <c r="Z22" s="58" t="n"/>
      <c r="AA22" s="58" t="n"/>
      <c r="AB22" s="58" t="n"/>
      <c r="AC22" s="58" t="n"/>
      <c r="AD22" s="58" t="n"/>
      <c r="AE22" s="58" t="n"/>
      <c r="AF22" s="58" t="n"/>
      <c r="AG22" s="58" t="n"/>
      <c r="AH22" s="58" t="n"/>
      <c r="AI22" s="58" t="n"/>
      <c r="AJ22" s="58" t="n"/>
      <c r="AK22" s="58" t="n"/>
      <c r="AL22" s="58" t="n"/>
      <c r="AM22" s="58" t="n"/>
      <c r="AN22" s="58" t="n"/>
      <c r="AO22" s="58" t="n"/>
      <c r="AP22" s="58" t="n"/>
      <c r="AQ22" s="58" t="n"/>
      <c r="AR22" s="58" t="n"/>
      <c r="AS22" s="59" t="n"/>
    </row>
    <row r="24">
      <c r="B24" t="inlineStr">
        <is>
          <t>Equity Injected</t>
        </is>
      </c>
      <c r="C24" s="9" t="inlineStr">
        <is>
          <t>k£</t>
        </is>
      </c>
      <c r="E24" s="33">
        <f>SUM(F24:AS24)</f>
        <v/>
      </c>
      <c r="F24" s="33">
        <f>-Construction!E26</f>
        <v/>
      </c>
      <c r="G24" s="33">
        <f>-Construction!F26</f>
        <v/>
      </c>
      <c r="H24" s="33">
        <f>-Construction!G26</f>
        <v/>
      </c>
      <c r="I24" s="33">
        <f>-Construction!H26</f>
        <v/>
      </c>
      <c r="J24" s="33">
        <f>-Construction!I26</f>
        <v/>
      </c>
      <c r="K24" s="33">
        <f>-Construction!J26</f>
        <v/>
      </c>
      <c r="L24" s="33">
        <f>-Construction!K26</f>
        <v/>
      </c>
      <c r="M24" s="33">
        <f>-Construction!L26</f>
        <v/>
      </c>
      <c r="N24" s="33">
        <f>-Construction!M26</f>
        <v/>
      </c>
      <c r="O24" s="33">
        <f>-Construction!N26</f>
        <v/>
      </c>
      <c r="P24" s="33">
        <f>-Construction!O26</f>
        <v/>
      </c>
      <c r="Q24" s="33">
        <f>-Construction!P26</f>
        <v/>
      </c>
      <c r="R24" s="33">
        <f>-Construction!Q26</f>
        <v/>
      </c>
      <c r="S24" s="33">
        <f>-Construction!R26</f>
        <v/>
      </c>
      <c r="T24" s="33">
        <f>-Construction!S26</f>
        <v/>
      </c>
      <c r="U24" s="33">
        <f>-Construction!T26</f>
        <v/>
      </c>
      <c r="V24" s="33">
        <f>-Construction!U26</f>
        <v/>
      </c>
      <c r="W24" s="33">
        <f>-Construction!V26</f>
        <v/>
      </c>
      <c r="X24" s="33">
        <f>-Construction!W26</f>
        <v/>
      </c>
      <c r="Y24" s="33">
        <f>-Construction!X26</f>
        <v/>
      </c>
      <c r="Z24" s="33">
        <f>-Construction!Y26</f>
        <v/>
      </c>
      <c r="AA24" s="33">
        <f>-Construction!Z26</f>
        <v/>
      </c>
      <c r="AB24" s="33">
        <f>-Construction!AA26</f>
        <v/>
      </c>
      <c r="AC24" s="33">
        <f>-Construction!AB26</f>
        <v/>
      </c>
      <c r="AD24" s="33">
        <f>-Construction!AC26</f>
        <v/>
      </c>
      <c r="AE24" s="33">
        <f>-Construction!AD26</f>
        <v/>
      </c>
      <c r="AF24" s="33">
        <f>-Construction!AE26</f>
        <v/>
      </c>
      <c r="AG24" s="33">
        <f>-Construction!AF26</f>
        <v/>
      </c>
      <c r="AH24" s="33">
        <f>-Construction!AG26</f>
        <v/>
      </c>
      <c r="AI24" s="33">
        <f>-Construction!AH26</f>
        <v/>
      </c>
      <c r="AJ24" s="33">
        <f>-Construction!AI26</f>
        <v/>
      </c>
      <c r="AK24" s="33">
        <f>-Construction!AJ26</f>
        <v/>
      </c>
      <c r="AL24" s="33">
        <f>-Construction!AK26</f>
        <v/>
      </c>
      <c r="AM24" s="33">
        <f>-Construction!AL26</f>
        <v/>
      </c>
      <c r="AN24" s="33">
        <f>-Construction!AM26</f>
        <v/>
      </c>
      <c r="AO24" s="33">
        <f>-Construction!AN26</f>
        <v/>
      </c>
      <c r="AP24" s="33">
        <f>-Construction!AO26</f>
        <v/>
      </c>
      <c r="AQ24" s="33">
        <f>-Construction!AP26</f>
        <v/>
      </c>
      <c r="AR24" s="33">
        <f>-Construction!AQ26</f>
        <v/>
      </c>
      <c r="AS24" s="33">
        <f>-Construction!AR26</f>
        <v/>
      </c>
    </row>
    <row r="25">
      <c r="B25" t="inlineStr">
        <is>
          <t>Dividends earned</t>
        </is>
      </c>
      <c r="C25" s="9" t="inlineStr">
        <is>
          <t>k£</t>
        </is>
      </c>
      <c r="F25" s="33">
        <f>-CFS!F21</f>
        <v/>
      </c>
      <c r="G25" s="33">
        <f>-CFS!G21</f>
        <v/>
      </c>
      <c r="H25" s="33">
        <f>-CFS!H21</f>
        <v/>
      </c>
      <c r="I25" s="33">
        <f>-CFS!I21</f>
        <v/>
      </c>
      <c r="J25" s="33">
        <f>-CFS!J21</f>
        <v/>
      </c>
      <c r="K25" s="33">
        <f>-CFS!K21</f>
        <v/>
      </c>
      <c r="L25" s="33">
        <f>-CFS!L21</f>
        <v/>
      </c>
      <c r="M25" s="33">
        <f>-CFS!M21</f>
        <v/>
      </c>
      <c r="N25" s="33">
        <f>-CFS!N21</f>
        <v/>
      </c>
      <c r="O25" s="33">
        <f>-CFS!O21</f>
        <v/>
      </c>
      <c r="P25" s="33">
        <f>-CFS!P21</f>
        <v/>
      </c>
      <c r="Q25" s="33">
        <f>-CFS!Q21</f>
        <v/>
      </c>
      <c r="R25" s="33">
        <f>-CFS!R21</f>
        <v/>
      </c>
      <c r="S25" s="33">
        <f>-CFS!S21</f>
        <v/>
      </c>
      <c r="T25" s="33">
        <f>-CFS!T21</f>
        <v/>
      </c>
      <c r="U25" s="33">
        <f>-CFS!U21</f>
        <v/>
      </c>
      <c r="V25" s="33">
        <f>-CFS!V21</f>
        <v/>
      </c>
      <c r="W25" s="33">
        <f>-CFS!W21</f>
        <v/>
      </c>
      <c r="X25" s="33">
        <f>-CFS!X21</f>
        <v/>
      </c>
      <c r="Y25" s="33">
        <f>-CFS!Y21</f>
        <v/>
      </c>
      <c r="Z25" s="33">
        <f>-CFS!Z21</f>
        <v/>
      </c>
      <c r="AA25" s="33">
        <f>-CFS!AA21</f>
        <v/>
      </c>
      <c r="AB25" s="33">
        <f>-CFS!AB21</f>
        <v/>
      </c>
      <c r="AC25" s="33">
        <f>-CFS!AC21</f>
        <v/>
      </c>
      <c r="AD25" s="33">
        <f>-CFS!AD21</f>
        <v/>
      </c>
      <c r="AE25" s="33">
        <f>-CFS!AE21</f>
        <v/>
      </c>
      <c r="AF25" s="33">
        <f>-CFS!AF21</f>
        <v/>
      </c>
      <c r="AG25" s="33">
        <f>-CFS!AG21</f>
        <v/>
      </c>
      <c r="AH25" s="33">
        <f>-CFS!AH21</f>
        <v/>
      </c>
      <c r="AI25" s="33">
        <f>-CFS!AI21</f>
        <v/>
      </c>
      <c r="AJ25" s="33">
        <f>-CFS!AJ21</f>
        <v/>
      </c>
      <c r="AK25" s="33">
        <f>-CFS!AK21</f>
        <v/>
      </c>
      <c r="AL25" s="33">
        <f>-CFS!AL21</f>
        <v/>
      </c>
      <c r="AM25" s="33">
        <f>-CFS!AM21</f>
        <v/>
      </c>
      <c r="AN25" s="33">
        <f>-CFS!AN21</f>
        <v/>
      </c>
      <c r="AO25" s="33">
        <f>-CFS!AO21</f>
        <v/>
      </c>
      <c r="AP25" s="33">
        <f>-CFS!AP21</f>
        <v/>
      </c>
      <c r="AQ25" s="33">
        <f>-CFS!AQ21</f>
        <v/>
      </c>
      <c r="AR25" s="33">
        <f>-CFS!AR21</f>
        <v/>
      </c>
      <c r="AS25" s="33">
        <f>-CFS!AS21</f>
        <v/>
      </c>
    </row>
    <row r="26">
      <c r="B26" t="inlineStr">
        <is>
          <t>Cash out End of Concession</t>
        </is>
      </c>
      <c r="C26" s="9" t="inlineStr">
        <is>
          <t>k£</t>
        </is>
      </c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33">
        <f>'Balance Sheet'!AS9</f>
        <v/>
      </c>
    </row>
    <row r="27">
      <c r="B27" t="inlineStr">
        <is>
          <t>Total Cash in/Cash out</t>
        </is>
      </c>
      <c r="C27" s="9" t="inlineStr">
        <is>
          <t>k£</t>
        </is>
      </c>
      <c r="F27" s="33">
        <f>SUM(F24:F26)</f>
        <v/>
      </c>
      <c r="G27" s="33">
        <f>SUM(G24:G26)</f>
        <v/>
      </c>
      <c r="H27" s="33">
        <f>SUM(H24:H26)</f>
        <v/>
      </c>
      <c r="I27" s="33">
        <f>SUM(I24:I26)</f>
        <v/>
      </c>
      <c r="J27" s="33">
        <f>SUM(J24:J26)</f>
        <v/>
      </c>
      <c r="K27" s="33">
        <f>SUM(K24:K26)</f>
        <v/>
      </c>
      <c r="L27" s="33">
        <f>SUM(L24:L26)</f>
        <v/>
      </c>
      <c r="M27" s="33">
        <f>SUM(M24:M26)</f>
        <v/>
      </c>
      <c r="N27" s="33">
        <f>SUM(N24:N26)</f>
        <v/>
      </c>
      <c r="O27" s="33">
        <f>SUM(O24:O26)</f>
        <v/>
      </c>
      <c r="P27" s="33">
        <f>SUM(P24:P26)</f>
        <v/>
      </c>
      <c r="Q27" s="33">
        <f>SUM(Q24:Q26)</f>
        <v/>
      </c>
      <c r="R27" s="33">
        <f>SUM(R24:R26)</f>
        <v/>
      </c>
      <c r="S27" s="33">
        <f>SUM(S24:S26)</f>
        <v/>
      </c>
      <c r="T27" s="33">
        <f>SUM(T24:T26)</f>
        <v/>
      </c>
      <c r="U27" s="33">
        <f>SUM(U24:U26)</f>
        <v/>
      </c>
      <c r="V27" s="33">
        <f>SUM(V24:V26)</f>
        <v/>
      </c>
      <c r="W27" s="33">
        <f>SUM(W24:W26)</f>
        <v/>
      </c>
      <c r="X27" s="33">
        <f>SUM(X24:X26)</f>
        <v/>
      </c>
      <c r="Y27" s="33">
        <f>SUM(Y24:Y26)</f>
        <v/>
      </c>
      <c r="Z27" s="33">
        <f>SUM(Z24:Z26)</f>
        <v/>
      </c>
      <c r="AA27" s="33">
        <f>SUM(AA24:AA26)</f>
        <v/>
      </c>
      <c r="AB27" s="33">
        <f>SUM(AB24:AB26)</f>
        <v/>
      </c>
      <c r="AC27" s="33">
        <f>SUM(AC24:AC26)</f>
        <v/>
      </c>
      <c r="AD27" s="33">
        <f>SUM(AD24:AD26)</f>
        <v/>
      </c>
      <c r="AE27" s="33">
        <f>SUM(AE24:AE26)</f>
        <v/>
      </c>
      <c r="AF27" s="33">
        <f>SUM(AF24:AF26)</f>
        <v/>
      </c>
      <c r="AG27" s="33">
        <f>SUM(AG24:AG26)</f>
        <v/>
      </c>
      <c r="AH27" s="33">
        <f>SUM(AH24:AH26)</f>
        <v/>
      </c>
      <c r="AI27" s="33">
        <f>SUM(AI24:AI26)</f>
        <v/>
      </c>
      <c r="AJ27" s="33">
        <f>SUM(AJ24:AJ26)</f>
        <v/>
      </c>
      <c r="AK27" s="33">
        <f>SUM(AK24:AK26)</f>
        <v/>
      </c>
      <c r="AL27" s="33">
        <f>SUM(AL24:AL26)</f>
        <v/>
      </c>
      <c r="AM27" s="33">
        <f>SUM(AM24:AM26)</f>
        <v/>
      </c>
      <c r="AN27" s="33">
        <f>SUM(AN24:AN26)</f>
        <v/>
      </c>
      <c r="AO27" s="33">
        <f>SUM(AO24:AO26)</f>
        <v/>
      </c>
      <c r="AP27" s="33">
        <f>SUM(AP24:AP26)</f>
        <v/>
      </c>
      <c r="AQ27" s="33">
        <f>SUM(AQ24:AQ26)</f>
        <v/>
      </c>
      <c r="AR27" s="33">
        <f>SUM(AR24:AR26)</f>
        <v/>
      </c>
      <c r="AS27" s="33">
        <f>SUM(AS24:AS26)</f>
        <v/>
      </c>
    </row>
    <row r="28" ht="14.65" customHeight="1" thickBot="1"/>
    <row r="29" ht="14.65" customHeight="1" thickBot="1">
      <c r="B29" s="71" t="inlineStr">
        <is>
          <t>Equity IRR</t>
        </is>
      </c>
      <c r="C29" s="76" t="inlineStr">
        <is>
          <t>%</t>
        </is>
      </c>
      <c r="D29" s="73" t="n"/>
      <c r="E29" s="74">
        <f>IRR(F27:AS27)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2026-10-18T07:46:33Z</dcterms:modified>
  <cp:lastModifiedBy>Clara Joseph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0x010100AF5EC4FAED17FD4FA002B715A7CB3129</vt:lpwstr>
  </property>
  <property name="MediaServiceImageTags" fmtid="{D5CDD505-2E9C-101B-9397-08002B2CF9AE}" pid="3">
    <vt:lpwstr/>
  </property>
</Properties>
</file>