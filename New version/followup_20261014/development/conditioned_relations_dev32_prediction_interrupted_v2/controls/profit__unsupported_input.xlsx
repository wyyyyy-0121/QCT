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Shipping</t>
        </is>
      </c>
      <c r="D4" t="inlineStr">
        <is>
          <t>Discount Rate</t>
        </is>
      </c>
      <c r="E4" t="inlineStr">
        <is>
          <t>Tax Rate</t>
        </is>
      </c>
      <c r="F4" t="inlineStr">
        <is>
          <t>Net Profit</t>
        </is>
      </c>
      <c r="G4" t="inlineStr">
        <is>
          <t>Units</t>
        </is>
      </c>
      <c r="H4" t="inlineStr">
        <is>
          <t>Unit Price</t>
        </is>
      </c>
      <c r="I4" t="inlineStr">
        <is>
          <t>Unit Cost</t>
        </is>
      </c>
    </row>
    <row r="5"/>
    <row r="6"/>
    <row r="7">
      <c r="C7" t="n">
        <v>3</v>
      </c>
      <c r="D7" t="n">
        <v>0.1</v>
      </c>
      <c r="E7" t="n">
        <v>0.03</v>
      </c>
      <c r="F7">
        <f>G7*H7*(1-D7)*(1-E7)+G7*I7-C7</f>
        <v/>
      </c>
      <c r="G7">
        <f>SQRT(121)</f>
        <v/>
      </c>
      <c r="H7" t="n">
        <v>47</v>
      </c>
      <c r="I7" t="n">
        <v>8</v>
      </c>
    </row>
    <row r="8">
      <c r="C8" t="n">
        <v>3</v>
      </c>
      <c r="D8" t="n">
        <v>0.1</v>
      </c>
      <c r="E8" t="n">
        <v>0.03</v>
      </c>
      <c r="F8">
        <f>G8*H8*(1-D8)*(1-E8)+G8*I8-C8</f>
        <v/>
      </c>
      <c r="G8">
        <f>SQRT(121)</f>
        <v/>
      </c>
      <c r="H8" t="n">
        <v>48</v>
      </c>
      <c r="I8" t="n">
        <v>8</v>
      </c>
    </row>
    <row r="9">
      <c r="C9" t="n">
        <v>3</v>
      </c>
      <c r="D9" t="n">
        <v>0.1</v>
      </c>
      <c r="E9" t="n">
        <v>0.03</v>
      </c>
      <c r="F9">
        <f>G9*H9*(1-D9)*(1-E9)+G9*I9-C9</f>
        <v/>
      </c>
      <c r="G9">
        <f>SQRT(121)</f>
        <v/>
      </c>
      <c r="H9" t="n">
        <v>49</v>
      </c>
      <c r="I9" t="n">
        <v>8</v>
      </c>
    </row>
    <row r="10">
      <c r="C10" t="n">
        <v>3</v>
      </c>
      <c r="D10" t="n">
        <v>0.1</v>
      </c>
      <c r="E10" t="n">
        <v>0.03</v>
      </c>
      <c r="F10">
        <f>G10*H10*(1-D10)*(1-E10)+G10*I10-C10</f>
        <v/>
      </c>
      <c r="G10">
        <f>SQRT(121)</f>
        <v/>
      </c>
      <c r="H10" t="n">
        <v>50</v>
      </c>
      <c r="I10" t="n">
        <v>8</v>
      </c>
    </row>
    <row r="11">
      <c r="C11" t="n">
        <v>3</v>
      </c>
      <c r="D11" t="n">
        <v>0.1</v>
      </c>
      <c r="E11" t="n">
        <v>0.03</v>
      </c>
      <c r="F11">
        <f>G11*H11*(1-D11)*(1-E11)+G11*I11-C11</f>
        <v/>
      </c>
      <c r="G11">
        <f>SQRT(121)</f>
        <v/>
      </c>
      <c r="H11" t="n">
        <v>51</v>
      </c>
      <c r="I11" t="n">
        <v>8</v>
      </c>
    </row>
    <row r="12">
      <c r="C12" t="n">
        <v>3</v>
      </c>
      <c r="D12" t="n">
        <v>0.1</v>
      </c>
      <c r="E12" t="n">
        <v>0.03</v>
      </c>
      <c r="F12">
        <f>G12*H12*(1-D12)*(1-E12)+G12*I12-C12</f>
        <v/>
      </c>
      <c r="G12">
        <f>SQRT(121)</f>
        <v/>
      </c>
      <c r="H12" t="n">
        <v>52</v>
      </c>
      <c r="I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