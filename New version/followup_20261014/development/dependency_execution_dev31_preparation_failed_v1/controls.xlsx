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In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rate=0;type=0;fv=0;pmt</t>
        </is>
      </c>
      <c r="B1">
        <f>PMT(0,12,1000,0,0)</f>
        <v/>
      </c>
    </row>
    <row r="2">
      <c r="A2" t="inlineStr">
        <is>
          <t>rate=0;type=0;fv=0;ppmt=1</t>
        </is>
      </c>
      <c r="B2">
        <f>PPMT(0,1,12,1000,0,0)</f>
        <v/>
      </c>
    </row>
    <row r="3">
      <c r="A3" t="inlineStr">
        <is>
          <t>rate=0;type=0;fv=0;ppmt=6</t>
        </is>
      </c>
      <c r="B3">
        <f>PPMT(0,6,12,1000,0,0)</f>
        <v/>
      </c>
    </row>
    <row r="4">
      <c r="A4" t="inlineStr">
        <is>
          <t>rate=0;type=0;fv=0;ppmt=12</t>
        </is>
      </c>
      <c r="B4">
        <f>PPMT(0,12,12,1000,0,0)</f>
        <v/>
      </c>
    </row>
    <row r="5">
      <c r="A5" t="inlineStr">
        <is>
          <t>rate=0;type=0;fv=200;pmt</t>
        </is>
      </c>
      <c r="B5">
        <f>PMT(0,12,1000,200,0)</f>
        <v/>
      </c>
    </row>
    <row r="6">
      <c r="A6" t="inlineStr">
        <is>
          <t>rate=0;type=0;fv=200;ppmt=1</t>
        </is>
      </c>
      <c r="B6">
        <f>PPMT(0,1,12,1000,200,0)</f>
        <v/>
      </c>
    </row>
    <row r="7">
      <c r="A7" t="inlineStr">
        <is>
          <t>rate=0;type=0;fv=200;ppmt=6</t>
        </is>
      </c>
      <c r="B7">
        <f>PPMT(0,6,12,1000,200,0)</f>
        <v/>
      </c>
    </row>
    <row r="8">
      <c r="A8" t="inlineStr">
        <is>
          <t>rate=0;type=0;fv=200;ppmt=12</t>
        </is>
      </c>
      <c r="B8">
        <f>PPMT(0,12,12,1000,200,0)</f>
        <v/>
      </c>
    </row>
    <row r="9">
      <c r="A9" t="inlineStr">
        <is>
          <t>rate=0;type=1;fv=0;pmt</t>
        </is>
      </c>
      <c r="B9">
        <f>PMT(0,12,1000,0,1)</f>
        <v/>
      </c>
    </row>
    <row r="10">
      <c r="A10" t="inlineStr">
        <is>
          <t>rate=0;type=1;fv=0;ppmt=1</t>
        </is>
      </c>
      <c r="B10">
        <f>PPMT(0,1,12,1000,0,1)</f>
        <v/>
      </c>
    </row>
    <row r="11">
      <c r="A11" t="inlineStr">
        <is>
          <t>rate=0;type=1;fv=0;ppmt=6</t>
        </is>
      </c>
      <c r="B11">
        <f>PPMT(0,6,12,1000,0,1)</f>
        <v/>
      </c>
    </row>
    <row r="12">
      <c r="A12" t="inlineStr">
        <is>
          <t>rate=0;type=1;fv=0;ppmt=12</t>
        </is>
      </c>
      <c r="B12">
        <f>PPMT(0,12,12,1000,0,1)</f>
        <v/>
      </c>
    </row>
    <row r="13">
      <c r="A13" t="inlineStr">
        <is>
          <t>rate=0;type=1;fv=200;pmt</t>
        </is>
      </c>
      <c r="B13">
        <f>PMT(0,12,1000,200,1)</f>
        <v/>
      </c>
    </row>
    <row r="14">
      <c r="A14" t="inlineStr">
        <is>
          <t>rate=0;type=1;fv=200;ppmt=1</t>
        </is>
      </c>
      <c r="B14">
        <f>PPMT(0,1,12,1000,200,1)</f>
        <v/>
      </c>
    </row>
    <row r="15">
      <c r="A15" t="inlineStr">
        <is>
          <t>rate=0;type=1;fv=200;ppmt=6</t>
        </is>
      </c>
      <c r="B15">
        <f>PPMT(0,6,12,1000,200,1)</f>
        <v/>
      </c>
    </row>
    <row r="16">
      <c r="A16" t="inlineStr">
        <is>
          <t>rate=0;type=1;fv=200;ppmt=12</t>
        </is>
      </c>
      <c r="B16">
        <f>PPMT(0,12,12,1000,200,1)</f>
        <v/>
      </c>
    </row>
    <row r="17">
      <c r="A17" t="inlineStr">
        <is>
          <t>rate=0.05;type=0;fv=0;pmt</t>
        </is>
      </c>
      <c r="B17">
        <f>PMT(0.05,12,1000,0,0)</f>
        <v/>
      </c>
    </row>
    <row r="18">
      <c r="A18" t="inlineStr">
        <is>
          <t>rate=0.05;type=0;fv=0;ppmt=1</t>
        </is>
      </c>
      <c r="B18">
        <f>PPMT(0.05,1,12,1000,0,0)</f>
        <v/>
      </c>
    </row>
    <row r="19">
      <c r="A19" t="inlineStr">
        <is>
          <t>rate=0.05;type=0;fv=0;ppmt=6</t>
        </is>
      </c>
      <c r="B19">
        <f>PPMT(0.05,6,12,1000,0,0)</f>
        <v/>
      </c>
    </row>
    <row r="20">
      <c r="A20" t="inlineStr">
        <is>
          <t>rate=0.05;type=0;fv=0;ppmt=12</t>
        </is>
      </c>
      <c r="B20">
        <f>PPMT(0.05,12,12,1000,0,0)</f>
        <v/>
      </c>
    </row>
    <row r="21">
      <c r="A21" t="inlineStr">
        <is>
          <t>rate=0.05;type=0;fv=200;pmt</t>
        </is>
      </c>
      <c r="B21">
        <f>PMT(0.05,12,1000,200,0)</f>
        <v/>
      </c>
    </row>
    <row r="22">
      <c r="A22" t="inlineStr">
        <is>
          <t>rate=0.05;type=0;fv=200;ppmt=1</t>
        </is>
      </c>
      <c r="B22">
        <f>PPMT(0.05,1,12,1000,200,0)</f>
        <v/>
      </c>
    </row>
    <row r="23">
      <c r="A23" t="inlineStr">
        <is>
          <t>rate=0.05;type=0;fv=200;ppmt=6</t>
        </is>
      </c>
      <c r="B23">
        <f>PPMT(0.05,6,12,1000,200,0)</f>
        <v/>
      </c>
    </row>
    <row r="24">
      <c r="A24" t="inlineStr">
        <is>
          <t>rate=0.05;type=0;fv=200;ppmt=12</t>
        </is>
      </c>
      <c r="B24">
        <f>PPMT(0.05,12,12,1000,200,0)</f>
        <v/>
      </c>
    </row>
    <row r="25">
      <c r="A25" t="inlineStr">
        <is>
          <t>rate=0.05;type=1;fv=0;pmt</t>
        </is>
      </c>
      <c r="B25">
        <f>PMT(0.05,12,1000,0,1)</f>
        <v/>
      </c>
    </row>
    <row r="26">
      <c r="A26" t="inlineStr">
        <is>
          <t>rate=0.05;type=1;fv=0;ppmt=1</t>
        </is>
      </c>
      <c r="B26">
        <f>PPMT(0.05,1,12,1000,0,1)</f>
        <v/>
      </c>
    </row>
    <row r="27">
      <c r="A27" t="inlineStr">
        <is>
          <t>rate=0.05;type=1;fv=0;ppmt=6</t>
        </is>
      </c>
      <c r="B27">
        <f>PPMT(0.05,6,12,1000,0,1)</f>
        <v/>
      </c>
    </row>
    <row r="28">
      <c r="A28" t="inlineStr">
        <is>
          <t>rate=0.05;type=1;fv=0;ppmt=12</t>
        </is>
      </c>
      <c r="B28">
        <f>PPMT(0.05,12,12,1000,0,1)</f>
        <v/>
      </c>
    </row>
    <row r="29">
      <c r="A29" t="inlineStr">
        <is>
          <t>rate=0.05;type=1;fv=200;pmt</t>
        </is>
      </c>
      <c r="B29">
        <f>PMT(0.05,12,1000,200,1)</f>
        <v/>
      </c>
    </row>
    <row r="30">
      <c r="A30" t="inlineStr">
        <is>
          <t>rate=0.05;type=1;fv=200;ppmt=1</t>
        </is>
      </c>
      <c r="B30">
        <f>PPMT(0.05,1,12,1000,200,1)</f>
        <v/>
      </c>
    </row>
    <row r="31">
      <c r="A31" t="inlineStr">
        <is>
          <t>rate=0.05;type=1;fv=200;ppmt=6</t>
        </is>
      </c>
      <c r="B31">
        <f>PPMT(0.05,6,12,1000,200,1)</f>
        <v/>
      </c>
    </row>
    <row r="32">
      <c r="A32" t="inlineStr">
        <is>
          <t>rate=0.05;type=1;fv=200;ppmt=12</t>
        </is>
      </c>
      <c r="B32">
        <f>PPMT(0.05,12,12,1000,200,1)</f>
        <v/>
      </c>
    </row>
    <row r="33">
      <c r="A33" t="inlineStr">
        <is>
          <t>rate=-0.02;type=0;fv=0;pmt</t>
        </is>
      </c>
      <c r="B33">
        <f>PMT(-0.02,12,1000,0,0)</f>
        <v/>
      </c>
    </row>
    <row r="34">
      <c r="A34" t="inlineStr">
        <is>
          <t>rate=-0.02;type=0;fv=0;ppmt=1</t>
        </is>
      </c>
      <c r="B34">
        <f>PPMT(-0.02,1,12,1000,0,0)</f>
        <v/>
      </c>
    </row>
    <row r="35">
      <c r="A35" t="inlineStr">
        <is>
          <t>rate=-0.02;type=0;fv=0;ppmt=6</t>
        </is>
      </c>
      <c r="B35">
        <f>PPMT(-0.02,6,12,1000,0,0)</f>
        <v/>
      </c>
    </row>
    <row r="36">
      <c r="A36" t="inlineStr">
        <is>
          <t>rate=-0.02;type=0;fv=0;ppmt=12</t>
        </is>
      </c>
      <c r="B36">
        <f>PPMT(-0.02,12,12,1000,0,0)</f>
        <v/>
      </c>
    </row>
    <row r="37">
      <c r="A37" t="inlineStr">
        <is>
          <t>rate=-0.02;type=0;fv=200;pmt</t>
        </is>
      </c>
      <c r="B37">
        <f>PMT(-0.02,12,1000,200,0)</f>
        <v/>
      </c>
    </row>
    <row r="38">
      <c r="A38" t="inlineStr">
        <is>
          <t>rate=-0.02;type=0;fv=200;ppmt=1</t>
        </is>
      </c>
      <c r="B38">
        <f>PPMT(-0.02,1,12,1000,200,0)</f>
        <v/>
      </c>
    </row>
    <row r="39">
      <c r="A39" t="inlineStr">
        <is>
          <t>rate=-0.02;type=0;fv=200;ppmt=6</t>
        </is>
      </c>
      <c r="B39">
        <f>PPMT(-0.02,6,12,1000,200,0)</f>
        <v/>
      </c>
    </row>
    <row r="40">
      <c r="A40" t="inlineStr">
        <is>
          <t>rate=-0.02;type=0;fv=200;ppmt=12</t>
        </is>
      </c>
      <c r="B40">
        <f>PPMT(-0.02,12,12,1000,200,0)</f>
        <v/>
      </c>
    </row>
    <row r="41">
      <c r="A41" t="inlineStr">
        <is>
          <t>rate=-0.02;type=1;fv=0;pmt</t>
        </is>
      </c>
      <c r="B41">
        <f>PMT(-0.02,12,1000,0,1)</f>
        <v/>
      </c>
    </row>
    <row r="42">
      <c r="A42" t="inlineStr">
        <is>
          <t>rate=-0.02;type=1;fv=0;ppmt=1</t>
        </is>
      </c>
      <c r="B42">
        <f>PPMT(-0.02,1,12,1000,0,1)</f>
        <v/>
      </c>
    </row>
    <row r="43">
      <c r="A43" t="inlineStr">
        <is>
          <t>rate=-0.02;type=1;fv=0;ppmt=6</t>
        </is>
      </c>
      <c r="B43">
        <f>PPMT(-0.02,6,12,1000,0,1)</f>
        <v/>
      </c>
    </row>
    <row r="44">
      <c r="A44" t="inlineStr">
        <is>
          <t>rate=-0.02;type=1;fv=0;ppmt=12</t>
        </is>
      </c>
      <c r="B44">
        <f>PPMT(-0.02,12,12,1000,0,1)</f>
        <v/>
      </c>
    </row>
    <row r="45">
      <c r="A45" t="inlineStr">
        <is>
          <t>rate=-0.02;type=1;fv=200;pmt</t>
        </is>
      </c>
      <c r="B45">
        <f>PMT(-0.02,12,1000,200,1)</f>
        <v/>
      </c>
    </row>
    <row r="46">
      <c r="A46" t="inlineStr">
        <is>
          <t>rate=-0.02;type=1;fv=200;ppmt=1</t>
        </is>
      </c>
      <c r="B46">
        <f>PPMT(-0.02,1,12,1000,200,1)</f>
        <v/>
      </c>
    </row>
    <row r="47">
      <c r="A47" t="inlineStr">
        <is>
          <t>rate=-0.02;type=1;fv=200;ppmt=6</t>
        </is>
      </c>
      <c r="B47">
        <f>PPMT(-0.02,6,12,1000,200,1)</f>
        <v/>
      </c>
    </row>
    <row r="48">
      <c r="A48" t="inlineStr">
        <is>
          <t>rate=-0.02;type=1;fv=200;ppmt=12</t>
        </is>
      </c>
      <c r="B48">
        <f>PPMT(-0.02,12,12,1000,200,1)</f>
        <v/>
      </c>
    </row>
    <row r="49">
      <c r="A49" t="inlineStr">
        <is>
          <t>rate=0.000000000001;type=0;fv=0;pmt</t>
        </is>
      </c>
      <c r="B49">
        <f>PMT(0.000000000001,12,1000,0,0)</f>
        <v/>
      </c>
    </row>
    <row r="50">
      <c r="A50" t="inlineStr">
        <is>
          <t>rate=0.000000000001;type=0;fv=0;ppmt=1</t>
        </is>
      </c>
      <c r="B50">
        <f>PPMT(0.000000000001,1,12,1000,0,0)</f>
        <v/>
      </c>
    </row>
    <row r="51">
      <c r="A51" t="inlineStr">
        <is>
          <t>rate=0.000000000001;type=0;fv=0;ppmt=6</t>
        </is>
      </c>
      <c r="B51">
        <f>PPMT(0.000000000001,6,12,1000,0,0)</f>
        <v/>
      </c>
    </row>
    <row r="52">
      <c r="A52" t="inlineStr">
        <is>
          <t>rate=0.000000000001;type=0;fv=0;ppmt=12</t>
        </is>
      </c>
      <c r="B52">
        <f>PPMT(0.000000000001,12,12,1000,0,0)</f>
        <v/>
      </c>
    </row>
    <row r="53">
      <c r="A53" t="inlineStr">
        <is>
          <t>rate=0.000000000001;type=0;fv=200;pmt</t>
        </is>
      </c>
      <c r="B53">
        <f>PMT(0.000000000001,12,1000,200,0)</f>
        <v/>
      </c>
    </row>
    <row r="54">
      <c r="A54" t="inlineStr">
        <is>
          <t>rate=0.000000000001;type=0;fv=200;ppmt=1</t>
        </is>
      </c>
      <c r="B54">
        <f>PPMT(0.000000000001,1,12,1000,200,0)</f>
        <v/>
      </c>
    </row>
    <row r="55">
      <c r="A55" t="inlineStr">
        <is>
          <t>rate=0.000000000001;type=0;fv=200;ppmt=6</t>
        </is>
      </c>
      <c r="B55">
        <f>PPMT(0.000000000001,6,12,1000,200,0)</f>
        <v/>
      </c>
    </row>
    <row r="56">
      <c r="A56" t="inlineStr">
        <is>
          <t>rate=0.000000000001;type=0;fv=200;ppmt=12</t>
        </is>
      </c>
      <c r="B56">
        <f>PPMT(0.000000000001,12,12,1000,200,0)</f>
        <v/>
      </c>
    </row>
    <row r="57">
      <c r="A57" t="inlineStr">
        <is>
          <t>rate=0.000000000001;type=1;fv=0;pmt</t>
        </is>
      </c>
      <c r="B57">
        <f>PMT(0.000000000001,12,1000,0,1)</f>
        <v/>
      </c>
    </row>
    <row r="58">
      <c r="A58" t="inlineStr">
        <is>
          <t>rate=0.000000000001;type=1;fv=0;ppmt=1</t>
        </is>
      </c>
      <c r="B58">
        <f>PPMT(0.000000000001,1,12,1000,0,1)</f>
        <v/>
      </c>
    </row>
    <row r="59">
      <c r="A59" t="inlineStr">
        <is>
          <t>rate=0.000000000001;type=1;fv=0;ppmt=6</t>
        </is>
      </c>
      <c r="B59">
        <f>PPMT(0.000000000001,6,12,1000,0,1)</f>
        <v/>
      </c>
    </row>
    <row r="60">
      <c r="A60" t="inlineStr">
        <is>
          <t>rate=0.000000000001;type=1;fv=0;ppmt=12</t>
        </is>
      </c>
      <c r="B60">
        <f>PPMT(0.000000000001,12,12,1000,0,1)</f>
        <v/>
      </c>
    </row>
    <row r="61">
      <c r="A61" t="inlineStr">
        <is>
          <t>rate=0.000000000001;type=1;fv=200;pmt</t>
        </is>
      </c>
      <c r="B61">
        <f>PMT(0.000000000001,12,1000,200,1)</f>
        <v/>
      </c>
    </row>
    <row r="62">
      <c r="A62" t="inlineStr">
        <is>
          <t>rate=0.000000000001;type=1;fv=200;ppmt=1</t>
        </is>
      </c>
      <c r="B62">
        <f>PPMT(0.000000000001,1,12,1000,200,1)</f>
        <v/>
      </c>
    </row>
    <row r="63">
      <c r="A63" t="inlineStr">
        <is>
          <t>rate=0.000000000001;type=1;fv=200;ppmt=6</t>
        </is>
      </c>
      <c r="B63">
        <f>PPMT(0.000000000001,6,12,1000,200,1)</f>
        <v/>
      </c>
    </row>
    <row r="64">
      <c r="A64" t="inlineStr">
        <is>
          <t>rate=0.000000000001;type=1;fv=200;ppmt=12</t>
        </is>
      </c>
      <c r="B64">
        <f>PPMT(0.000000000001,12,12,1000,200,1)</f>
        <v/>
      </c>
    </row>
    <row r="65">
      <c r="A65" t="inlineStr">
        <is>
          <t>principal_sum;type=0</t>
        </is>
      </c>
      <c r="B65">
        <f>SUM(PPMT(0.05,1,12,1000,0,0),PPMT(0.05,2,12,1000,0,0),PPMT(0.05,3,12,1000,0,0),PPMT(0.05,4,12,1000,0,0),PPMT(0.05,5,12,1000,0,0),PPMT(0.05,6,12,1000,0,0),PPMT(0.05,7,12,1000,0,0),PPMT(0.05,8,12,1000,0,0),PPMT(0.05,9,12,1000,0,0),PPMT(0.05,10,12,1000,0,0),PPMT(0.05,11,12,1000,0,0),PPMT(0.05,12,12,1000,0,0))</f>
        <v/>
      </c>
    </row>
    <row r="66">
      <c r="A66" t="inlineStr">
        <is>
          <t>principal_sum;type=1</t>
        </is>
      </c>
      <c r="B66">
        <f>SUM(PPMT(0.05,1,12,1000,0,1),PPMT(0.05,2,12,1000,0,1),PPMT(0.05,3,12,1000,0,1),PPMT(0.05,4,12,1000,0,1),PPMT(0.05,5,12,1000,0,1),PPMT(0.05,6,12,1000,0,1),PPMT(0.05,7,12,1000,0,1),PPMT(0.05,8,12,1000,0,1),PPMT(0.05,9,12,1000,0,1),PPMT(0.05,10,12,1000,0,1),PPMT(0.05,11,12,1000,0,1),PPMT(0.05,12,12,1000,0,1))</f>
        <v/>
      </c>
    </row>
    <row r="67">
      <c r="A67" t="inlineStr">
        <is>
          <t>index_horizontal</t>
        </is>
      </c>
      <c r="B67">
        <f>INDEX('Input data'!A1:B1,2)</f>
        <v/>
      </c>
    </row>
    <row r="68">
      <c r="A68" t="inlineStr">
        <is>
          <t>index_vertical</t>
        </is>
      </c>
      <c r="B68">
        <f>INDEX('Input data'!A1:A2,2)</f>
        <v/>
      </c>
    </row>
    <row r="69">
      <c r="A69" t="inlineStr">
        <is>
          <t>index_2d</t>
        </is>
      </c>
      <c r="B69">
        <f>INDEX('Input data'!A1:B2,2,2)</f>
        <v/>
      </c>
    </row>
    <row r="70">
      <c r="A70" t="inlineStr">
        <is>
          <t>index_computed_position</t>
        </is>
      </c>
      <c r="B70">
        <f>INDEX('Input data'!A1:B1,'Input data'!C1)</f>
        <v/>
      </c>
    </row>
    <row r="71">
      <c r="A71" t="inlineStr">
        <is>
          <t>index_lazy_error</t>
        </is>
      </c>
      <c r="B71">
        <f>INDEX('Input data'!A5:B5,2)</f>
        <v/>
      </c>
    </row>
    <row r="72">
      <c r="A72" t="inlineStr">
        <is>
          <t>index_blank</t>
        </is>
      </c>
      <c r="B72">
        <f>INDEX('Input data'!A4:B4,1)</f>
        <v/>
      </c>
    </row>
    <row r="73">
      <c r="A73" t="inlineStr">
        <is>
          <t>index_out_of_range</t>
        </is>
      </c>
      <c r="B73">
        <f>INDEX('Input data'!A1:B1,3)</f>
        <v/>
      </c>
    </row>
    <row r="74">
      <c r="A74" t="inlineStr">
        <is>
          <t>index_zero_unsupported</t>
        </is>
      </c>
      <c r="B74">
        <f>INDEX('Input data'!A1:B1,0)</f>
        <v/>
      </c>
    </row>
    <row r="75">
      <c r="A75" t="inlineStr">
        <is>
          <t>index_fraction_unsupported</t>
        </is>
      </c>
      <c r="B75">
        <f>INDEX('Input data'!A1:B1,1.5)</f>
        <v/>
      </c>
    </row>
    <row r="76">
      <c r="A76" t="inlineStr">
        <is>
          <t>index_array_unsupported</t>
        </is>
      </c>
      <c r="B76">
        <f>INDEX('Input data'!A1:B2,1)</f>
        <v/>
      </c>
    </row>
    <row r="77">
      <c r="A77" t="inlineStr">
        <is>
          <t>lazy_if</t>
        </is>
      </c>
      <c r="B77">
        <f>IF(1,12,1/0)</f>
        <v/>
      </c>
    </row>
    <row r="78">
      <c r="A78" t="inlineStr">
        <is>
          <t>lazy_false_if</t>
        </is>
      </c>
      <c r="B78">
        <f>IF(0,1/0,12)</f>
        <v/>
      </c>
    </row>
    <row r="79">
      <c r="A79" t="inlineStr">
        <is>
          <t>if_error</t>
        </is>
      </c>
      <c r="B79">
        <f>IF('Input data'!A5,12,13)</f>
        <v/>
      </c>
    </row>
    <row r="80">
      <c r="A80" t="inlineStr">
        <is>
          <t>if_omitted_false</t>
        </is>
      </c>
      <c r="B80">
        <f>IF(0,12)</f>
        <v/>
      </c>
    </row>
    <row r="81">
      <c r="A81" t="inlineStr">
        <is>
          <t>range_sum_ignore_types</t>
        </is>
      </c>
      <c r="B81">
        <f>SUM('Input data'!A1:B4)</f>
        <v/>
      </c>
    </row>
    <row r="82">
      <c r="A82" t="inlineStr">
        <is>
          <t>range_max_ignore_types</t>
        </is>
      </c>
      <c r="B82">
        <f>MAX('Input data'!A1:B4)</f>
        <v/>
      </c>
    </row>
    <row r="83">
      <c r="A83" t="inlineStr">
        <is>
          <t>range_min_ignore_types</t>
        </is>
      </c>
      <c r="B83">
        <f>MIN('Input data'!A1:B4)</f>
        <v/>
      </c>
    </row>
    <row r="84">
      <c r="A84" t="inlineStr">
        <is>
          <t>reference_sum_ignore_types</t>
        </is>
      </c>
      <c r="B84">
        <f>SUM('Input data'!A3,'Input data'!B3)</f>
        <v/>
      </c>
    </row>
    <row r="85">
      <c r="A85" t="inlineStr">
        <is>
          <t>range_error</t>
        </is>
      </c>
      <c r="B85">
        <f>SUM('Input data'!A1:A5)</f>
        <v/>
      </c>
    </row>
    <row r="86">
      <c r="A86" t="inlineStr">
        <is>
          <t>tiny_denominator</t>
        </is>
      </c>
      <c r="B86">
        <f>1/0.00000000000001</f>
        <v/>
      </c>
    </row>
    <row r="87">
      <c r="A87" t="inlineStr">
        <is>
          <t>zero_denominator</t>
        </is>
      </c>
      <c r="B87">
        <f>1/0</f>
        <v/>
      </c>
    </row>
    <row r="88">
      <c r="A88" t="inlineStr">
        <is>
          <t>negative_fractional_power</t>
        </is>
      </c>
      <c r="B88">
        <f>(-1)^0.5</f>
        <v/>
      </c>
    </row>
    <row r="89">
      <c r="A89" t="inlineStr">
        <is>
          <t>numeric_comparison</t>
        </is>
      </c>
      <c r="B89">
        <f>10&gt;20</f>
        <v/>
      </c>
    </row>
    <row r="90">
      <c r="A90" t="inlineStr">
        <is>
          <t>text_numeric_unsupported</t>
        </is>
      </c>
      <c r="B90">
        <f>'Input data'!A3+1</f>
        <v/>
      </c>
    </row>
    <row r="91">
      <c r="A91" t="inlineStr">
        <is>
          <t>unknown_function_inactive</t>
        </is>
      </c>
      <c r="B91">
        <f>IF(1,12,SQRT(9))</f>
        <v/>
      </c>
    </row>
    <row r="92">
      <c r="A92" t="inlineStr">
        <is>
          <t>chained_power_unsupported</t>
        </is>
      </c>
      <c r="B92">
        <f>2^3^2</f>
        <v/>
      </c>
    </row>
    <row r="93">
      <c r="A93" t="inlineStr">
        <is>
          <t>financial_invalid_period</t>
        </is>
      </c>
      <c r="B93">
        <f>PPMT(0.05,13,12,1000)</f>
        <v/>
      </c>
    </row>
    <row r="94">
      <c r="A94" t="inlineStr">
        <is>
          <t>financial_fractional_period</t>
        </is>
      </c>
      <c r="B94">
        <f>PPMT(0.05,1.5,12,1000)</f>
        <v/>
      </c>
    </row>
    <row r="95">
      <c r="A95" t="inlineStr">
        <is>
          <t>financial_rate_minus_one</t>
        </is>
      </c>
      <c r="B95">
        <f>PMT(-1,12,1000)</f>
        <v/>
      </c>
    </row>
    <row r="96">
      <c r="A96" t="inlineStr">
        <is>
          <t>inactive_circular</t>
        </is>
      </c>
      <c r="B96">
        <f>IF(1,12,B96)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 t="n">
        <v>2</v>
      </c>
    </row>
    <row r="2" hidden="1">
      <c r="A2" t="n">
        <v>30</v>
      </c>
      <c r="B2" t="n">
        <v>40</v>
      </c>
    </row>
    <row r="3">
      <c r="A3" t="inlineStr">
        <is>
          <t>123</t>
        </is>
      </c>
      <c r="B3" t="b">
        <v>1</v>
      </c>
    </row>
    <row r="5">
      <c r="A5">
        <f>1/0</f>
        <v/>
      </c>
      <c r="B5">
        <f>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2026-10-18T13:27:13Z</dcterms:created>
  <dcterms:modified xsi:type="dcterms:W3CDTF">2026-10-18T13:27:13Z</dcterms:modified>
</cp:coreProperties>
</file>