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Assumptions" sheetId="2" state="visible" r:id="rId2"/>
    <sheet name="Customers" sheetId="3" state="visible" r:id="rId3"/>
    <sheet name="Plan Summary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4" fontId="0" fillId="0" borderId="4" pivotButton="0" quotePrefix="0" xfId="0"/>
    <xf numFmtId="165" fontId="0" fillId="0" borderId="5" pivotButton="0" quotePrefix="0" xfId="0"/>
    <xf numFmtId="164" fontId="0" fillId="0" borderId="5" pivotButton="0" quotePrefix="0" xfId="0"/>
    <xf numFmtId="165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SaaS customer revenue</t>
        </is>
      </c>
    </row>
    <row r="4">
      <c r="A4" s="5" t="inlineStr">
        <is>
          <t>Random seed</t>
        </is>
      </c>
      <c r="B4" t="n">
        <v>55099</v>
      </c>
    </row>
    <row r="5">
      <c r="A5" s="5" t="inlineStr">
        <is>
          <t>Generated rows</t>
        </is>
      </c>
      <c r="B5" t="n">
        <v>200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Months per year</t>
        </is>
      </c>
      <c r="B3" s="16" t="n">
        <v>12</v>
      </c>
    </row>
    <row r="4">
      <c r="A4" t="inlineStr">
        <is>
          <t>Support rate</t>
        </is>
      </c>
      <c r="B4" s="31" t="n">
        <v>0.05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1" customWidth="1" min="5" max="5"/>
    <col width="13" customWidth="1" min="6" max="6"/>
    <col width="14" customWidth="1" min="7" max="7"/>
    <col width="15" customWidth="1" min="8" max="8"/>
    <col width="14" customWidth="1" min="9" max="9"/>
    <col width="15" customWidth="1" min="10" max="10"/>
  </cols>
  <sheetData>
    <row r="1" ht="30" customHeight="1">
      <c r="A1" s="3" t="inlineStr">
        <is>
          <t>SaaS Customer Revenue</t>
        </is>
      </c>
    </row>
    <row r="2" ht="28" customHeight="1">
      <c r="A2" s="14" t="inlineStr">
        <is>
          <t>Customer</t>
        </is>
      </c>
      <c r="B2" s="21" t="inlineStr">
        <is>
          <t>Plan</t>
        </is>
      </c>
      <c r="C2" s="21" t="inlineStr">
        <is>
          <t>Seats</t>
        </is>
      </c>
      <c r="D2" s="21" t="inlineStr">
        <is>
          <t>Unit Price</t>
        </is>
      </c>
      <c r="E2" s="21" t="inlineStr">
        <is>
          <t>Discount</t>
        </is>
      </c>
      <c r="F2" s="21" t="inlineStr">
        <is>
          <t>MRR</t>
        </is>
      </c>
      <c r="G2" s="21" t="inlineStr">
        <is>
          <t>ARR</t>
        </is>
      </c>
      <c r="H2" s="21" t="inlineStr">
        <is>
          <t>Support Cost</t>
        </is>
      </c>
      <c r="I2" s="21" t="inlineStr">
        <is>
          <t>Net ARR</t>
        </is>
      </c>
      <c r="J2" s="15" t="inlineStr">
        <is>
          <t>MRR per Seat</t>
        </is>
      </c>
    </row>
    <row r="3">
      <c r="A3" s="22" t="inlineStr">
        <is>
          <t>CUS-0001</t>
        </is>
      </c>
      <c r="B3" s="22" t="inlineStr">
        <is>
          <t>Enterprise</t>
        </is>
      </c>
      <c r="C3" s="22" t="n">
        <v>8</v>
      </c>
      <c r="D3" s="32" t="n">
        <v>79</v>
      </c>
      <c r="E3" s="33" t="n">
        <v>0</v>
      </c>
      <c r="F3" s="32">
        <f>ROUND(C3*D3*(1-E3),2)</f>
        <v/>
      </c>
      <c r="G3" s="32">
        <f>F3*'Assumptions'!$B$3</f>
        <v/>
      </c>
      <c r="H3" s="32">
        <f>G3*'Assumptions'!$B$4</f>
        <v/>
      </c>
      <c r="I3" s="32">
        <f>G3-H3</f>
        <v/>
      </c>
      <c r="J3" s="32">
        <f>IF(C3=0,0,ROUND(F3/C3,2))</f>
        <v/>
      </c>
    </row>
    <row r="4">
      <c r="A4" s="23" t="inlineStr">
        <is>
          <t>CUS-0002</t>
        </is>
      </c>
      <c r="B4" s="23" t="inlineStr">
        <is>
          <t>Growth</t>
        </is>
      </c>
      <c r="C4" s="23" t="n">
        <v>44</v>
      </c>
      <c r="D4" s="34" t="n">
        <v>9</v>
      </c>
      <c r="E4" s="35" t="n">
        <v>0.15</v>
      </c>
      <c r="F4" s="34">
        <f>ROUND(C4*D4*(1-E4),2)</f>
        <v/>
      </c>
      <c r="G4" s="34">
        <f>F4*'Assumptions'!$B$3</f>
        <v/>
      </c>
      <c r="H4" s="34">
        <f>G4*'Assumptions'!$B$4</f>
        <v/>
      </c>
      <c r="I4" s="34">
        <f>G4-H4</f>
        <v/>
      </c>
      <c r="J4" s="34">
        <f>IF(C4=0,0,ROUND(F4/C4,2))</f>
        <v/>
      </c>
    </row>
    <row r="5">
      <c r="A5" s="23" t="inlineStr">
        <is>
          <t>CUS-0003</t>
        </is>
      </c>
      <c r="B5" s="23" t="inlineStr">
        <is>
          <t>Starter</t>
        </is>
      </c>
      <c r="C5" s="23" t="n">
        <v>23</v>
      </c>
      <c r="D5" s="34" t="n">
        <v>39</v>
      </c>
      <c r="E5" s="35" t="n">
        <v>0.05</v>
      </c>
      <c r="F5" s="34">
        <f>ROUND(C5*D5*(1-E5),2)</f>
        <v/>
      </c>
      <c r="G5" s="34">
        <f>F5*'Assumptions'!$B$3</f>
        <v/>
      </c>
      <c r="H5" s="34">
        <f>G5*'Assumptions'!$B$4</f>
        <v/>
      </c>
      <c r="I5" s="34">
        <f>G5-H5</f>
        <v/>
      </c>
      <c r="J5" s="34">
        <f>IF(C5=0,0,ROUND(F5/C5,2))</f>
        <v/>
      </c>
    </row>
    <row r="6">
      <c r="A6" s="23" t="inlineStr">
        <is>
          <t>CUS-0004</t>
        </is>
      </c>
      <c r="B6" s="23" t="inlineStr">
        <is>
          <t>Enterprise</t>
        </is>
      </c>
      <c r="C6" s="23" t="n">
        <v>2</v>
      </c>
      <c r="D6" s="34" t="n">
        <v>39</v>
      </c>
      <c r="E6" s="35" t="n">
        <v>0.05</v>
      </c>
      <c r="F6" s="34">
        <f>ROUND(C6*D6*(1-E6),2)</f>
        <v/>
      </c>
      <c r="G6" s="34">
        <f>F6*'Assumptions'!$B$3</f>
        <v/>
      </c>
      <c r="H6" s="34">
        <f>G6*'Assumptions'!$B$4</f>
        <v/>
      </c>
      <c r="I6" s="34">
        <f>G6-H6</f>
        <v/>
      </c>
      <c r="J6" s="34">
        <f>IF(C6=0,0,ROUND(F6/C6,2))</f>
        <v/>
      </c>
    </row>
    <row r="7">
      <c r="A7" s="23" t="inlineStr">
        <is>
          <t>CUS-0005</t>
        </is>
      </c>
      <c r="B7" s="23" t="inlineStr">
        <is>
          <t>Growth</t>
        </is>
      </c>
      <c r="C7" s="23" t="n">
        <v>37</v>
      </c>
      <c r="D7" s="34" t="n">
        <v>19</v>
      </c>
      <c r="E7" s="35" t="n">
        <v>0.05</v>
      </c>
      <c r="F7" s="34">
        <f>ROUND(C7*D7*(1-E7),2)</f>
        <v/>
      </c>
      <c r="G7" s="34">
        <f>F7*'Assumptions'!$B$3</f>
        <v/>
      </c>
      <c r="H7" s="34">
        <f>G7*'Assumptions'!$B$4</f>
        <v/>
      </c>
      <c r="I7" s="34">
        <f>G7-H7</f>
        <v/>
      </c>
      <c r="J7" s="34">
        <f>IF(C7=0,0,ROUND(F7/C7,2))</f>
        <v/>
      </c>
    </row>
    <row r="8">
      <c r="A8" s="23" t="inlineStr">
        <is>
          <t>CUS-0006</t>
        </is>
      </c>
      <c r="B8" s="23" t="inlineStr">
        <is>
          <t>Enterprise</t>
        </is>
      </c>
      <c r="C8" s="23" t="n">
        <v>93</v>
      </c>
      <c r="D8" s="34" t="n">
        <v>79</v>
      </c>
      <c r="E8" s="35" t="n">
        <v>0</v>
      </c>
      <c r="F8" s="34">
        <f>ROUND(C8*D8*(1-E8),2)</f>
        <v/>
      </c>
      <c r="G8" s="34">
        <f>F8*'Assumptions'!$B$3</f>
        <v/>
      </c>
      <c r="H8" s="34">
        <f>G8*'Assumptions'!$B$4</f>
        <v/>
      </c>
      <c r="I8" s="34">
        <f>G8-H8</f>
        <v/>
      </c>
      <c r="J8" s="34">
        <f>IF(C8=0,0,ROUND(F8/C8,2))</f>
        <v/>
      </c>
    </row>
    <row r="9">
      <c r="A9" s="23" t="inlineStr">
        <is>
          <t>CUS-0007</t>
        </is>
      </c>
      <c r="B9" s="23" t="inlineStr">
        <is>
          <t>Enterprise</t>
        </is>
      </c>
      <c r="C9" s="23" t="n">
        <v>112</v>
      </c>
      <c r="D9" s="34" t="n">
        <v>39</v>
      </c>
      <c r="E9" s="35" t="n">
        <v>0.15</v>
      </c>
      <c r="F9" s="34">
        <f>ROUND(C9*D9*(1-E9),2)</f>
        <v/>
      </c>
      <c r="G9" s="34">
        <f>F9*'Assumptions'!$B$3</f>
        <v/>
      </c>
      <c r="H9" s="34">
        <f>G9*'Assumptions'!$B$4</f>
        <v/>
      </c>
      <c r="I9" s="34">
        <f>G9-H9</f>
        <v/>
      </c>
      <c r="J9" s="34">
        <f>IF(C9=0,0,ROUND(F9/C9,2))</f>
        <v/>
      </c>
    </row>
    <row r="10">
      <c r="A10" s="23" t="inlineStr">
        <is>
          <t>CUS-0008</t>
        </is>
      </c>
      <c r="B10" s="23" t="inlineStr">
        <is>
          <t>Starter</t>
        </is>
      </c>
      <c r="C10" s="23" t="n">
        <v>17</v>
      </c>
      <c r="D10" s="34" t="n">
        <v>19</v>
      </c>
      <c r="E10" s="35" t="n">
        <v>0.05</v>
      </c>
      <c r="F10" s="34">
        <f>ROUND(C10*D10*(1-E10),2)</f>
        <v/>
      </c>
      <c r="G10" s="34">
        <f>F10*'Assumptions'!$B$3</f>
        <v/>
      </c>
      <c r="H10" s="34">
        <f>G10*'Assumptions'!$B$4</f>
        <v/>
      </c>
      <c r="I10" s="34">
        <f>G10-H10</f>
        <v/>
      </c>
      <c r="J10" s="34">
        <f>IF(C10=0,0,ROUND(F10/C10,2))</f>
        <v/>
      </c>
    </row>
    <row r="11">
      <c r="A11" s="23" t="inlineStr">
        <is>
          <t>CUS-0009</t>
        </is>
      </c>
      <c r="B11" s="23" t="inlineStr">
        <is>
          <t>Starter</t>
        </is>
      </c>
      <c r="C11" s="23" t="n">
        <v>139</v>
      </c>
      <c r="D11" s="34" t="n">
        <v>39</v>
      </c>
      <c r="E11" s="35" t="n">
        <v>0.05</v>
      </c>
      <c r="F11" s="34">
        <f>ROUND(C11*D11*(1-E11),2)</f>
        <v/>
      </c>
      <c r="G11" s="34">
        <f>F11*'Assumptions'!$B$3</f>
        <v/>
      </c>
      <c r="H11" s="34">
        <f>G11*'Assumptions'!$B$4</f>
        <v/>
      </c>
      <c r="I11" s="34">
        <f>G11-H11</f>
        <v/>
      </c>
      <c r="J11" s="34">
        <f>IF(C11=0,0,ROUND(F11/C11,2))</f>
        <v/>
      </c>
    </row>
    <row r="12">
      <c r="A12" s="23" t="inlineStr">
        <is>
          <t>CUS-0010</t>
        </is>
      </c>
      <c r="B12" s="23" t="inlineStr">
        <is>
          <t>Starter</t>
        </is>
      </c>
      <c r="C12" s="23" t="n">
        <v>13</v>
      </c>
      <c r="D12" s="34" t="n">
        <v>39</v>
      </c>
      <c r="E12" s="35" t="n">
        <v>0.1</v>
      </c>
      <c r="F12" s="34">
        <f>ROUND(C12*D12*(1-E12),2)</f>
        <v/>
      </c>
      <c r="G12" s="34">
        <f>F12*'Assumptions'!$B$3</f>
        <v/>
      </c>
      <c r="H12" s="34">
        <f>G12*'Assumptions'!$B$4</f>
        <v/>
      </c>
      <c r="I12" s="34">
        <f>G12-H12</f>
        <v/>
      </c>
      <c r="J12" s="34">
        <f>IF(C12=0,0,ROUND(F12/C12,2))</f>
        <v/>
      </c>
    </row>
    <row r="13">
      <c r="A13" s="23" t="inlineStr">
        <is>
          <t>CUS-0011</t>
        </is>
      </c>
      <c r="B13" s="23" t="inlineStr">
        <is>
          <t>Starter</t>
        </is>
      </c>
      <c r="C13" s="23" t="n">
        <v>73</v>
      </c>
      <c r="D13" s="34" t="n">
        <v>39</v>
      </c>
      <c r="E13" s="35" t="n">
        <v>0.05</v>
      </c>
      <c r="F13" s="34">
        <f>ROUND(C13*D13*(1-E13),2)</f>
        <v/>
      </c>
      <c r="G13" s="34">
        <f>F13*'Assumptions'!$B$3</f>
        <v/>
      </c>
      <c r="H13" s="34">
        <f>G13*'Assumptions'!$B$4</f>
        <v/>
      </c>
      <c r="I13" s="34">
        <f>G13-H13</f>
        <v/>
      </c>
      <c r="J13" s="34">
        <f>IF(C13=0,0,ROUND(F13/C13,2))</f>
        <v/>
      </c>
    </row>
    <row r="14">
      <c r="A14" s="23" t="inlineStr">
        <is>
          <t>CUS-0012</t>
        </is>
      </c>
      <c r="B14" s="23" t="inlineStr">
        <is>
          <t>Enterprise</t>
        </is>
      </c>
      <c r="C14" s="23" t="n">
        <v>57</v>
      </c>
      <c r="D14" s="34" t="n">
        <v>9</v>
      </c>
      <c r="E14" s="35" t="n">
        <v>0.1</v>
      </c>
      <c r="F14" s="34">
        <f>ROUND(C14*D14*(1-E14),2)</f>
        <v/>
      </c>
      <c r="G14" s="34">
        <f>F14*'Assumptions'!$B$3</f>
        <v/>
      </c>
      <c r="H14" s="34">
        <f>G14*'Assumptions'!$B$4</f>
        <v/>
      </c>
      <c r="I14" s="34">
        <f>G14-H14</f>
        <v/>
      </c>
      <c r="J14" s="34">
        <f>IF(C14=0,0,ROUND(F14/C14,2))</f>
        <v/>
      </c>
    </row>
    <row r="15">
      <c r="A15" s="23" t="inlineStr">
        <is>
          <t>CUS-0013</t>
        </is>
      </c>
      <c r="B15" s="23" t="inlineStr">
        <is>
          <t>Enterprise</t>
        </is>
      </c>
      <c r="C15" s="23" t="n">
        <v>99</v>
      </c>
      <c r="D15" s="34" t="n">
        <v>19</v>
      </c>
      <c r="E15" s="35" t="n">
        <v>0.05</v>
      </c>
      <c r="F15" s="34">
        <f>ROUND(C15*D15*(1-E15),2)</f>
        <v/>
      </c>
      <c r="G15" s="34">
        <f>F15*'Assumptions'!$B$3</f>
        <v/>
      </c>
      <c r="H15" s="34">
        <f>G15*'Assumptions'!$B$4</f>
        <v/>
      </c>
      <c r="I15" s="34">
        <f>G15-H15</f>
        <v/>
      </c>
      <c r="J15" s="34">
        <f>IF(C15=0,0,ROUND(F15/C15,2))</f>
        <v/>
      </c>
    </row>
    <row r="16">
      <c r="A16" s="23" t="inlineStr">
        <is>
          <t>CUS-0014</t>
        </is>
      </c>
      <c r="B16" s="23" t="inlineStr">
        <is>
          <t>Starter</t>
        </is>
      </c>
      <c r="C16" s="23" t="n">
        <v>126</v>
      </c>
      <c r="D16" s="34" t="n">
        <v>9</v>
      </c>
      <c r="E16" s="35" t="n">
        <v>0.15</v>
      </c>
      <c r="F16" s="34">
        <f>ROUND(C16*D16*(1-E16),2)</f>
        <v/>
      </c>
      <c r="G16" s="34">
        <f>F16*'Assumptions'!$B$3</f>
        <v/>
      </c>
      <c r="H16" s="34">
        <f>G16*'Assumptions'!$B$4</f>
        <v/>
      </c>
      <c r="I16" s="34">
        <f>G16-H16</f>
        <v/>
      </c>
      <c r="J16" s="34">
        <f>IF(C16=0,0,ROUND(F16/C16,2))</f>
        <v/>
      </c>
    </row>
    <row r="17">
      <c r="A17" s="23" t="inlineStr">
        <is>
          <t>CUS-0015</t>
        </is>
      </c>
      <c r="B17" s="23" t="inlineStr">
        <is>
          <t>Enterprise</t>
        </is>
      </c>
      <c r="C17" s="23" t="n">
        <v>119</v>
      </c>
      <c r="D17" s="34" t="n">
        <v>79</v>
      </c>
      <c r="E17" s="35" t="n">
        <v>0.05</v>
      </c>
      <c r="F17" s="34">
        <f>ROUND(C17*D17*(1-E17),2)</f>
        <v/>
      </c>
      <c r="G17" s="34">
        <f>F17*'Assumptions'!$B$3</f>
        <v/>
      </c>
      <c r="H17" s="34">
        <f>G17*'Assumptions'!$B$4</f>
        <v/>
      </c>
      <c r="I17" s="34">
        <f>G17-H17</f>
        <v/>
      </c>
      <c r="J17" s="34">
        <f>IF(C17=0,0,ROUND(F17/C17,2))</f>
        <v/>
      </c>
    </row>
    <row r="18">
      <c r="A18" s="23" t="inlineStr">
        <is>
          <t>CUS-0016</t>
        </is>
      </c>
      <c r="B18" s="23" t="inlineStr">
        <is>
          <t>Enterprise</t>
        </is>
      </c>
      <c r="C18" s="23" t="n">
        <v>83</v>
      </c>
      <c r="D18" s="34" t="n">
        <v>79</v>
      </c>
      <c r="E18" s="35" t="n">
        <v>0</v>
      </c>
      <c r="F18" s="34">
        <f>ROUND(C18*D18*(1-E18),2)</f>
        <v/>
      </c>
      <c r="G18" s="34">
        <f>F18*'Assumptions'!$B$3</f>
        <v/>
      </c>
      <c r="H18" s="34">
        <f>G18*'Assumptions'!$B$4</f>
        <v/>
      </c>
      <c r="I18" s="34">
        <f>G18-H18</f>
        <v/>
      </c>
      <c r="J18" s="34">
        <f>IF(C18=0,0,ROUND(F18/C18,2))</f>
        <v/>
      </c>
    </row>
    <row r="19">
      <c r="A19" s="23" t="inlineStr">
        <is>
          <t>CUS-0017</t>
        </is>
      </c>
      <c r="B19" s="23" t="inlineStr">
        <is>
          <t>Starter</t>
        </is>
      </c>
      <c r="C19" s="23" t="n">
        <v>73</v>
      </c>
      <c r="D19" s="34" t="n">
        <v>19</v>
      </c>
      <c r="E19" s="35" t="n">
        <v>0.05</v>
      </c>
      <c r="F19" s="34">
        <f>ROUND(C19*D19*(1-E19),2)</f>
        <v/>
      </c>
      <c r="G19" s="34">
        <f>F19*'Assumptions'!$B$3</f>
        <v/>
      </c>
      <c r="H19" s="34">
        <f>G19*'Assumptions'!$B$4</f>
        <v/>
      </c>
      <c r="I19" s="34">
        <f>G19-H19</f>
        <v/>
      </c>
      <c r="J19" s="34">
        <f>IF(C19=0,0,ROUND(F19/C19,2))</f>
        <v/>
      </c>
    </row>
    <row r="20">
      <c r="A20" s="23" t="inlineStr">
        <is>
          <t>CUS-0018</t>
        </is>
      </c>
      <c r="B20" s="23" t="inlineStr">
        <is>
          <t>Enterprise</t>
        </is>
      </c>
      <c r="C20" s="23" t="n">
        <v>90</v>
      </c>
      <c r="D20" s="34" t="n">
        <v>9</v>
      </c>
      <c r="E20" s="35" t="n">
        <v>0.05</v>
      </c>
      <c r="F20" s="34">
        <f>ROUND(C20*D20*(1-E20),2)</f>
        <v/>
      </c>
      <c r="G20" s="34">
        <f>F20*'Assumptions'!$B$3</f>
        <v/>
      </c>
      <c r="H20" s="34">
        <f>G20*'Assumptions'!$B$4</f>
        <v/>
      </c>
      <c r="I20" s="34">
        <f>G20-H20</f>
        <v/>
      </c>
      <c r="J20" s="34">
        <f>IF(C20=0,0,ROUND(F20/C20,2))</f>
        <v/>
      </c>
    </row>
    <row r="21">
      <c r="A21" s="23" t="inlineStr">
        <is>
          <t>CUS-0019</t>
        </is>
      </c>
      <c r="B21" s="23" t="inlineStr">
        <is>
          <t>Growth</t>
        </is>
      </c>
      <c r="C21" s="23" t="n">
        <v>54</v>
      </c>
      <c r="D21" s="34" t="n">
        <v>19</v>
      </c>
      <c r="E21" s="35" t="n">
        <v>0.05</v>
      </c>
      <c r="F21" s="34">
        <f>ROUND(C21*D21*(1-E21),2)</f>
        <v/>
      </c>
      <c r="G21" s="34">
        <f>F21*'Assumptions'!$B$3</f>
        <v/>
      </c>
      <c r="H21" s="34">
        <f>G21*'Assumptions'!$B$4</f>
        <v/>
      </c>
      <c r="I21" s="34">
        <f>G21-H21</f>
        <v/>
      </c>
      <c r="J21" s="34">
        <f>IF(C21=0,0,ROUND(F21/C21,2))</f>
        <v/>
      </c>
    </row>
    <row r="22">
      <c r="A22" s="23" t="inlineStr">
        <is>
          <t>CUS-0020</t>
        </is>
      </c>
      <c r="B22" s="23" t="inlineStr">
        <is>
          <t>Growth</t>
        </is>
      </c>
      <c r="C22" s="23" t="n">
        <v>81</v>
      </c>
      <c r="D22" s="34" t="n">
        <v>39</v>
      </c>
      <c r="E22" s="35" t="n">
        <v>0.05</v>
      </c>
      <c r="F22" s="34">
        <f>ROUND(C22*D22*(1-E22),2)</f>
        <v/>
      </c>
      <c r="G22" s="34">
        <f>F22*'Assumptions'!$B$3</f>
        <v/>
      </c>
      <c r="H22" s="34">
        <f>G22*'Assumptions'!$B$4</f>
        <v/>
      </c>
      <c r="I22" s="34">
        <f>G22-H22</f>
        <v/>
      </c>
      <c r="J22" s="34">
        <f>IF(C22=0,0,ROUND(F22/C22,2))</f>
        <v/>
      </c>
    </row>
    <row r="23">
      <c r="A23" s="23" t="inlineStr">
        <is>
          <t>CUS-0021</t>
        </is>
      </c>
      <c r="B23" s="23" t="inlineStr">
        <is>
          <t>Enterprise</t>
        </is>
      </c>
      <c r="C23" s="23" t="n">
        <v>148</v>
      </c>
      <c r="D23" s="34" t="n">
        <v>79</v>
      </c>
      <c r="E23" s="35" t="n">
        <v>0</v>
      </c>
      <c r="F23" s="34">
        <f>ROUND(C23*D23*(1-E23),2)</f>
        <v/>
      </c>
      <c r="G23" s="34">
        <f>F23*'Assumptions'!$B$3</f>
        <v/>
      </c>
      <c r="H23" s="34">
        <f>G23*'Assumptions'!$B$4</f>
        <v/>
      </c>
      <c r="I23" s="34">
        <f>G23-H23</f>
        <v/>
      </c>
      <c r="J23" s="34">
        <f>IF(C23=0,0,ROUND(F23/C23,2))</f>
        <v/>
      </c>
    </row>
    <row r="24">
      <c r="A24" s="23" t="inlineStr">
        <is>
          <t>CUS-0022</t>
        </is>
      </c>
      <c r="B24" s="23" t="inlineStr">
        <is>
          <t>Growth</t>
        </is>
      </c>
      <c r="C24" s="23" t="n">
        <v>52</v>
      </c>
      <c r="D24" s="34" t="n">
        <v>9</v>
      </c>
      <c r="E24" s="35" t="n">
        <v>0.05</v>
      </c>
      <c r="F24" s="34">
        <f>ROUND(C24*D24*(1-E24),2)</f>
        <v/>
      </c>
      <c r="G24" s="34">
        <f>F24*'Assumptions'!$B$3</f>
        <v/>
      </c>
      <c r="H24" s="34">
        <f>G24*'Assumptions'!$B$4</f>
        <v/>
      </c>
      <c r="I24" s="34">
        <f>G24-H24</f>
        <v/>
      </c>
      <c r="J24" s="34">
        <f>IF(C24=0,0,ROUND(F24/C24,2))</f>
        <v/>
      </c>
    </row>
    <row r="25">
      <c r="A25" s="23" t="inlineStr">
        <is>
          <t>CUS-0023</t>
        </is>
      </c>
      <c r="B25" s="23" t="inlineStr">
        <is>
          <t>Starter</t>
        </is>
      </c>
      <c r="C25" s="23" t="n">
        <v>114</v>
      </c>
      <c r="D25" s="34" t="n">
        <v>9</v>
      </c>
      <c r="E25" s="35" t="n">
        <v>0</v>
      </c>
      <c r="F25" s="34">
        <f>ROUND(C25*D25*(1-E25),2)</f>
        <v/>
      </c>
      <c r="G25" s="34">
        <f>F25*'Assumptions'!$B$3</f>
        <v/>
      </c>
      <c r="H25" s="34">
        <f>G25*'Assumptions'!$B$4</f>
        <v/>
      </c>
      <c r="I25" s="34">
        <f>G25-H25</f>
        <v/>
      </c>
      <c r="J25" s="34">
        <f>IF(C25=0,0,ROUND(F25/C25,2))</f>
        <v/>
      </c>
    </row>
    <row r="26">
      <c r="A26" s="23" t="inlineStr">
        <is>
          <t>CUS-0024</t>
        </is>
      </c>
      <c r="B26" s="23" t="inlineStr">
        <is>
          <t>Growth</t>
        </is>
      </c>
      <c r="C26" s="23" t="n">
        <v>126</v>
      </c>
      <c r="D26" s="34" t="n">
        <v>79</v>
      </c>
      <c r="E26" s="35" t="n">
        <v>0.1</v>
      </c>
      <c r="F26" s="34">
        <f>ROUND(C26*D26*(1-E26),2)</f>
        <v/>
      </c>
      <c r="G26" s="34">
        <f>F26*'Assumptions'!$B$3</f>
        <v/>
      </c>
      <c r="H26" s="34">
        <f>G26*'Assumptions'!$B$4</f>
        <v/>
      </c>
      <c r="I26" s="34">
        <f>G26-H26</f>
        <v/>
      </c>
      <c r="J26" s="34">
        <f>IF(C26=0,0,ROUND(F26/C26,2))</f>
        <v/>
      </c>
    </row>
    <row r="27">
      <c r="A27" s="23" t="inlineStr">
        <is>
          <t>CUS-0025</t>
        </is>
      </c>
      <c r="B27" s="23" t="inlineStr">
        <is>
          <t>Growth</t>
        </is>
      </c>
      <c r="C27" s="23" t="n">
        <v>144</v>
      </c>
      <c r="D27" s="34" t="n">
        <v>19</v>
      </c>
      <c r="E27" s="35" t="n">
        <v>0.15</v>
      </c>
      <c r="F27" s="34">
        <f>ROUND(C27*D27*(1-E27),2)</f>
        <v/>
      </c>
      <c r="G27" s="34">
        <f>F27*'Assumptions'!$B$3</f>
        <v/>
      </c>
      <c r="H27" s="34">
        <f>G27*'Assumptions'!$B$4</f>
        <v/>
      </c>
      <c r="I27" s="34">
        <f>G27-H27</f>
        <v/>
      </c>
      <c r="J27" s="34">
        <f>IF(C27=0,0,ROUND(F27/C27,2))</f>
        <v/>
      </c>
    </row>
    <row r="28">
      <c r="A28" s="23" t="inlineStr">
        <is>
          <t>CUS-0026</t>
        </is>
      </c>
      <c r="B28" s="23" t="inlineStr">
        <is>
          <t>Starter</t>
        </is>
      </c>
      <c r="C28" s="23" t="n">
        <v>8</v>
      </c>
      <c r="D28" s="34" t="n">
        <v>19</v>
      </c>
      <c r="E28" s="35" t="n">
        <v>0.1</v>
      </c>
      <c r="F28" s="34">
        <f>ROUND(C28*D28*(1-E28),2)</f>
        <v/>
      </c>
      <c r="G28" s="34">
        <f>F28*'Assumptions'!$B$3</f>
        <v/>
      </c>
      <c r="H28" s="34">
        <f>G28*'Assumptions'!$B$4</f>
        <v/>
      </c>
      <c r="I28" s="34">
        <f>G28-H28</f>
        <v/>
      </c>
      <c r="J28" s="34">
        <f>IF(C28=0,0,ROUND(F28/C28,2))</f>
        <v/>
      </c>
    </row>
    <row r="29">
      <c r="A29" s="23" t="inlineStr">
        <is>
          <t>CUS-0027</t>
        </is>
      </c>
      <c r="B29" s="23" t="inlineStr">
        <is>
          <t>Starter</t>
        </is>
      </c>
      <c r="C29" s="23" t="n">
        <v>43</v>
      </c>
      <c r="D29" s="34" t="n">
        <v>19</v>
      </c>
      <c r="E29" s="35" t="n">
        <v>0.1</v>
      </c>
      <c r="F29" s="34">
        <f>ROUND(C29*D29*(1-E29),2)</f>
        <v/>
      </c>
      <c r="G29" s="34">
        <f>F29*'Assumptions'!$B$3</f>
        <v/>
      </c>
      <c r="H29" s="34">
        <f>G29*'Assumptions'!$B$4</f>
        <v/>
      </c>
      <c r="I29" s="34">
        <f>G29-H29</f>
        <v/>
      </c>
      <c r="J29" s="34">
        <f>IF(C29=0,0,ROUND(F29/C29,2))</f>
        <v/>
      </c>
    </row>
    <row r="30">
      <c r="A30" s="23" t="inlineStr">
        <is>
          <t>CUS-0028</t>
        </is>
      </c>
      <c r="B30" s="23" t="inlineStr">
        <is>
          <t>Enterprise</t>
        </is>
      </c>
      <c r="C30" s="23" t="n">
        <v>20</v>
      </c>
      <c r="D30" s="34" t="n">
        <v>79</v>
      </c>
      <c r="E30" s="35" t="n">
        <v>0</v>
      </c>
      <c r="F30" s="34">
        <f>ROUND(C30*D30*(1-E30),2)</f>
        <v/>
      </c>
      <c r="G30" s="34">
        <f>F30*'Assumptions'!$B$3</f>
        <v/>
      </c>
      <c r="H30" s="34">
        <f>G30*'Assumptions'!$B$4</f>
        <v/>
      </c>
      <c r="I30" s="34">
        <f>G30-H30</f>
        <v/>
      </c>
      <c r="J30" s="34">
        <f>IF(C30=0,0,ROUND(F30/C30,2))</f>
        <v/>
      </c>
    </row>
    <row r="31">
      <c r="A31" s="23" t="inlineStr">
        <is>
          <t>CUS-0029</t>
        </is>
      </c>
      <c r="B31" s="23" t="inlineStr">
        <is>
          <t>Enterprise</t>
        </is>
      </c>
      <c r="C31" s="23" t="n">
        <v>83</v>
      </c>
      <c r="D31" s="34" t="n">
        <v>19</v>
      </c>
      <c r="E31" s="35" t="n">
        <v>0</v>
      </c>
      <c r="F31" s="34">
        <f>ROUND(C31*D31*(1-E31),2)</f>
        <v/>
      </c>
      <c r="G31" s="34">
        <f>F31*'Assumptions'!$B$3</f>
        <v/>
      </c>
      <c r="H31" s="34">
        <f>G31*'Assumptions'!$B$4</f>
        <v/>
      </c>
      <c r="I31" s="34">
        <f>G31-H31</f>
        <v/>
      </c>
      <c r="J31" s="34">
        <f>IF(C31=0,0,ROUND(F31/C31,2))</f>
        <v/>
      </c>
    </row>
    <row r="32">
      <c r="A32" s="23" t="inlineStr">
        <is>
          <t>CUS-0030</t>
        </is>
      </c>
      <c r="B32" s="23" t="inlineStr">
        <is>
          <t>Starter</t>
        </is>
      </c>
      <c r="C32" s="23" t="n">
        <v>26</v>
      </c>
      <c r="D32" s="34" t="n">
        <v>19</v>
      </c>
      <c r="E32" s="35" t="n">
        <v>0.05</v>
      </c>
      <c r="F32" s="34">
        <f>ROUND(C32*D32*(1-E32),2)</f>
        <v/>
      </c>
      <c r="G32" s="34">
        <f>F32*'Assumptions'!$B$3</f>
        <v/>
      </c>
      <c r="H32" s="34">
        <f>G32*'Assumptions'!$B$4</f>
        <v/>
      </c>
      <c r="I32" s="34">
        <f>G32-H32</f>
        <v/>
      </c>
      <c r="J32" s="34">
        <f>IF(C32=0,0,ROUND(F32/C32,2))</f>
        <v/>
      </c>
    </row>
    <row r="33">
      <c r="A33" s="23" t="inlineStr">
        <is>
          <t>CUS-0031</t>
        </is>
      </c>
      <c r="B33" s="23" t="inlineStr">
        <is>
          <t>Growth</t>
        </is>
      </c>
      <c r="C33" s="23" t="n">
        <v>52</v>
      </c>
      <c r="D33" s="34" t="n">
        <v>39</v>
      </c>
      <c r="E33" s="35" t="n">
        <v>0.15</v>
      </c>
      <c r="F33" s="34">
        <f>ROUND(C33*D33*(1-E33),2)</f>
        <v/>
      </c>
      <c r="G33" s="34">
        <f>F33*'Assumptions'!$B$3</f>
        <v/>
      </c>
      <c r="H33" s="34">
        <f>G33*'Assumptions'!$B$4</f>
        <v/>
      </c>
      <c r="I33" s="34">
        <f>G33-H33</f>
        <v/>
      </c>
      <c r="J33" s="34">
        <f>IF(C33=0,0,ROUND(F33/C33,2))</f>
        <v/>
      </c>
    </row>
    <row r="34">
      <c r="A34" s="23" t="inlineStr">
        <is>
          <t>CUS-0032</t>
        </is>
      </c>
      <c r="B34" s="23" t="inlineStr">
        <is>
          <t>Growth</t>
        </is>
      </c>
      <c r="C34" s="23" t="n">
        <v>122</v>
      </c>
      <c r="D34" s="34" t="n">
        <v>9</v>
      </c>
      <c r="E34" s="35" t="n">
        <v>0.15</v>
      </c>
      <c r="F34" s="34">
        <f>ROUND(C34*D34*(1-E34),2)</f>
        <v/>
      </c>
      <c r="G34" s="34">
        <f>F34*'Assumptions'!$B$3</f>
        <v/>
      </c>
      <c r="H34" s="34">
        <f>G34*'Assumptions'!$B$4</f>
        <v/>
      </c>
      <c r="I34" s="34">
        <f>G34-H34</f>
        <v/>
      </c>
      <c r="J34" s="34">
        <f>IF(C34=0,0,ROUND(F34/C34,2))</f>
        <v/>
      </c>
    </row>
    <row r="35">
      <c r="A35" s="23" t="inlineStr">
        <is>
          <t>CUS-0033</t>
        </is>
      </c>
      <c r="B35" s="23" t="inlineStr">
        <is>
          <t>Starter</t>
        </is>
      </c>
      <c r="C35" s="23" t="n">
        <v>60</v>
      </c>
      <c r="D35" s="34" t="n">
        <v>39</v>
      </c>
      <c r="E35" s="35" t="n">
        <v>0.1</v>
      </c>
      <c r="F35" s="34">
        <f>ROUND(C35*D35*(1-E35),2)</f>
        <v/>
      </c>
      <c r="G35" s="34">
        <f>F35*'Assumptions'!$B$3</f>
        <v/>
      </c>
      <c r="H35" s="34">
        <f>G35*'Assumptions'!$B$4</f>
        <v/>
      </c>
      <c r="I35" s="34">
        <f>G35-H35</f>
        <v/>
      </c>
      <c r="J35" s="34">
        <f>IF(C35=0,0,ROUND(F35/C35,2))</f>
        <v/>
      </c>
    </row>
    <row r="36">
      <c r="A36" s="23" t="inlineStr">
        <is>
          <t>CUS-0034</t>
        </is>
      </c>
      <c r="B36" s="23" t="inlineStr">
        <is>
          <t>Enterprise</t>
        </is>
      </c>
      <c r="C36" s="23" t="n">
        <v>109</v>
      </c>
      <c r="D36" s="34" t="n">
        <v>9</v>
      </c>
      <c r="E36" s="35" t="n">
        <v>0</v>
      </c>
      <c r="F36" s="34">
        <f>ROUND(C36*D36*(1-E36),2)</f>
        <v/>
      </c>
      <c r="G36" s="34">
        <f>F36*'Assumptions'!$B$3</f>
        <v/>
      </c>
      <c r="H36" s="34">
        <f>G36*'Assumptions'!$B$4</f>
        <v/>
      </c>
      <c r="I36" s="34">
        <f>ROUND(F36*G36*(1+H36),2)</f>
        <v/>
      </c>
      <c r="J36" s="34">
        <f>IF(C36=0,0,ROUND(F36/C36,2))</f>
        <v/>
      </c>
    </row>
    <row r="37">
      <c r="A37" s="23" t="inlineStr">
        <is>
          <t>CUS-0035</t>
        </is>
      </c>
      <c r="B37" s="23" t="inlineStr">
        <is>
          <t>Growth</t>
        </is>
      </c>
      <c r="C37" s="23" t="n">
        <v>49</v>
      </c>
      <c r="D37" s="34" t="n">
        <v>79</v>
      </c>
      <c r="E37" s="35" t="n">
        <v>0.1</v>
      </c>
      <c r="F37" s="34">
        <f>ROUND(C37*D37*(1-E37),2)</f>
        <v/>
      </c>
      <c r="G37" s="34">
        <f>F37*'Assumptions'!$B$3</f>
        <v/>
      </c>
      <c r="H37" s="34">
        <f>G37*'Assumptions'!$B$4</f>
        <v/>
      </c>
      <c r="I37" s="34">
        <f>ROUND(F37*G37*(1+H37),2)</f>
        <v/>
      </c>
      <c r="J37" s="34">
        <f>IF(C37=0,0,ROUND(F37/C37,2))</f>
        <v/>
      </c>
    </row>
    <row r="38">
      <c r="A38" s="23" t="inlineStr">
        <is>
          <t>CUS-0036</t>
        </is>
      </c>
      <c r="B38" s="23" t="inlineStr">
        <is>
          <t>Starter</t>
        </is>
      </c>
      <c r="C38" s="23" t="n">
        <v>127</v>
      </c>
      <c r="D38" s="34" t="n">
        <v>39</v>
      </c>
      <c r="E38" s="35" t="n">
        <v>0.05</v>
      </c>
      <c r="F38" s="34">
        <f>ROUND(C38*D38*(1-E38),2)</f>
        <v/>
      </c>
      <c r="G38" s="34">
        <f>F38*'Assumptions'!$B$3</f>
        <v/>
      </c>
      <c r="H38" s="34">
        <f>G38*'Assumptions'!$B$4</f>
        <v/>
      </c>
      <c r="I38" s="34">
        <f>ROUND(F38*G38*(1+H38),2)</f>
        <v/>
      </c>
      <c r="J38" s="34">
        <f>IF(C38=0,0,ROUND(F38/C38,2))</f>
        <v/>
      </c>
    </row>
    <row r="39">
      <c r="A39" s="23" t="inlineStr">
        <is>
          <t>CUS-0037</t>
        </is>
      </c>
      <c r="B39" s="23" t="inlineStr">
        <is>
          <t>Enterprise</t>
        </is>
      </c>
      <c r="C39" s="23" t="n">
        <v>81</v>
      </c>
      <c r="D39" s="34" t="n">
        <v>39</v>
      </c>
      <c r="E39" s="35" t="n">
        <v>0.1</v>
      </c>
      <c r="F39" s="34">
        <f>ROUND(C39*D39*(1-E39),2)</f>
        <v/>
      </c>
      <c r="G39" s="34">
        <f>F39*'Assumptions'!$B$3</f>
        <v/>
      </c>
      <c r="H39" s="34">
        <f>G39*'Assumptions'!$B$4</f>
        <v/>
      </c>
      <c r="I39" s="34">
        <f>ROUND(F39*G39*(1+H39),2)</f>
        <v/>
      </c>
      <c r="J39" s="34">
        <f>IF(C39=0,0,ROUND(F39/C39,2))</f>
        <v/>
      </c>
    </row>
    <row r="40">
      <c r="A40" s="23" t="inlineStr">
        <is>
          <t>CUS-0038</t>
        </is>
      </c>
      <c r="B40" s="23" t="inlineStr">
        <is>
          <t>Starter</t>
        </is>
      </c>
      <c r="C40" s="23" t="n">
        <v>128</v>
      </c>
      <c r="D40" s="34" t="n">
        <v>19</v>
      </c>
      <c r="E40" s="35" t="n">
        <v>0</v>
      </c>
      <c r="F40" s="34">
        <f>ROUND(C40*D40*(1-E40),2)</f>
        <v/>
      </c>
      <c r="G40" s="34">
        <f>F40*'Assumptions'!$B$3</f>
        <v/>
      </c>
      <c r="H40" s="34">
        <f>G40*'Assumptions'!$B$4</f>
        <v/>
      </c>
      <c r="I40" s="34">
        <f>ROUND(F40*G40*(1+H40),2)</f>
        <v/>
      </c>
      <c r="J40" s="34">
        <f>IF(C40=0,0,ROUND(F40/C40,2))</f>
        <v/>
      </c>
    </row>
    <row r="41">
      <c r="A41" s="23" t="inlineStr">
        <is>
          <t>CUS-0039</t>
        </is>
      </c>
      <c r="B41" s="23" t="inlineStr">
        <is>
          <t>Growth</t>
        </is>
      </c>
      <c r="C41" s="23" t="n">
        <v>49</v>
      </c>
      <c r="D41" s="34" t="n">
        <v>79</v>
      </c>
      <c r="E41" s="35" t="n">
        <v>0.15</v>
      </c>
      <c r="F41" s="34">
        <f>ROUND(C41*D41*(1-E41),2)</f>
        <v/>
      </c>
      <c r="G41" s="34">
        <f>F41*'Assumptions'!$B$3</f>
        <v/>
      </c>
      <c r="H41" s="34">
        <f>G41*'Assumptions'!$B$4</f>
        <v/>
      </c>
      <c r="I41" s="34">
        <f>ROUND(F41*G41*(1+H41),2)</f>
        <v/>
      </c>
      <c r="J41" s="34">
        <f>IF(C41=0,0,ROUND(F41/C41,2))</f>
        <v/>
      </c>
    </row>
    <row r="42">
      <c r="A42" s="23" t="inlineStr">
        <is>
          <t>CUS-0040</t>
        </is>
      </c>
      <c r="B42" s="23" t="inlineStr">
        <is>
          <t>Enterprise</t>
        </is>
      </c>
      <c r="C42" s="23" t="n">
        <v>65</v>
      </c>
      <c r="D42" s="34" t="n">
        <v>9</v>
      </c>
      <c r="E42" s="35" t="n">
        <v>0.15</v>
      </c>
      <c r="F42" s="34">
        <f>ROUND(C42*D42*(1-E42),2)</f>
        <v/>
      </c>
      <c r="G42" s="34">
        <f>F42*'Assumptions'!$B$3</f>
        <v/>
      </c>
      <c r="H42" s="34">
        <f>G42*'Assumptions'!$B$4</f>
        <v/>
      </c>
      <c r="I42" s="34">
        <f>ROUND(F42*G42*(1+H42),2)</f>
        <v/>
      </c>
      <c r="J42" s="34">
        <f>IF(C42=0,0,ROUND(F42/C42,2))</f>
        <v/>
      </c>
    </row>
    <row r="43">
      <c r="A43" s="23" t="inlineStr">
        <is>
          <t>CUS-0041</t>
        </is>
      </c>
      <c r="B43" s="23" t="inlineStr">
        <is>
          <t>Growth</t>
        </is>
      </c>
      <c r="C43" s="23" t="n">
        <v>31</v>
      </c>
      <c r="D43" s="34" t="n">
        <v>19</v>
      </c>
      <c r="E43" s="35" t="n">
        <v>0.15</v>
      </c>
      <c r="F43" s="34">
        <f>ROUND(C43*D43*(1-E43),2)</f>
        <v/>
      </c>
      <c r="G43" s="34">
        <f>F43*'Assumptions'!$B$3</f>
        <v/>
      </c>
      <c r="H43" s="34">
        <f>G43*'Assumptions'!$B$4</f>
        <v/>
      </c>
      <c r="I43" s="34">
        <f>ROUND(F43*G43*(1+H43),2)</f>
        <v/>
      </c>
      <c r="J43" s="34">
        <f>IF(C43=0,0,ROUND(F43/C43,2))</f>
        <v/>
      </c>
    </row>
    <row r="44">
      <c r="A44" s="23" t="inlineStr">
        <is>
          <t>CUS-0042</t>
        </is>
      </c>
      <c r="B44" s="23" t="inlineStr">
        <is>
          <t>Enterprise</t>
        </is>
      </c>
      <c r="C44" s="23" t="n">
        <v>64</v>
      </c>
      <c r="D44" s="34" t="n">
        <v>39</v>
      </c>
      <c r="E44" s="35" t="n">
        <v>0.15</v>
      </c>
      <c r="F44" s="34">
        <f>ROUND(C44*D44*(1-E44),2)</f>
        <v/>
      </c>
      <c r="G44" s="34">
        <f>F44*'Assumptions'!$B$3</f>
        <v/>
      </c>
      <c r="H44" s="34">
        <f>G44*'Assumptions'!$B$4</f>
        <v/>
      </c>
      <c r="I44" s="34">
        <f>ROUND(F44*G44*(1+H44),2)</f>
        <v/>
      </c>
      <c r="J44" s="34">
        <f>IF(C44=0,0,ROUND(F44/C44,2))</f>
        <v/>
      </c>
    </row>
    <row r="45">
      <c r="A45" s="23" t="inlineStr">
        <is>
          <t>CUS-0043</t>
        </is>
      </c>
      <c r="B45" s="23" t="inlineStr">
        <is>
          <t>Starter</t>
        </is>
      </c>
      <c r="C45" s="23" t="n">
        <v>4</v>
      </c>
      <c r="D45" s="34" t="n">
        <v>39</v>
      </c>
      <c r="E45" s="35" t="n">
        <v>0.15</v>
      </c>
      <c r="F45" s="34">
        <f>ROUND(C45*D45*(1-E45),2)</f>
        <v/>
      </c>
      <c r="G45" s="34">
        <f>F45*'Assumptions'!$B$3</f>
        <v/>
      </c>
      <c r="H45" s="34">
        <f>G45*'Assumptions'!$B$4</f>
        <v/>
      </c>
      <c r="I45" s="34">
        <f>ROUND(F45*G45*(1+H45),2)</f>
        <v/>
      </c>
      <c r="J45" s="34">
        <f>IF(C45=0,0,ROUND(F45/C45,2))</f>
        <v/>
      </c>
    </row>
    <row r="46">
      <c r="A46" s="23" t="inlineStr">
        <is>
          <t>CUS-0044</t>
        </is>
      </c>
      <c r="B46" s="23" t="inlineStr">
        <is>
          <t>Enterprise</t>
        </is>
      </c>
      <c r="C46" s="23" t="n">
        <v>148</v>
      </c>
      <c r="D46" s="34" t="n">
        <v>9</v>
      </c>
      <c r="E46" s="35" t="n">
        <v>0.05</v>
      </c>
      <c r="F46" s="34">
        <f>ROUND(C46*D46*(1-E46),2)</f>
        <v/>
      </c>
      <c r="G46" s="34">
        <f>F46*'Assumptions'!$B$3</f>
        <v/>
      </c>
      <c r="H46" s="34">
        <f>G46*'Assumptions'!$B$4</f>
        <v/>
      </c>
      <c r="I46" s="34">
        <f>ROUND(F46*G46*(1+H46),2)</f>
        <v/>
      </c>
      <c r="J46" s="34">
        <f>IF(C46=0,0,ROUND(F46/C46,2))</f>
        <v/>
      </c>
    </row>
    <row r="47">
      <c r="A47" s="23" t="inlineStr">
        <is>
          <t>CUS-0045</t>
        </is>
      </c>
      <c r="B47" s="23" t="inlineStr">
        <is>
          <t>Enterprise</t>
        </is>
      </c>
      <c r="C47" s="23" t="n">
        <v>147</v>
      </c>
      <c r="D47" s="34" t="n">
        <v>9</v>
      </c>
      <c r="E47" s="35" t="n">
        <v>0.15</v>
      </c>
      <c r="F47" s="34">
        <f>ROUND(C47*D47*(1-E47),2)</f>
        <v/>
      </c>
      <c r="G47" s="34">
        <f>F47*'Assumptions'!$B$3</f>
        <v/>
      </c>
      <c r="H47" s="34">
        <f>G47*'Assumptions'!$B$4</f>
        <v/>
      </c>
      <c r="I47" s="34">
        <f>ROUND(F47*G47*(1+H47),2)</f>
        <v/>
      </c>
      <c r="J47" s="34">
        <f>IF(C47=0,0,ROUND(F47/C47,2))</f>
        <v/>
      </c>
    </row>
    <row r="48">
      <c r="A48" s="23" t="inlineStr">
        <is>
          <t>CUS-0046</t>
        </is>
      </c>
      <c r="B48" s="23" t="inlineStr">
        <is>
          <t>Starter</t>
        </is>
      </c>
      <c r="C48" s="23" t="n">
        <v>46</v>
      </c>
      <c r="D48" s="34" t="n">
        <v>9</v>
      </c>
      <c r="E48" s="35" t="n">
        <v>0.15</v>
      </c>
      <c r="F48" s="34">
        <f>ROUND(C48*D48*(1-E48),2)</f>
        <v/>
      </c>
      <c r="G48" s="34">
        <f>F48*'Assumptions'!$B$3</f>
        <v/>
      </c>
      <c r="H48" s="34">
        <f>G48*'Assumptions'!$B$4</f>
        <v/>
      </c>
      <c r="I48" s="34">
        <f>ROUND(F48*G48*(1+H48),2)</f>
        <v/>
      </c>
      <c r="J48" s="34">
        <f>IF(C48=0,0,ROUND(F48/C48,2))</f>
        <v/>
      </c>
    </row>
    <row r="49">
      <c r="A49" s="23" t="inlineStr">
        <is>
          <t>CUS-0047</t>
        </is>
      </c>
      <c r="B49" s="23" t="inlineStr">
        <is>
          <t>Enterprise</t>
        </is>
      </c>
      <c r="C49" s="23" t="n">
        <v>134</v>
      </c>
      <c r="D49" s="34" t="n">
        <v>39</v>
      </c>
      <c r="E49" s="35" t="n">
        <v>0</v>
      </c>
      <c r="F49" s="34">
        <f>ROUND(C49*D49*(1-E49),2)</f>
        <v/>
      </c>
      <c r="G49" s="34">
        <f>F49*'Assumptions'!$B$3</f>
        <v/>
      </c>
      <c r="H49" s="34">
        <f>G49*'Assumptions'!$B$4</f>
        <v/>
      </c>
      <c r="I49" s="34">
        <f>ROUND(F49*G49*(1+H49),2)</f>
        <v/>
      </c>
      <c r="J49" s="34">
        <f>IF(C49=0,0,ROUND(F49/C49,2))</f>
        <v/>
      </c>
    </row>
    <row r="50">
      <c r="A50" s="23" t="inlineStr">
        <is>
          <t>CUS-0048</t>
        </is>
      </c>
      <c r="B50" s="23" t="inlineStr">
        <is>
          <t>Starter</t>
        </is>
      </c>
      <c r="C50" s="23" t="n">
        <v>24</v>
      </c>
      <c r="D50" s="34" t="n">
        <v>9</v>
      </c>
      <c r="E50" s="35" t="n">
        <v>0</v>
      </c>
      <c r="F50" s="34">
        <f>ROUND(C50*D50*(1-E50),2)</f>
        <v/>
      </c>
      <c r="G50" s="34">
        <f>F50*'Assumptions'!$B$3</f>
        <v/>
      </c>
      <c r="H50" s="34">
        <f>G50*'Assumptions'!$B$4</f>
        <v/>
      </c>
      <c r="I50" s="34">
        <f>ROUND(F50*G50*(1+H50),2)</f>
        <v/>
      </c>
      <c r="J50" s="34">
        <f>IF(C50=0,0,ROUND(F50/C50,2))</f>
        <v/>
      </c>
    </row>
    <row r="51">
      <c r="A51" s="23" t="inlineStr">
        <is>
          <t>CUS-0049</t>
        </is>
      </c>
      <c r="B51" s="23" t="inlineStr">
        <is>
          <t>Enterprise</t>
        </is>
      </c>
      <c r="C51" s="23" t="n">
        <v>142</v>
      </c>
      <c r="D51" s="34" t="n">
        <v>79</v>
      </c>
      <c r="E51" s="35" t="n">
        <v>0</v>
      </c>
      <c r="F51" s="34">
        <f>ROUND(C51*D51*(1-E51),2)</f>
        <v/>
      </c>
      <c r="G51" s="34">
        <f>F51*'Assumptions'!$B$3</f>
        <v/>
      </c>
      <c r="H51" s="34">
        <f>G51*'Assumptions'!$B$4</f>
        <v/>
      </c>
      <c r="I51" s="34">
        <f>ROUND(F51*G51*(1+H51),2)</f>
        <v/>
      </c>
      <c r="J51" s="34">
        <f>IF(C51=0,0,ROUND(F51/C51,2))</f>
        <v/>
      </c>
    </row>
    <row r="52">
      <c r="A52" s="23" t="inlineStr">
        <is>
          <t>CUS-0050</t>
        </is>
      </c>
      <c r="B52" s="23" t="inlineStr">
        <is>
          <t>Starter</t>
        </is>
      </c>
      <c r="C52" s="23" t="n">
        <v>80</v>
      </c>
      <c r="D52" s="34" t="n">
        <v>79</v>
      </c>
      <c r="E52" s="35" t="n">
        <v>0.05</v>
      </c>
      <c r="F52" s="34">
        <f>ROUND(C52*D52*(1-E52),2)</f>
        <v/>
      </c>
      <c r="G52" s="34">
        <f>F52*'Assumptions'!$B$3</f>
        <v/>
      </c>
      <c r="H52" s="34">
        <f>G52*'Assumptions'!$B$4</f>
        <v/>
      </c>
      <c r="I52" s="34">
        <f>ROUND(F52*G52*(1+H52),2)</f>
        <v/>
      </c>
      <c r="J52" s="34">
        <f>IF(C52=0,0,ROUND(F52/C52,2))</f>
        <v/>
      </c>
    </row>
    <row r="53">
      <c r="A53" s="23" t="inlineStr">
        <is>
          <t>CUS-0051</t>
        </is>
      </c>
      <c r="B53" s="23" t="inlineStr">
        <is>
          <t>Growth</t>
        </is>
      </c>
      <c r="C53" s="23" t="n">
        <v>75</v>
      </c>
      <c r="D53" s="34" t="n">
        <v>79</v>
      </c>
      <c r="E53" s="35" t="n">
        <v>0.15</v>
      </c>
      <c r="F53" s="34">
        <f>ROUND(C53*D53*(1-E53),2)</f>
        <v/>
      </c>
      <c r="G53" s="34">
        <f>F53*'Assumptions'!$B$3</f>
        <v/>
      </c>
      <c r="H53" s="34">
        <f>G53*'Assumptions'!$B$4</f>
        <v/>
      </c>
      <c r="I53" s="34">
        <f>ROUND(F53*G53*(1+H53),2)</f>
        <v/>
      </c>
      <c r="J53" s="34">
        <f>IF(C53=0,0,ROUND(F53/C53,2))</f>
        <v/>
      </c>
    </row>
    <row r="54">
      <c r="A54" s="23" t="inlineStr">
        <is>
          <t>CUS-0052</t>
        </is>
      </c>
      <c r="B54" s="23" t="inlineStr">
        <is>
          <t>Starter</t>
        </is>
      </c>
      <c r="C54" s="23" t="n">
        <v>92</v>
      </c>
      <c r="D54" s="34" t="n">
        <v>79</v>
      </c>
      <c r="E54" s="35" t="n">
        <v>0.1</v>
      </c>
      <c r="F54" s="34">
        <f>ROUND(C54*D54*(1-E54),2)</f>
        <v/>
      </c>
      <c r="G54" s="34">
        <f>F54*'Assumptions'!$B$3</f>
        <v/>
      </c>
      <c r="H54" s="34">
        <f>G54*'Assumptions'!$B$4</f>
        <v/>
      </c>
      <c r="I54" s="34">
        <f>ROUND(F54*G54*(1+H54),2)</f>
        <v/>
      </c>
      <c r="J54" s="34">
        <f>IF(C54=0,0,ROUND(F54/C54,2))</f>
        <v/>
      </c>
    </row>
    <row r="55">
      <c r="A55" s="23" t="inlineStr">
        <is>
          <t>CUS-0053</t>
        </is>
      </c>
      <c r="B55" s="23" t="inlineStr">
        <is>
          <t>Growth</t>
        </is>
      </c>
      <c r="C55" s="23" t="n">
        <v>13</v>
      </c>
      <c r="D55" s="34" t="n">
        <v>39</v>
      </c>
      <c r="E55" s="35" t="n">
        <v>0.15</v>
      </c>
      <c r="F55" s="34">
        <f>ROUND(C55*D55*(1-E55),2)</f>
        <v/>
      </c>
      <c r="G55" s="34">
        <f>F55*'Assumptions'!$B$3</f>
        <v/>
      </c>
      <c r="H55" s="34">
        <f>G55*'Assumptions'!$B$4</f>
        <v/>
      </c>
      <c r="I55" s="34">
        <f>ROUND(F55*G55*(1+H55),2)</f>
        <v/>
      </c>
      <c r="J55" s="34">
        <f>IF(C55=0,0,ROUND(F55/C55,2))</f>
        <v/>
      </c>
    </row>
    <row r="56">
      <c r="A56" s="23" t="inlineStr">
        <is>
          <t>CUS-0054</t>
        </is>
      </c>
      <c r="B56" s="23" t="inlineStr">
        <is>
          <t>Enterprise</t>
        </is>
      </c>
      <c r="C56" s="23" t="n">
        <v>126</v>
      </c>
      <c r="D56" s="34" t="n">
        <v>79</v>
      </c>
      <c r="E56" s="35" t="n">
        <v>0.1</v>
      </c>
      <c r="F56" s="34">
        <f>ROUND(C56*D56*(1-E56),2)</f>
        <v/>
      </c>
      <c r="G56" s="34">
        <f>F56*'Assumptions'!$B$3</f>
        <v/>
      </c>
      <c r="H56" s="34">
        <f>G56*'Assumptions'!$B$4</f>
        <v/>
      </c>
      <c r="I56" s="34">
        <f>G56-H56</f>
        <v/>
      </c>
      <c r="J56" s="34">
        <f>IF(C56=0,0,ROUND(F56/C56,2))</f>
        <v/>
      </c>
    </row>
    <row r="57">
      <c r="A57" s="23" t="inlineStr">
        <is>
          <t>CUS-0055</t>
        </is>
      </c>
      <c r="B57" s="23" t="inlineStr">
        <is>
          <t>Enterprise</t>
        </is>
      </c>
      <c r="C57" s="23" t="n">
        <v>3</v>
      </c>
      <c r="D57" s="34" t="n">
        <v>9</v>
      </c>
      <c r="E57" s="35" t="n">
        <v>0.05</v>
      </c>
      <c r="F57" s="34">
        <f>ROUND(C57*D57*(1-E57),2)</f>
        <v/>
      </c>
      <c r="G57" s="34">
        <f>F57*'Assumptions'!$B$3</f>
        <v/>
      </c>
      <c r="H57" s="34">
        <f>G57*'Assumptions'!$B$4</f>
        <v/>
      </c>
      <c r="I57" s="34">
        <f>G57-H57</f>
        <v/>
      </c>
      <c r="J57" s="34">
        <f>IF(C57=0,0,ROUND(F57/C57,2))</f>
        <v/>
      </c>
    </row>
    <row r="58">
      <c r="A58" s="23" t="inlineStr">
        <is>
          <t>CUS-0056</t>
        </is>
      </c>
      <c r="B58" s="23" t="inlineStr">
        <is>
          <t>Starter</t>
        </is>
      </c>
      <c r="C58" s="23" t="n">
        <v>27</v>
      </c>
      <c r="D58" s="34" t="n">
        <v>79</v>
      </c>
      <c r="E58" s="35" t="n">
        <v>0.1</v>
      </c>
      <c r="F58" s="34">
        <f>ROUND(C58*D58*(1-E58),2)</f>
        <v/>
      </c>
      <c r="G58" s="34">
        <f>F58*'Assumptions'!$B$3</f>
        <v/>
      </c>
      <c r="H58" s="34">
        <f>G58*'Assumptions'!$B$4</f>
        <v/>
      </c>
      <c r="I58" s="34">
        <f>G58-H58</f>
        <v/>
      </c>
      <c r="J58" s="34">
        <f>IF(C58=0,0,ROUND(F58/C58,2))</f>
        <v/>
      </c>
    </row>
    <row r="59">
      <c r="A59" s="23" t="inlineStr">
        <is>
          <t>CUS-0057</t>
        </is>
      </c>
      <c r="B59" s="23" t="inlineStr">
        <is>
          <t>Starter</t>
        </is>
      </c>
      <c r="C59" s="23" t="n">
        <v>109</v>
      </c>
      <c r="D59" s="34" t="n">
        <v>19</v>
      </c>
      <c r="E59" s="35" t="n">
        <v>0.05</v>
      </c>
      <c r="F59" s="34">
        <f>ROUND(C59*D59*(1-E59),2)</f>
        <v/>
      </c>
      <c r="G59" s="34">
        <f>F59*'Assumptions'!$B$3</f>
        <v/>
      </c>
      <c r="H59" s="34">
        <f>G59*'Assumptions'!$B$4</f>
        <v/>
      </c>
      <c r="I59" s="34">
        <f>G59-H59</f>
        <v/>
      </c>
      <c r="J59" s="34">
        <f>IF(C59=0,0,ROUND(F59/C59,2))</f>
        <v/>
      </c>
    </row>
    <row r="60">
      <c r="A60" s="23" t="inlineStr">
        <is>
          <t>CUS-0058</t>
        </is>
      </c>
      <c r="B60" s="23" t="inlineStr">
        <is>
          <t>Starter</t>
        </is>
      </c>
      <c r="C60" s="23" t="n">
        <v>70</v>
      </c>
      <c r="D60" s="34" t="n">
        <v>79</v>
      </c>
      <c r="E60" s="35" t="n">
        <v>0.05</v>
      </c>
      <c r="F60" s="34">
        <f>ROUND(C60*D60*(1-E60),2)</f>
        <v/>
      </c>
      <c r="G60" s="34">
        <f>F60*'Assumptions'!$B$3</f>
        <v/>
      </c>
      <c r="H60" s="34">
        <f>G60*'Assumptions'!$B$4</f>
        <v/>
      </c>
      <c r="I60" s="34">
        <f>G60-H60</f>
        <v/>
      </c>
      <c r="J60" s="34">
        <f>IF(C60=0,0,ROUND(F60/C60,2))</f>
        <v/>
      </c>
    </row>
    <row r="61">
      <c r="A61" s="23" t="inlineStr">
        <is>
          <t>CUS-0059</t>
        </is>
      </c>
      <c r="B61" s="23" t="inlineStr">
        <is>
          <t>Enterprise</t>
        </is>
      </c>
      <c r="C61" s="23" t="n">
        <v>54</v>
      </c>
      <c r="D61" s="34" t="n">
        <v>19</v>
      </c>
      <c r="E61" s="35" t="n">
        <v>0.05</v>
      </c>
      <c r="F61" s="34">
        <f>ROUND(C61*D61*(1-E61),2)</f>
        <v/>
      </c>
      <c r="G61" s="34">
        <f>F61*'Assumptions'!$B$3</f>
        <v/>
      </c>
      <c r="H61" s="34">
        <f>G61*'Assumptions'!$B$4</f>
        <v/>
      </c>
      <c r="I61" s="34">
        <f>G61-H61</f>
        <v/>
      </c>
      <c r="J61" s="34">
        <f>IF(C61=0,0,ROUND(F61/C61,2))</f>
        <v/>
      </c>
    </row>
    <row r="62">
      <c r="A62" s="23" t="inlineStr">
        <is>
          <t>CUS-0060</t>
        </is>
      </c>
      <c r="B62" s="23" t="inlineStr">
        <is>
          <t>Enterprise</t>
        </is>
      </c>
      <c r="C62" s="23" t="n">
        <v>50</v>
      </c>
      <c r="D62" s="34" t="n">
        <v>19</v>
      </c>
      <c r="E62" s="35" t="n">
        <v>0.05</v>
      </c>
      <c r="F62" s="34">
        <f>ROUND(C62*D62*(1-E62),2)</f>
        <v/>
      </c>
      <c r="G62" s="34">
        <f>F62*'Assumptions'!$B$3</f>
        <v/>
      </c>
      <c r="H62" s="34">
        <f>G62*'Assumptions'!$B$4</f>
        <v/>
      </c>
      <c r="I62" s="34">
        <f>G62-H62</f>
        <v/>
      </c>
      <c r="J62" s="34">
        <f>IF(C62=0,0,ROUND(F62/C62,2))</f>
        <v/>
      </c>
    </row>
    <row r="63">
      <c r="A63" s="23" t="inlineStr">
        <is>
          <t>CUS-0061</t>
        </is>
      </c>
      <c r="B63" s="23" t="inlineStr">
        <is>
          <t>Starter</t>
        </is>
      </c>
      <c r="C63" s="23" t="n">
        <v>26</v>
      </c>
      <c r="D63" s="34" t="n">
        <v>19</v>
      </c>
      <c r="E63" s="35" t="n">
        <v>0.15</v>
      </c>
      <c r="F63" s="34">
        <f>ROUND(C63*D63*(1-E63),2)</f>
        <v/>
      </c>
      <c r="G63" s="34">
        <f>F63*'Assumptions'!$B$3</f>
        <v/>
      </c>
      <c r="H63" s="34">
        <f>G63*'Assumptions'!$B$4</f>
        <v/>
      </c>
      <c r="I63" s="34">
        <f>G63-H63</f>
        <v/>
      </c>
      <c r="J63" s="34">
        <f>IF(C63=0,0,ROUND(F63/C63,2))</f>
        <v/>
      </c>
    </row>
    <row r="64">
      <c r="A64" s="23" t="inlineStr">
        <is>
          <t>CUS-0062</t>
        </is>
      </c>
      <c r="B64" s="23" t="inlineStr">
        <is>
          <t>Enterprise</t>
        </is>
      </c>
      <c r="C64" s="23" t="n">
        <v>16</v>
      </c>
      <c r="D64" s="34" t="n">
        <v>39</v>
      </c>
      <c r="E64" s="35" t="n">
        <v>0.1</v>
      </c>
      <c r="F64" s="34">
        <f>ROUND(C64*D64*(1-E64),2)</f>
        <v/>
      </c>
      <c r="G64" s="34">
        <f>F64*'Assumptions'!$B$3</f>
        <v/>
      </c>
      <c r="H64" s="34">
        <f>G64*'Assumptions'!$B$4</f>
        <v/>
      </c>
      <c r="I64" s="34">
        <f>G64-H64</f>
        <v/>
      </c>
      <c r="J64" s="34">
        <f>IF(C64=0,0,ROUND(F64/C64,2))</f>
        <v/>
      </c>
    </row>
    <row r="65">
      <c r="A65" s="23" t="inlineStr">
        <is>
          <t>CUS-0063</t>
        </is>
      </c>
      <c r="B65" s="23" t="inlineStr">
        <is>
          <t>Growth</t>
        </is>
      </c>
      <c r="C65" s="23" t="n">
        <v>15</v>
      </c>
      <c r="D65" s="34" t="n">
        <v>9</v>
      </c>
      <c r="E65" s="35" t="n">
        <v>0.05</v>
      </c>
      <c r="F65" s="34">
        <f>ROUND(C65*D65*(1-E65),2)</f>
        <v/>
      </c>
      <c r="G65" s="34">
        <f>F65*'Assumptions'!$B$3</f>
        <v/>
      </c>
      <c r="H65" s="34">
        <f>G65*'Assumptions'!$B$4</f>
        <v/>
      </c>
      <c r="I65" s="34">
        <f>G65-H65</f>
        <v/>
      </c>
      <c r="J65" s="34">
        <f>IF(C65=0,0,ROUND(F65/C65,2))</f>
        <v/>
      </c>
    </row>
    <row r="66">
      <c r="A66" s="23" t="inlineStr">
        <is>
          <t>CUS-0064</t>
        </is>
      </c>
      <c r="B66" s="23" t="inlineStr">
        <is>
          <t>Growth</t>
        </is>
      </c>
      <c r="C66" s="23" t="n">
        <v>58</v>
      </c>
      <c r="D66" s="34" t="n">
        <v>19</v>
      </c>
      <c r="E66" s="35" t="n">
        <v>0</v>
      </c>
      <c r="F66" s="34">
        <f>ROUND(C66*D66*(1-E66),2)</f>
        <v/>
      </c>
      <c r="G66" s="34">
        <f>F66*'Assumptions'!$B$3</f>
        <v/>
      </c>
      <c r="H66" s="34">
        <f>G66*'Assumptions'!$B$4</f>
        <v/>
      </c>
      <c r="I66" s="34">
        <f>G66-H66</f>
        <v/>
      </c>
      <c r="J66" s="34">
        <f>IF(C66=0,0,ROUND(F66/C66,2))</f>
        <v/>
      </c>
    </row>
    <row r="67">
      <c r="A67" s="23" t="inlineStr">
        <is>
          <t>CUS-0065</t>
        </is>
      </c>
      <c r="B67" s="23" t="inlineStr">
        <is>
          <t>Growth</t>
        </is>
      </c>
      <c r="C67" s="23" t="n">
        <v>50</v>
      </c>
      <c r="D67" s="34" t="n">
        <v>9</v>
      </c>
      <c r="E67" s="35" t="n">
        <v>0.15</v>
      </c>
      <c r="F67" s="34">
        <f>ROUND(C67*D67*(1-E67),2)</f>
        <v/>
      </c>
      <c r="G67" s="34">
        <f>F67*'Assumptions'!$B$3</f>
        <v/>
      </c>
      <c r="H67" s="34">
        <f>G67*'Assumptions'!$B$4</f>
        <v/>
      </c>
      <c r="I67" s="34">
        <f>G67-H67</f>
        <v/>
      </c>
      <c r="J67" s="34">
        <f>IF(C67=0,0,ROUND(F67/C67,2))</f>
        <v/>
      </c>
    </row>
    <row r="68">
      <c r="A68" s="23" t="inlineStr">
        <is>
          <t>CUS-0066</t>
        </is>
      </c>
      <c r="B68" s="23" t="inlineStr">
        <is>
          <t>Starter</t>
        </is>
      </c>
      <c r="C68" s="23" t="n">
        <v>99</v>
      </c>
      <c r="D68" s="34" t="n">
        <v>79</v>
      </c>
      <c r="E68" s="35" t="n">
        <v>0.15</v>
      </c>
      <c r="F68" s="34">
        <f>ROUND(C68*D68*(1-E68),2)</f>
        <v/>
      </c>
      <c r="G68" s="34">
        <f>F68*'Assumptions'!$B$3</f>
        <v/>
      </c>
      <c r="H68" s="34">
        <f>G68*'Assumptions'!$B$4</f>
        <v/>
      </c>
      <c r="I68" s="34">
        <f>G68-H68</f>
        <v/>
      </c>
      <c r="J68" s="34">
        <f>IF(C68=0,0,ROUND(F68/C68,2))</f>
        <v/>
      </c>
    </row>
    <row r="69">
      <c r="A69" s="23" t="inlineStr">
        <is>
          <t>CUS-0067</t>
        </is>
      </c>
      <c r="B69" s="23" t="inlineStr">
        <is>
          <t>Growth</t>
        </is>
      </c>
      <c r="C69" s="23" t="n">
        <v>137</v>
      </c>
      <c r="D69" s="34" t="n">
        <v>39</v>
      </c>
      <c r="E69" s="35" t="n">
        <v>0.05</v>
      </c>
      <c r="F69" s="34">
        <f>ROUND(C69*D69*(1-E69),2)</f>
        <v/>
      </c>
      <c r="G69" s="34">
        <f>F69*'Assumptions'!$B$3</f>
        <v/>
      </c>
      <c r="H69" s="34">
        <f>G69*'Assumptions'!$B$4</f>
        <v/>
      </c>
      <c r="I69" s="34">
        <f>G69-H69</f>
        <v/>
      </c>
      <c r="J69" s="34">
        <f>IF(C69=0,0,ROUND(F69/C69,2))</f>
        <v/>
      </c>
    </row>
    <row r="70">
      <c r="A70" s="23" t="inlineStr">
        <is>
          <t>CUS-0068</t>
        </is>
      </c>
      <c r="B70" s="23" t="inlineStr">
        <is>
          <t>Starter</t>
        </is>
      </c>
      <c r="C70" s="23" t="n">
        <v>24</v>
      </c>
      <c r="D70" s="34" t="n">
        <v>19</v>
      </c>
      <c r="E70" s="35" t="n">
        <v>0.05</v>
      </c>
      <c r="F70" s="34">
        <f>ROUND(C70*D70*(1-E70),2)</f>
        <v/>
      </c>
      <c r="G70" s="34">
        <f>F70*'Assumptions'!$B$3</f>
        <v/>
      </c>
      <c r="H70" s="34">
        <f>G70*'Assumptions'!$B$4</f>
        <v/>
      </c>
      <c r="I70" s="34">
        <f>G70-H70</f>
        <v/>
      </c>
      <c r="J70" s="34">
        <f>IF(C70=0,0,ROUND(F70/C70,2))</f>
        <v/>
      </c>
    </row>
    <row r="71">
      <c r="A71" s="23" t="inlineStr">
        <is>
          <t>CUS-0069</t>
        </is>
      </c>
      <c r="B71" s="23" t="inlineStr">
        <is>
          <t>Enterprise</t>
        </is>
      </c>
      <c r="C71" s="23" t="n">
        <v>41</v>
      </c>
      <c r="D71" s="34" t="n">
        <v>9</v>
      </c>
      <c r="E71" s="35" t="n">
        <v>0</v>
      </c>
      <c r="F71" s="34">
        <f>ROUND(C71*D71*(1-E71),2)</f>
        <v/>
      </c>
      <c r="G71" s="34">
        <f>F71*'Assumptions'!$B$3</f>
        <v/>
      </c>
      <c r="H71" s="34">
        <f>G71*'Assumptions'!$B$4</f>
        <v/>
      </c>
      <c r="I71" s="34">
        <f>G71-H71</f>
        <v/>
      </c>
      <c r="J71" s="34">
        <f>IF(C71=0,0,ROUND(F71/C71,2))</f>
        <v/>
      </c>
    </row>
    <row r="72">
      <c r="A72" s="23" t="inlineStr">
        <is>
          <t>CUS-0070</t>
        </is>
      </c>
      <c r="B72" s="23" t="inlineStr">
        <is>
          <t>Growth</t>
        </is>
      </c>
      <c r="C72" s="23" t="n">
        <v>65</v>
      </c>
      <c r="D72" s="34" t="n">
        <v>19</v>
      </c>
      <c r="E72" s="35" t="n">
        <v>0.05</v>
      </c>
      <c r="F72" s="34">
        <f>ROUND(C72*D72*(1-E72),2)</f>
        <v/>
      </c>
      <c r="G72" s="34">
        <f>F72*'Assumptions'!$B$3</f>
        <v/>
      </c>
      <c r="H72" s="34">
        <f>G72*'Assumptions'!$B$4</f>
        <v/>
      </c>
      <c r="I72" s="34">
        <f>G72-H72</f>
        <v/>
      </c>
      <c r="J72" s="34">
        <f>IF(C72=0,0,ROUND(F72/C72,2))</f>
        <v/>
      </c>
    </row>
    <row r="73">
      <c r="A73" s="23" t="inlineStr">
        <is>
          <t>CUS-0071</t>
        </is>
      </c>
      <c r="B73" s="23" t="inlineStr">
        <is>
          <t>Growth</t>
        </is>
      </c>
      <c r="C73" s="23" t="n">
        <v>129</v>
      </c>
      <c r="D73" s="34" t="n">
        <v>39</v>
      </c>
      <c r="E73" s="35" t="n">
        <v>0</v>
      </c>
      <c r="F73" s="34">
        <f>ROUND(C73*D73*(1-E73),2)</f>
        <v/>
      </c>
      <c r="G73" s="34">
        <f>F73*'Assumptions'!$B$3</f>
        <v/>
      </c>
      <c r="H73" s="34">
        <f>G73*'Assumptions'!$B$4</f>
        <v/>
      </c>
      <c r="I73" s="34">
        <f>G73-H73</f>
        <v/>
      </c>
      <c r="J73" s="34">
        <f>IF(C73=0,0,ROUND(F73/C73,2))</f>
        <v/>
      </c>
    </row>
    <row r="74">
      <c r="A74" s="23" t="inlineStr">
        <is>
          <t>CUS-0072</t>
        </is>
      </c>
      <c r="B74" s="23" t="inlineStr">
        <is>
          <t>Starter</t>
        </is>
      </c>
      <c r="C74" s="23" t="n">
        <v>73</v>
      </c>
      <c r="D74" s="34" t="n">
        <v>19</v>
      </c>
      <c r="E74" s="35" t="n">
        <v>0.05</v>
      </c>
      <c r="F74" s="34">
        <f>ROUND(C74*D74*(1-E74),2)</f>
        <v/>
      </c>
      <c r="G74" s="34">
        <f>F74*'Assumptions'!$B$3</f>
        <v/>
      </c>
      <c r="H74" s="34">
        <f>G74*'Assumptions'!$B$4</f>
        <v/>
      </c>
      <c r="I74" s="34">
        <f>G74-H74</f>
        <v/>
      </c>
      <c r="J74" s="34">
        <f>IF(C74=0,0,ROUND(F74/C74,2))</f>
        <v/>
      </c>
    </row>
    <row r="75">
      <c r="A75" s="23" t="inlineStr">
        <is>
          <t>CUS-0073</t>
        </is>
      </c>
      <c r="B75" s="23" t="inlineStr">
        <is>
          <t>Starter</t>
        </is>
      </c>
      <c r="C75" s="23" t="n">
        <v>60</v>
      </c>
      <c r="D75" s="34" t="n">
        <v>9</v>
      </c>
      <c r="E75" s="35" t="n">
        <v>0</v>
      </c>
      <c r="F75" s="34">
        <f>ROUND(C75*D75*(1-E75),2)</f>
        <v/>
      </c>
      <c r="G75" s="34">
        <f>F75*'Assumptions'!$B$3</f>
        <v/>
      </c>
      <c r="H75" s="34">
        <f>G75*'Assumptions'!$B$4</f>
        <v/>
      </c>
      <c r="I75" s="34">
        <f>G75-H75</f>
        <v/>
      </c>
      <c r="J75" s="34">
        <f>IF(C75=0,0,ROUND(F75/C75,2))</f>
        <v/>
      </c>
    </row>
    <row r="76">
      <c r="A76" s="23" t="inlineStr">
        <is>
          <t>CUS-0074</t>
        </is>
      </c>
      <c r="B76" s="23" t="inlineStr">
        <is>
          <t>Growth</t>
        </is>
      </c>
      <c r="C76" s="23" t="n">
        <v>16</v>
      </c>
      <c r="D76" s="34" t="n">
        <v>39</v>
      </c>
      <c r="E76" s="35" t="n">
        <v>0</v>
      </c>
      <c r="F76" s="34">
        <f>ROUND(C76*D76*(1-E76),2)</f>
        <v/>
      </c>
      <c r="G76" s="34">
        <f>F76*'Assumptions'!$B$3</f>
        <v/>
      </c>
      <c r="H76" s="34">
        <f>G76*'Assumptions'!$B$4</f>
        <v/>
      </c>
      <c r="I76" s="34">
        <f>G76-H76</f>
        <v/>
      </c>
      <c r="J76" s="34">
        <f>IF(C76=0,0,ROUND(F76/C76,2))</f>
        <v/>
      </c>
    </row>
    <row r="77">
      <c r="A77" s="23" t="inlineStr">
        <is>
          <t>CUS-0075</t>
        </is>
      </c>
      <c r="B77" s="23" t="inlineStr">
        <is>
          <t>Enterprise</t>
        </is>
      </c>
      <c r="C77" s="23" t="n">
        <v>35</v>
      </c>
      <c r="D77" s="34" t="n">
        <v>9</v>
      </c>
      <c r="E77" s="35" t="n">
        <v>0.15</v>
      </c>
      <c r="F77" s="34">
        <f>ROUND(C77*D77*(1-E77),2)</f>
        <v/>
      </c>
      <c r="G77" s="34">
        <f>F77*'Assumptions'!$B$3</f>
        <v/>
      </c>
      <c r="H77" s="34">
        <f>G77*'Assumptions'!$B$4</f>
        <v/>
      </c>
      <c r="I77" s="34">
        <f>G77-H77</f>
        <v/>
      </c>
      <c r="J77" s="34">
        <f>IF(C77=0,0,ROUND(F77/C77,2))</f>
        <v/>
      </c>
    </row>
    <row r="78">
      <c r="A78" s="23" t="inlineStr">
        <is>
          <t>CUS-0076</t>
        </is>
      </c>
      <c r="B78" s="23" t="inlineStr">
        <is>
          <t>Growth</t>
        </is>
      </c>
      <c r="C78" s="23" t="n">
        <v>127</v>
      </c>
      <c r="D78" s="34" t="n">
        <v>19</v>
      </c>
      <c r="E78" s="35" t="n">
        <v>0.05</v>
      </c>
      <c r="F78" s="34">
        <f>ROUND(C78*D78*(1-E78),2)</f>
        <v/>
      </c>
      <c r="G78" s="34">
        <f>F78*'Assumptions'!$B$3</f>
        <v/>
      </c>
      <c r="H78" s="34">
        <f>G78*'Assumptions'!$B$4</f>
        <v/>
      </c>
      <c r="I78" s="34">
        <f>G78-H78</f>
        <v/>
      </c>
      <c r="J78" s="34">
        <f>IF(C78=0,0,ROUND(F78/C78,2))</f>
        <v/>
      </c>
    </row>
    <row r="79">
      <c r="A79" s="23" t="inlineStr">
        <is>
          <t>CUS-0077</t>
        </is>
      </c>
      <c r="B79" s="23" t="inlineStr">
        <is>
          <t>Growth</t>
        </is>
      </c>
      <c r="C79" s="23" t="n">
        <v>96</v>
      </c>
      <c r="D79" s="34" t="n">
        <v>9</v>
      </c>
      <c r="E79" s="35" t="n">
        <v>0.1</v>
      </c>
      <c r="F79" s="34">
        <f>ROUND(C79*D79*(1-E79),2)</f>
        <v/>
      </c>
      <c r="G79" s="34">
        <f>F79*'Assumptions'!$B$3</f>
        <v/>
      </c>
      <c r="H79" s="34">
        <f>G79*'Assumptions'!$B$4</f>
        <v/>
      </c>
      <c r="I79" s="34">
        <f>G79-H79</f>
        <v/>
      </c>
      <c r="J79" s="34">
        <f>IF(C79=0,0,ROUND(F79/C79,2))</f>
        <v/>
      </c>
    </row>
    <row r="80">
      <c r="A80" s="23" t="inlineStr">
        <is>
          <t>CUS-0078</t>
        </is>
      </c>
      <c r="B80" s="23" t="inlineStr">
        <is>
          <t>Starter</t>
        </is>
      </c>
      <c r="C80" s="23" t="n">
        <v>29</v>
      </c>
      <c r="D80" s="34" t="n">
        <v>79</v>
      </c>
      <c r="E80" s="35" t="n">
        <v>0.15</v>
      </c>
      <c r="F80" s="34">
        <f>ROUND(C80*D80*(1-E80),2)</f>
        <v/>
      </c>
      <c r="G80" s="34">
        <f>F80*'Assumptions'!$B$3</f>
        <v/>
      </c>
      <c r="H80" s="34">
        <f>G80*'Assumptions'!$B$4</f>
        <v/>
      </c>
      <c r="I80" s="34">
        <f>G80-H80</f>
        <v/>
      </c>
      <c r="J80" s="34">
        <f>IF(C80=0,0,ROUND(F80/C80,2))</f>
        <v/>
      </c>
    </row>
    <row r="81">
      <c r="A81" s="23" t="inlineStr">
        <is>
          <t>CUS-0079</t>
        </is>
      </c>
      <c r="B81" s="23" t="inlineStr">
        <is>
          <t>Starter</t>
        </is>
      </c>
      <c r="C81" s="23" t="n">
        <v>49</v>
      </c>
      <c r="D81" s="34" t="n">
        <v>9</v>
      </c>
      <c r="E81" s="35" t="n">
        <v>0.15</v>
      </c>
      <c r="F81" s="34">
        <f>ROUND(C81*D81*(1-E81),2)</f>
        <v/>
      </c>
      <c r="G81" s="34">
        <f>F81*'Assumptions'!$B$3</f>
        <v/>
      </c>
      <c r="H81" s="34">
        <f>G81*'Assumptions'!$B$4</f>
        <v/>
      </c>
      <c r="I81" s="34">
        <f>G81-H81</f>
        <v/>
      </c>
      <c r="J81" s="34">
        <f>IF(C81=0,0,ROUND(F81/C81,2))</f>
        <v/>
      </c>
    </row>
    <row r="82">
      <c r="A82" s="23" t="inlineStr">
        <is>
          <t>CUS-0080</t>
        </is>
      </c>
      <c r="B82" s="23" t="inlineStr">
        <is>
          <t>Starter</t>
        </is>
      </c>
      <c r="C82" s="23" t="n">
        <v>73</v>
      </c>
      <c r="D82" s="34" t="n">
        <v>39</v>
      </c>
      <c r="E82" s="35" t="n">
        <v>0.1</v>
      </c>
      <c r="F82" s="34">
        <f>ROUND(C82*D82*(1-E82),2)</f>
        <v/>
      </c>
      <c r="G82" s="34">
        <f>F82*'Assumptions'!$B$3</f>
        <v/>
      </c>
      <c r="H82" s="34">
        <f>G82*'Assumptions'!$B$4</f>
        <v/>
      </c>
      <c r="I82" s="34">
        <f>G82-H82</f>
        <v/>
      </c>
      <c r="J82" s="34">
        <f>IF(C82=0,0,ROUND(F82/C82,2))</f>
        <v/>
      </c>
    </row>
    <row r="83">
      <c r="A83" s="23" t="inlineStr">
        <is>
          <t>CUS-0081</t>
        </is>
      </c>
      <c r="B83" s="23" t="inlineStr">
        <is>
          <t>Enterprise</t>
        </is>
      </c>
      <c r="C83" s="23" t="n">
        <v>119</v>
      </c>
      <c r="D83" s="34" t="n">
        <v>9</v>
      </c>
      <c r="E83" s="35" t="n">
        <v>0.05</v>
      </c>
      <c r="F83" s="34">
        <f>ROUND(C83*D83*(1-E83),2)</f>
        <v/>
      </c>
      <c r="G83" s="34">
        <f>F83*'Assumptions'!$B$3</f>
        <v/>
      </c>
      <c r="H83" s="34">
        <f>G83*'Assumptions'!$B$4</f>
        <v/>
      </c>
      <c r="I83" s="34">
        <f>G83-H83</f>
        <v/>
      </c>
      <c r="J83" s="34">
        <f>IF(C83=0,0,ROUND(F83/C83,2))</f>
        <v/>
      </c>
    </row>
    <row r="84">
      <c r="A84" s="23" t="inlineStr">
        <is>
          <t>CUS-0082</t>
        </is>
      </c>
      <c r="B84" s="23" t="inlineStr">
        <is>
          <t>Enterprise</t>
        </is>
      </c>
      <c r="C84" s="23" t="n">
        <v>68</v>
      </c>
      <c r="D84" s="34" t="n">
        <v>79</v>
      </c>
      <c r="E84" s="35" t="n">
        <v>0.1</v>
      </c>
      <c r="F84" s="34">
        <f>ROUND(C84*D84*(1-E84),2)</f>
        <v/>
      </c>
      <c r="G84" s="34">
        <f>F84*'Assumptions'!$B$3</f>
        <v/>
      </c>
      <c r="H84" s="34">
        <f>G84*'Assumptions'!$B$4</f>
        <v/>
      </c>
      <c r="I84" s="34">
        <f>G84-H84</f>
        <v/>
      </c>
      <c r="J84" s="34">
        <f>IF(C84=0,0,ROUND(F84/C84,2))</f>
        <v/>
      </c>
    </row>
    <row r="85">
      <c r="A85" s="23" t="inlineStr">
        <is>
          <t>CUS-0083</t>
        </is>
      </c>
      <c r="B85" s="23" t="inlineStr">
        <is>
          <t>Growth</t>
        </is>
      </c>
      <c r="C85" s="23" t="n">
        <v>126</v>
      </c>
      <c r="D85" s="34" t="n">
        <v>79</v>
      </c>
      <c r="E85" s="35" t="n">
        <v>0.05</v>
      </c>
      <c r="F85" s="34">
        <f>ROUND(C85*D85*(1-E85),2)</f>
        <v/>
      </c>
      <c r="G85" s="34">
        <f>F85*'Assumptions'!$B$3</f>
        <v/>
      </c>
      <c r="H85" s="34">
        <f>G85*'Assumptions'!$B$4</f>
        <v/>
      </c>
      <c r="I85" s="34">
        <f>G85-H85</f>
        <v/>
      </c>
      <c r="J85" s="34">
        <f>IF(C85=0,0,ROUND(F85/C85,2))</f>
        <v/>
      </c>
    </row>
    <row r="86">
      <c r="A86" s="23" t="inlineStr">
        <is>
          <t>CUS-0084</t>
        </is>
      </c>
      <c r="B86" s="23" t="inlineStr">
        <is>
          <t>Starter</t>
        </is>
      </c>
      <c r="C86" s="23" t="n">
        <v>13</v>
      </c>
      <c r="D86" s="34" t="n">
        <v>19</v>
      </c>
      <c r="E86" s="35" t="n">
        <v>0</v>
      </c>
      <c r="F86" s="34">
        <f>ROUND(C86*D86*(1-E86),2)</f>
        <v/>
      </c>
      <c r="G86" s="34">
        <f>F86*'Assumptions'!$B$3</f>
        <v/>
      </c>
      <c r="H86" s="34">
        <f>G86*'Assumptions'!$B$4</f>
        <v/>
      </c>
      <c r="I86" s="34">
        <f>G86-H86</f>
        <v/>
      </c>
      <c r="J86" s="34">
        <f>IF(C86=0,0,ROUND(F86/C86,2))</f>
        <v/>
      </c>
    </row>
    <row r="87">
      <c r="A87" s="23" t="inlineStr">
        <is>
          <t>CUS-0085</t>
        </is>
      </c>
      <c r="B87" s="23" t="inlineStr">
        <is>
          <t>Starter</t>
        </is>
      </c>
      <c r="C87" s="23" t="n">
        <v>95</v>
      </c>
      <c r="D87" s="34" t="n">
        <v>9</v>
      </c>
      <c r="E87" s="35" t="n">
        <v>0.1</v>
      </c>
      <c r="F87" s="34">
        <f>ROUND(C87*D87*(1-E87),2)</f>
        <v/>
      </c>
      <c r="G87" s="34">
        <f>F87*'Assumptions'!$B$3</f>
        <v/>
      </c>
      <c r="H87" s="34">
        <f>G87*'Assumptions'!$B$4</f>
        <v/>
      </c>
      <c r="I87" s="34">
        <f>G87-H87</f>
        <v/>
      </c>
      <c r="J87" s="34">
        <f>IF(C87=0,0,ROUND(F87/C87,2))</f>
        <v/>
      </c>
    </row>
    <row r="88">
      <c r="A88" s="23" t="inlineStr">
        <is>
          <t>CUS-0086</t>
        </is>
      </c>
      <c r="B88" s="23" t="inlineStr">
        <is>
          <t>Starter</t>
        </is>
      </c>
      <c r="C88" s="23" t="n">
        <v>108</v>
      </c>
      <c r="D88" s="34" t="n">
        <v>39</v>
      </c>
      <c r="E88" s="35" t="n">
        <v>0.15</v>
      </c>
      <c r="F88" s="34">
        <f>ROUND(C88*D88*(1-E88),2)</f>
        <v/>
      </c>
      <c r="G88" s="34">
        <f>F88*'Assumptions'!$B$3</f>
        <v/>
      </c>
      <c r="H88" s="34">
        <f>G88*'Assumptions'!$B$4</f>
        <v/>
      </c>
      <c r="I88" s="34">
        <f>G88-H88</f>
        <v/>
      </c>
      <c r="J88" s="34">
        <f>IF(C88=0,0,ROUND(F88/C88,2))</f>
        <v/>
      </c>
    </row>
    <row r="89">
      <c r="A89" s="23" t="inlineStr">
        <is>
          <t>CUS-0087</t>
        </is>
      </c>
      <c r="B89" s="23" t="inlineStr">
        <is>
          <t>Starter</t>
        </is>
      </c>
      <c r="C89" s="23" t="n">
        <v>26</v>
      </c>
      <c r="D89" s="34" t="n">
        <v>9</v>
      </c>
      <c r="E89" s="35" t="n">
        <v>0.15</v>
      </c>
      <c r="F89" s="34">
        <f>ROUND(C89*D89*(1-E89),2)</f>
        <v/>
      </c>
      <c r="G89" s="34">
        <f>F89*'Assumptions'!$B$3</f>
        <v/>
      </c>
      <c r="H89" s="34">
        <f>G89*'Assumptions'!$B$4</f>
        <v/>
      </c>
      <c r="I89" s="34">
        <f>G89-H89</f>
        <v/>
      </c>
      <c r="J89" s="34">
        <f>IF(C89=0,0,ROUND(F89/C89,2))</f>
        <v/>
      </c>
    </row>
    <row r="90">
      <c r="A90" s="23" t="inlineStr">
        <is>
          <t>CUS-0088</t>
        </is>
      </c>
      <c r="B90" s="23" t="inlineStr">
        <is>
          <t>Growth</t>
        </is>
      </c>
      <c r="C90" s="23" t="n">
        <v>91</v>
      </c>
      <c r="D90" s="34" t="n">
        <v>9</v>
      </c>
      <c r="E90" s="35" t="n">
        <v>0.15</v>
      </c>
      <c r="F90" s="34">
        <f>ROUND(C90*D90*(1-E90),2)</f>
        <v/>
      </c>
      <c r="G90" s="34">
        <f>F90*'Assumptions'!$B$3</f>
        <v/>
      </c>
      <c r="H90" s="34">
        <f>G90*'Assumptions'!$B$4</f>
        <v/>
      </c>
      <c r="I90" s="34">
        <f>G90-H90</f>
        <v/>
      </c>
      <c r="J90" s="34">
        <f>IF(C90=0,0,ROUND(F90/C90,2))</f>
        <v/>
      </c>
    </row>
    <row r="91">
      <c r="A91" s="23" t="inlineStr">
        <is>
          <t>CUS-0089</t>
        </is>
      </c>
      <c r="B91" s="23" t="inlineStr">
        <is>
          <t>Starter</t>
        </is>
      </c>
      <c r="C91" s="23" t="n">
        <v>40</v>
      </c>
      <c r="D91" s="34" t="n">
        <v>9</v>
      </c>
      <c r="E91" s="35" t="n">
        <v>0.1</v>
      </c>
      <c r="F91" s="34">
        <f>ROUND(C91*D91*(1-E91),2)</f>
        <v/>
      </c>
      <c r="G91" s="34">
        <f>F91*'Assumptions'!$B$3</f>
        <v/>
      </c>
      <c r="H91" s="34">
        <f>G91*'Assumptions'!$B$4</f>
        <v/>
      </c>
      <c r="I91" s="34">
        <f>G91-H91</f>
        <v/>
      </c>
      <c r="J91" s="34">
        <f>IF(C91=0,0,ROUND(F91/C91,2))</f>
        <v/>
      </c>
    </row>
    <row r="92">
      <c r="A92" s="23" t="inlineStr">
        <is>
          <t>CUS-0090</t>
        </is>
      </c>
      <c r="B92" s="23" t="inlineStr">
        <is>
          <t>Enterprise</t>
        </is>
      </c>
      <c r="C92" s="23" t="n">
        <v>117</v>
      </c>
      <c r="D92" s="34" t="n">
        <v>39</v>
      </c>
      <c r="E92" s="35" t="n">
        <v>0.15</v>
      </c>
      <c r="F92" s="34">
        <f>ROUND(C92*D92*(1-E92),2)</f>
        <v/>
      </c>
      <c r="G92" s="34">
        <f>F92*'Assumptions'!$B$3</f>
        <v/>
      </c>
      <c r="H92" s="34">
        <f>G92*'Assumptions'!$B$4</f>
        <v/>
      </c>
      <c r="I92" s="34">
        <f>G92-H92</f>
        <v/>
      </c>
      <c r="J92" s="34">
        <f>IF(C92=0,0,ROUND(F92/C92,2))</f>
        <v/>
      </c>
    </row>
    <row r="93">
      <c r="A93" s="23" t="inlineStr">
        <is>
          <t>CUS-0091</t>
        </is>
      </c>
      <c r="B93" s="23" t="inlineStr">
        <is>
          <t>Enterprise</t>
        </is>
      </c>
      <c r="C93" s="23" t="n">
        <v>112</v>
      </c>
      <c r="D93" s="34" t="n">
        <v>39</v>
      </c>
      <c r="E93" s="35" t="n">
        <v>0.1</v>
      </c>
      <c r="F93" s="34">
        <f>ROUND(C93*D93*(1-E93),2)</f>
        <v/>
      </c>
      <c r="G93" s="34">
        <f>F93*'Assumptions'!$B$3</f>
        <v/>
      </c>
      <c r="H93" s="34">
        <f>G93*'Assumptions'!$B$4</f>
        <v/>
      </c>
      <c r="I93" s="34">
        <f>G93-H93</f>
        <v/>
      </c>
      <c r="J93" s="34">
        <f>IF(C93=0,0,ROUND(F93/C93,2))</f>
        <v/>
      </c>
    </row>
    <row r="94">
      <c r="A94" s="23" t="inlineStr">
        <is>
          <t>CUS-0092</t>
        </is>
      </c>
      <c r="B94" s="23" t="inlineStr">
        <is>
          <t>Starter</t>
        </is>
      </c>
      <c r="C94" s="23" t="n">
        <v>115</v>
      </c>
      <c r="D94" s="34" t="n">
        <v>19</v>
      </c>
      <c r="E94" s="35" t="n">
        <v>0.1</v>
      </c>
      <c r="F94" s="34">
        <f>ROUND(C94*D94*(1-E94),2)</f>
        <v/>
      </c>
      <c r="G94" s="34">
        <f>F94*'Assumptions'!$B$3</f>
        <v/>
      </c>
      <c r="H94" s="34">
        <f>G94*'Assumptions'!$B$4</f>
        <v/>
      </c>
      <c r="I94" s="34">
        <f>G94-H94</f>
        <v/>
      </c>
      <c r="J94" s="34">
        <f>IF(C94=0,0,ROUND(F94/C94,2))</f>
        <v/>
      </c>
    </row>
    <row r="95">
      <c r="A95" s="23" t="inlineStr">
        <is>
          <t>CUS-0093</t>
        </is>
      </c>
      <c r="B95" s="23" t="inlineStr">
        <is>
          <t>Starter</t>
        </is>
      </c>
      <c r="C95" s="23" t="n">
        <v>138</v>
      </c>
      <c r="D95" s="34" t="n">
        <v>39</v>
      </c>
      <c r="E95" s="35" t="n">
        <v>0.1</v>
      </c>
      <c r="F95" s="34">
        <f>ROUND(C95*D95*(1-E95),2)</f>
        <v/>
      </c>
      <c r="G95" s="34">
        <f>F95*'Assumptions'!$B$3</f>
        <v/>
      </c>
      <c r="H95" s="34">
        <f>G95*'Assumptions'!$B$4</f>
        <v/>
      </c>
      <c r="I95" s="34">
        <f>G95-H95</f>
        <v/>
      </c>
      <c r="J95" s="34">
        <f>IF(C95=0,0,ROUND(F95/C95,2))</f>
        <v/>
      </c>
    </row>
    <row r="96">
      <c r="A96" s="23" t="inlineStr">
        <is>
          <t>CUS-0094</t>
        </is>
      </c>
      <c r="B96" s="23" t="inlineStr">
        <is>
          <t>Enterprise</t>
        </is>
      </c>
      <c r="C96" s="23" t="n">
        <v>38</v>
      </c>
      <c r="D96" s="34" t="n">
        <v>19</v>
      </c>
      <c r="E96" s="35" t="n">
        <v>0.05</v>
      </c>
      <c r="F96" s="34">
        <f>ROUND(C96*D96*(1-E96),2)</f>
        <v/>
      </c>
      <c r="G96" s="34">
        <f>F96*'Assumptions'!$B$3</f>
        <v/>
      </c>
      <c r="H96" s="34">
        <f>G96*'Assumptions'!$B$4</f>
        <v/>
      </c>
      <c r="I96" s="34">
        <f>G96-H96</f>
        <v/>
      </c>
      <c r="J96" s="34">
        <f>IF(C96=0,0,ROUND(F96/C96,2))</f>
        <v/>
      </c>
    </row>
    <row r="97">
      <c r="A97" s="23" t="inlineStr">
        <is>
          <t>CUS-0095</t>
        </is>
      </c>
      <c r="B97" s="23" t="inlineStr">
        <is>
          <t>Starter</t>
        </is>
      </c>
      <c r="C97" s="23" t="n">
        <v>36</v>
      </c>
      <c r="D97" s="34" t="n">
        <v>79</v>
      </c>
      <c r="E97" s="35" t="n">
        <v>0.15</v>
      </c>
      <c r="F97" s="34">
        <f>ROUND(C97*D97*(1-E97),2)</f>
        <v/>
      </c>
      <c r="G97" s="34">
        <f>F97*'Assumptions'!$B$3</f>
        <v/>
      </c>
      <c r="H97" s="34">
        <f>G97*'Assumptions'!$B$4</f>
        <v/>
      </c>
      <c r="I97" s="34">
        <f>G97-H97</f>
        <v/>
      </c>
      <c r="J97" s="34">
        <f>IF(C97=0,0,ROUND(F97/C97,2))</f>
        <v/>
      </c>
    </row>
    <row r="98">
      <c r="A98" s="23" t="inlineStr">
        <is>
          <t>CUS-0096</t>
        </is>
      </c>
      <c r="B98" s="23" t="inlineStr">
        <is>
          <t>Starter</t>
        </is>
      </c>
      <c r="C98" s="23" t="n">
        <v>72</v>
      </c>
      <c r="D98" s="34" t="n">
        <v>9</v>
      </c>
      <c r="E98" s="35" t="n">
        <v>0.05</v>
      </c>
      <c r="F98" s="34">
        <f>ROUND(C98*D98*(1-E98),2)</f>
        <v/>
      </c>
      <c r="G98" s="34">
        <f>F98*'Assumptions'!$B$3</f>
        <v/>
      </c>
      <c r="H98" s="34">
        <f>G98*'Assumptions'!$B$4</f>
        <v/>
      </c>
      <c r="I98" s="34">
        <f>G98-H98</f>
        <v/>
      </c>
      <c r="J98" s="34">
        <f>IF(C98=0,0,ROUND(F98/C98,2))</f>
        <v/>
      </c>
    </row>
    <row r="99">
      <c r="A99" s="23" t="inlineStr">
        <is>
          <t>CUS-0097</t>
        </is>
      </c>
      <c r="B99" s="23" t="inlineStr">
        <is>
          <t>Growth</t>
        </is>
      </c>
      <c r="C99" s="23" t="n">
        <v>100</v>
      </c>
      <c r="D99" s="34" t="n">
        <v>9</v>
      </c>
      <c r="E99" s="35" t="n">
        <v>0.1</v>
      </c>
      <c r="F99" s="34">
        <f>ROUND(C99*D99*(1-E99),2)</f>
        <v/>
      </c>
      <c r="G99" s="34">
        <f>F99*'Assumptions'!$B$3</f>
        <v/>
      </c>
      <c r="H99" s="34">
        <f>G99*'Assumptions'!$B$4</f>
        <v/>
      </c>
      <c r="I99" s="34">
        <f>G99-H99</f>
        <v/>
      </c>
      <c r="J99" s="34">
        <f>IF(C99=0,0,ROUND(F99/C99,2))</f>
        <v/>
      </c>
    </row>
    <row r="100">
      <c r="A100" s="23" t="inlineStr">
        <is>
          <t>CUS-0098</t>
        </is>
      </c>
      <c r="B100" s="23" t="inlineStr">
        <is>
          <t>Enterprise</t>
        </is>
      </c>
      <c r="C100" s="23" t="n">
        <v>96</v>
      </c>
      <c r="D100" s="34" t="n">
        <v>9</v>
      </c>
      <c r="E100" s="35" t="n">
        <v>0.05</v>
      </c>
      <c r="F100" s="34">
        <f>ROUND(C100*D100*(1-E100),2)</f>
        <v/>
      </c>
      <c r="G100" s="34">
        <f>F100*'Assumptions'!$B$3</f>
        <v/>
      </c>
      <c r="H100" s="34">
        <f>G100*'Assumptions'!$B$4</f>
        <v/>
      </c>
      <c r="I100" s="34">
        <f>G100-H100</f>
        <v/>
      </c>
      <c r="J100" s="34">
        <f>IF(C100=0,0,ROUND(F100/C100,2))</f>
        <v/>
      </c>
    </row>
    <row r="101">
      <c r="A101" s="23" t="inlineStr">
        <is>
          <t>CUS-0099</t>
        </is>
      </c>
      <c r="B101" s="23" t="inlineStr">
        <is>
          <t>Enterprise</t>
        </is>
      </c>
      <c r="C101" s="23" t="n">
        <v>86</v>
      </c>
      <c r="D101" s="34" t="n">
        <v>9</v>
      </c>
      <c r="E101" s="35" t="n">
        <v>0.1</v>
      </c>
      <c r="F101" s="34">
        <f>ROUND(C101*D101*(1-E101),2)</f>
        <v/>
      </c>
      <c r="G101" s="34">
        <f>F101*'Assumptions'!$B$3</f>
        <v/>
      </c>
      <c r="H101" s="34">
        <f>G101*'Assumptions'!$B$4</f>
        <v/>
      </c>
      <c r="I101" s="34">
        <f>G101-H101</f>
        <v/>
      </c>
      <c r="J101" s="34">
        <f>IF(C101=0,0,ROUND(F101/C101,2))</f>
        <v/>
      </c>
    </row>
    <row r="102">
      <c r="A102" s="23" t="inlineStr">
        <is>
          <t>CUS-0100</t>
        </is>
      </c>
      <c r="B102" s="23" t="inlineStr">
        <is>
          <t>Starter</t>
        </is>
      </c>
      <c r="C102" s="23" t="n">
        <v>58</v>
      </c>
      <c r="D102" s="34" t="n">
        <v>19</v>
      </c>
      <c r="E102" s="35" t="n">
        <v>0.15</v>
      </c>
      <c r="F102" s="34">
        <f>ROUND(C102*D102*(1-E102),2)</f>
        <v/>
      </c>
      <c r="G102" s="34">
        <f>F102*'Assumptions'!$B$3</f>
        <v/>
      </c>
      <c r="H102" s="34">
        <f>G102*'Assumptions'!$B$4</f>
        <v/>
      </c>
      <c r="I102" s="34">
        <f>G102-H102</f>
        <v/>
      </c>
      <c r="J102" s="34">
        <f>IF(C102=0,0,ROUND(F102/C102,2))</f>
        <v/>
      </c>
    </row>
    <row r="103">
      <c r="A103" s="23" t="inlineStr">
        <is>
          <t>CUS-0101</t>
        </is>
      </c>
      <c r="B103" s="23" t="inlineStr">
        <is>
          <t>Enterprise</t>
        </is>
      </c>
      <c r="C103" s="23" t="n">
        <v>46</v>
      </c>
      <c r="D103" s="34" t="n">
        <v>19</v>
      </c>
      <c r="E103" s="35" t="n">
        <v>0.05</v>
      </c>
      <c r="F103" s="34">
        <f>ROUND(C103*D103*(1-E103),2)</f>
        <v/>
      </c>
      <c r="G103" s="34">
        <f>F103*'Assumptions'!$B$3</f>
        <v/>
      </c>
      <c r="H103" s="34">
        <f>G103*'Assumptions'!$B$4</f>
        <v/>
      </c>
      <c r="I103" s="34">
        <f>G103-H103</f>
        <v/>
      </c>
      <c r="J103" s="34">
        <f>IF(C103=0,0,ROUND(F103/C103,2))</f>
        <v/>
      </c>
    </row>
    <row r="104">
      <c r="A104" s="23" t="inlineStr">
        <is>
          <t>CUS-0102</t>
        </is>
      </c>
      <c r="B104" s="23" t="inlineStr">
        <is>
          <t>Growth</t>
        </is>
      </c>
      <c r="C104" s="23" t="n">
        <v>144</v>
      </c>
      <c r="D104" s="34" t="n">
        <v>79</v>
      </c>
      <c r="E104" s="35" t="n">
        <v>0</v>
      </c>
      <c r="F104" s="34">
        <f>ROUND(C104*D104*(1-E104),2)</f>
        <v/>
      </c>
      <c r="G104" s="34">
        <f>F104*'Assumptions'!$B$3</f>
        <v/>
      </c>
      <c r="H104" s="34">
        <f>G104*'Assumptions'!$B$4</f>
        <v/>
      </c>
      <c r="I104" s="34">
        <f>G104-H104</f>
        <v/>
      </c>
      <c r="J104" s="34">
        <f>IF(C104=0,0,ROUND(F104/C104,2))</f>
        <v/>
      </c>
    </row>
    <row r="105">
      <c r="A105" s="23" t="inlineStr">
        <is>
          <t>CUS-0103</t>
        </is>
      </c>
      <c r="B105" s="23" t="inlineStr">
        <is>
          <t>Enterprise</t>
        </is>
      </c>
      <c r="C105" s="23" t="n">
        <v>20</v>
      </c>
      <c r="D105" s="34" t="n">
        <v>9</v>
      </c>
      <c r="E105" s="35" t="n">
        <v>0.05</v>
      </c>
      <c r="F105" s="34">
        <f>ROUND(C105*D105*(1-E105),2)</f>
        <v/>
      </c>
      <c r="G105" s="34">
        <f>F105*'Assumptions'!$B$3</f>
        <v/>
      </c>
      <c r="H105" s="34">
        <f>G105*'Assumptions'!$B$4</f>
        <v/>
      </c>
      <c r="I105" s="34">
        <f>G105-H105</f>
        <v/>
      </c>
      <c r="J105" s="34">
        <f>IF(C105=0,0,ROUND(F105/C105,2))</f>
        <v/>
      </c>
    </row>
    <row r="106">
      <c r="A106" s="23" t="inlineStr">
        <is>
          <t>CUS-0104</t>
        </is>
      </c>
      <c r="B106" s="23" t="inlineStr">
        <is>
          <t>Starter</t>
        </is>
      </c>
      <c r="C106" s="23" t="n">
        <v>111</v>
      </c>
      <c r="D106" s="34" t="n">
        <v>79</v>
      </c>
      <c r="E106" s="35" t="n">
        <v>0</v>
      </c>
      <c r="F106" s="34">
        <f>ROUND(C106*D106*(1-E106),2)</f>
        <v/>
      </c>
      <c r="G106" s="34">
        <f>F106*'Assumptions'!$B$3</f>
        <v/>
      </c>
      <c r="H106" s="34">
        <f>G106*'Assumptions'!$B$4</f>
        <v/>
      </c>
      <c r="I106" s="34">
        <f>G106-H106</f>
        <v/>
      </c>
      <c r="J106" s="34">
        <f>IF(C106=0,0,ROUND(F106/C106,2))</f>
        <v/>
      </c>
    </row>
    <row r="107">
      <c r="A107" s="23" t="inlineStr">
        <is>
          <t>CUS-0105</t>
        </is>
      </c>
      <c r="B107" s="23" t="inlineStr">
        <is>
          <t>Enterprise</t>
        </is>
      </c>
      <c r="C107" s="23" t="n">
        <v>98</v>
      </c>
      <c r="D107" s="34" t="n">
        <v>79</v>
      </c>
      <c r="E107" s="35" t="n">
        <v>0</v>
      </c>
      <c r="F107" s="34">
        <f>ROUND(C107*D107*(1-E107),2)</f>
        <v/>
      </c>
      <c r="G107" s="34">
        <f>F107*'Assumptions'!$B$3</f>
        <v/>
      </c>
      <c r="H107" s="34">
        <f>G107*'Assumptions'!$B$4</f>
        <v/>
      </c>
      <c r="I107" s="34">
        <f>G107-H107</f>
        <v/>
      </c>
      <c r="J107" s="34">
        <f>IF(C107=0,0,ROUND(F107/C107,2))</f>
        <v/>
      </c>
    </row>
    <row r="108">
      <c r="A108" s="23" t="inlineStr">
        <is>
          <t>CUS-0106</t>
        </is>
      </c>
      <c r="B108" s="23" t="inlineStr">
        <is>
          <t>Enterprise</t>
        </is>
      </c>
      <c r="C108" s="23" t="n">
        <v>106</v>
      </c>
      <c r="D108" s="34" t="n">
        <v>39</v>
      </c>
      <c r="E108" s="35" t="n">
        <v>0.05</v>
      </c>
      <c r="F108" s="34">
        <f>ROUND(C108*D108*(1-E108),2)</f>
        <v/>
      </c>
      <c r="G108" s="34">
        <f>F108*'Assumptions'!$B$3</f>
        <v/>
      </c>
      <c r="H108" s="34">
        <f>G108*'Assumptions'!$B$4</f>
        <v/>
      </c>
      <c r="I108" s="34">
        <f>G108-H108</f>
        <v/>
      </c>
      <c r="J108" s="34">
        <f>IF(C108=0,0,ROUND(F108/C108,2))</f>
        <v/>
      </c>
    </row>
    <row r="109">
      <c r="A109" s="23" t="inlineStr">
        <is>
          <t>CUS-0107</t>
        </is>
      </c>
      <c r="B109" s="23" t="inlineStr">
        <is>
          <t>Starter</t>
        </is>
      </c>
      <c r="C109" s="23" t="n">
        <v>137</v>
      </c>
      <c r="D109" s="34" t="n">
        <v>19</v>
      </c>
      <c r="E109" s="35" t="n">
        <v>0.1</v>
      </c>
      <c r="F109" s="34">
        <f>ROUND(C109*D109*(1-E109),2)</f>
        <v/>
      </c>
      <c r="G109" s="34">
        <f>F109*'Assumptions'!$B$3</f>
        <v/>
      </c>
      <c r="H109" s="34">
        <f>G109*'Assumptions'!$B$4</f>
        <v/>
      </c>
      <c r="I109" s="34">
        <f>G109-H109</f>
        <v/>
      </c>
      <c r="J109" s="34">
        <f>IF(C109=0,0,ROUND(F109/C109,2))</f>
        <v/>
      </c>
    </row>
    <row r="110">
      <c r="A110" s="23" t="inlineStr">
        <is>
          <t>CUS-0108</t>
        </is>
      </c>
      <c r="B110" s="23" t="inlineStr">
        <is>
          <t>Starter</t>
        </is>
      </c>
      <c r="C110" s="23" t="n">
        <v>46</v>
      </c>
      <c r="D110" s="34" t="n">
        <v>79</v>
      </c>
      <c r="E110" s="35" t="n">
        <v>0.05</v>
      </c>
      <c r="F110" s="34">
        <f>ROUND(C110*D110*(1-E110),2)</f>
        <v/>
      </c>
      <c r="G110" s="34">
        <f>F110*'Assumptions'!$B$3</f>
        <v/>
      </c>
      <c r="H110" s="34">
        <f>G110*'Assumptions'!$B$4</f>
        <v/>
      </c>
      <c r="I110" s="34">
        <f>G110-H110</f>
        <v/>
      </c>
      <c r="J110" s="34">
        <f>IF(C110=0,0,ROUND(F110/C110,2))</f>
        <v/>
      </c>
    </row>
    <row r="111">
      <c r="A111" s="23" t="inlineStr">
        <is>
          <t>CUS-0109</t>
        </is>
      </c>
      <c r="B111" s="23" t="inlineStr">
        <is>
          <t>Enterprise</t>
        </is>
      </c>
      <c r="C111" s="23" t="n">
        <v>120</v>
      </c>
      <c r="D111" s="34" t="n">
        <v>39</v>
      </c>
      <c r="E111" s="35" t="n">
        <v>0.05</v>
      </c>
      <c r="F111" s="34">
        <f>ROUND(C111*D111*(1-E111),2)</f>
        <v/>
      </c>
      <c r="G111" s="34">
        <f>F111*'Assumptions'!$B$3</f>
        <v/>
      </c>
      <c r="H111" s="34">
        <f>G111*'Assumptions'!$B$4</f>
        <v/>
      </c>
      <c r="I111" s="34">
        <f>G111-H111</f>
        <v/>
      </c>
      <c r="J111" s="34">
        <f>IF(C111=0,0,ROUND(F111/C111,2))</f>
        <v/>
      </c>
    </row>
    <row r="112">
      <c r="A112" s="23" t="inlineStr">
        <is>
          <t>CUS-0110</t>
        </is>
      </c>
      <c r="B112" s="23" t="inlineStr">
        <is>
          <t>Enterprise</t>
        </is>
      </c>
      <c r="C112" s="23" t="n">
        <v>14</v>
      </c>
      <c r="D112" s="34" t="n">
        <v>19</v>
      </c>
      <c r="E112" s="35" t="n">
        <v>0.1</v>
      </c>
      <c r="F112" s="34">
        <f>ROUND(C112*D112*(1-E112),2)</f>
        <v/>
      </c>
      <c r="G112" s="34">
        <f>F112*'Assumptions'!$B$3</f>
        <v/>
      </c>
      <c r="H112" s="34">
        <f>G112*'Assumptions'!$B$4</f>
        <v/>
      </c>
      <c r="I112" s="34">
        <f>G112-H112</f>
        <v/>
      </c>
      <c r="J112" s="34">
        <f>IF(C112=0,0,ROUND(F112/C112,2))</f>
        <v/>
      </c>
    </row>
    <row r="113">
      <c r="A113" s="23" t="inlineStr">
        <is>
          <t>CUS-0111</t>
        </is>
      </c>
      <c r="B113" s="23" t="inlineStr">
        <is>
          <t>Starter</t>
        </is>
      </c>
      <c r="C113" s="23" t="n">
        <v>26</v>
      </c>
      <c r="D113" s="34" t="n">
        <v>79</v>
      </c>
      <c r="E113" s="35" t="n">
        <v>0</v>
      </c>
      <c r="F113" s="34">
        <f>ROUND(C113*D113*(1-E113),2)</f>
        <v/>
      </c>
      <c r="G113" s="34">
        <f>F113*'Assumptions'!$B$3</f>
        <v/>
      </c>
      <c r="H113" s="34">
        <f>G113*'Assumptions'!$B$4</f>
        <v/>
      </c>
      <c r="I113" s="34">
        <f>G113-H113</f>
        <v/>
      </c>
      <c r="J113" s="34">
        <f>IF(C113=0,0,ROUND(F113/C113,2))</f>
        <v/>
      </c>
    </row>
    <row r="114">
      <c r="A114" s="23" t="inlineStr">
        <is>
          <t>CUS-0112</t>
        </is>
      </c>
      <c r="B114" s="23" t="inlineStr">
        <is>
          <t>Starter</t>
        </is>
      </c>
      <c r="C114" s="23" t="n">
        <v>13</v>
      </c>
      <c r="D114" s="34" t="n">
        <v>19</v>
      </c>
      <c r="E114" s="35" t="n">
        <v>0</v>
      </c>
      <c r="F114" s="34">
        <f>ROUND(C114*D114*(1-E114),2)</f>
        <v/>
      </c>
      <c r="G114" s="34">
        <f>F114*'Assumptions'!$B$3</f>
        <v/>
      </c>
      <c r="H114" s="34">
        <f>G114*'Assumptions'!$B$4</f>
        <v/>
      </c>
      <c r="I114" s="34">
        <f>G114-H114</f>
        <v/>
      </c>
      <c r="J114" s="34">
        <f>IF(C114=0,0,ROUND(F114/C114,2))</f>
        <v/>
      </c>
    </row>
    <row r="115">
      <c r="A115" s="23" t="inlineStr">
        <is>
          <t>CUS-0113</t>
        </is>
      </c>
      <c r="B115" s="23" t="inlineStr">
        <is>
          <t>Enterprise</t>
        </is>
      </c>
      <c r="C115" s="23" t="n">
        <v>51</v>
      </c>
      <c r="D115" s="34" t="n">
        <v>19</v>
      </c>
      <c r="E115" s="35" t="n">
        <v>0.15</v>
      </c>
      <c r="F115" s="34">
        <f>ROUND(C115*D115*(1-E115),2)</f>
        <v/>
      </c>
      <c r="G115" s="34">
        <f>F115*'Assumptions'!$B$3</f>
        <v/>
      </c>
      <c r="H115" s="34">
        <f>G115*'Assumptions'!$B$4</f>
        <v/>
      </c>
      <c r="I115" s="34">
        <f>G115-H115</f>
        <v/>
      </c>
      <c r="J115" s="34">
        <f>IF(C115=0,0,ROUND(F115/C115,2))</f>
        <v/>
      </c>
    </row>
    <row r="116">
      <c r="A116" s="23" t="inlineStr">
        <is>
          <t>CUS-0114</t>
        </is>
      </c>
      <c r="B116" s="23" t="inlineStr">
        <is>
          <t>Starter</t>
        </is>
      </c>
      <c r="C116" s="23" t="n">
        <v>81</v>
      </c>
      <c r="D116" s="34" t="n">
        <v>39</v>
      </c>
      <c r="E116" s="35" t="n">
        <v>0.15</v>
      </c>
      <c r="F116" s="34">
        <f>ROUND(C116*D116*(1-E116),2)</f>
        <v/>
      </c>
      <c r="G116" s="34">
        <f>F116*'Assumptions'!$B$3</f>
        <v/>
      </c>
      <c r="H116" s="34">
        <f>G116*'Assumptions'!$B$4</f>
        <v/>
      </c>
      <c r="I116" s="34">
        <f>G116-H116</f>
        <v/>
      </c>
      <c r="J116" s="34">
        <f>IF(C116=0,0,ROUND(F116/C116,2))</f>
        <v/>
      </c>
    </row>
    <row r="117">
      <c r="A117" s="23" t="inlineStr">
        <is>
          <t>CUS-0115</t>
        </is>
      </c>
      <c r="B117" s="23" t="inlineStr">
        <is>
          <t>Starter</t>
        </is>
      </c>
      <c r="C117" s="23" t="n">
        <v>22</v>
      </c>
      <c r="D117" s="34" t="n">
        <v>19</v>
      </c>
      <c r="E117" s="35" t="n">
        <v>0.1</v>
      </c>
      <c r="F117" s="34">
        <f>ROUND(C117*D117*(1-E117),2)</f>
        <v/>
      </c>
      <c r="G117" s="34">
        <f>F117*'Assumptions'!$B$3</f>
        <v/>
      </c>
      <c r="H117" s="34">
        <f>G117*'Assumptions'!$B$4</f>
        <v/>
      </c>
      <c r="I117" s="34">
        <f>G117-H117</f>
        <v/>
      </c>
      <c r="J117" s="34">
        <f>IF(C117=0,0,ROUND(F117/C117,2))</f>
        <v/>
      </c>
    </row>
    <row r="118">
      <c r="A118" s="23" t="inlineStr">
        <is>
          <t>CUS-0116</t>
        </is>
      </c>
      <c r="B118" s="23" t="inlineStr">
        <is>
          <t>Enterprise</t>
        </is>
      </c>
      <c r="C118" s="23" t="n">
        <v>31</v>
      </c>
      <c r="D118" s="34" t="n">
        <v>79</v>
      </c>
      <c r="E118" s="35" t="n">
        <v>0</v>
      </c>
      <c r="F118" s="34">
        <f>ROUND(C118*D118*(1-E118),2)</f>
        <v/>
      </c>
      <c r="G118" s="34">
        <f>F118*'Assumptions'!$B$3</f>
        <v/>
      </c>
      <c r="H118" s="34">
        <f>G118*'Assumptions'!$B$4</f>
        <v/>
      </c>
      <c r="I118" s="34">
        <f>G118-H118</f>
        <v/>
      </c>
      <c r="J118" s="34">
        <f>IF(C118=0,0,ROUND(F118/C118,2))</f>
        <v/>
      </c>
    </row>
    <row r="119">
      <c r="A119" s="23" t="inlineStr">
        <is>
          <t>CUS-0117</t>
        </is>
      </c>
      <c r="B119" s="23" t="inlineStr">
        <is>
          <t>Starter</t>
        </is>
      </c>
      <c r="C119" s="23" t="n">
        <v>124</v>
      </c>
      <c r="D119" s="34" t="n">
        <v>19</v>
      </c>
      <c r="E119" s="35" t="n">
        <v>0.05</v>
      </c>
      <c r="F119" s="34">
        <f>ROUND(C119*D119*(1-E119),2)</f>
        <v/>
      </c>
      <c r="G119" s="34">
        <f>F119*'Assumptions'!$B$3</f>
        <v/>
      </c>
      <c r="H119" s="34">
        <f>G119*'Assumptions'!$B$4</f>
        <v/>
      </c>
      <c r="I119" s="34">
        <f>G119-H119</f>
        <v/>
      </c>
      <c r="J119" s="34">
        <f>IF(C119=0,0,ROUND(F119/C119,2))</f>
        <v/>
      </c>
    </row>
    <row r="120">
      <c r="A120" s="23" t="inlineStr">
        <is>
          <t>CUS-0118</t>
        </is>
      </c>
      <c r="B120" s="23" t="inlineStr">
        <is>
          <t>Starter</t>
        </is>
      </c>
      <c r="C120" s="23" t="n">
        <v>131</v>
      </c>
      <c r="D120" s="34" t="n">
        <v>19</v>
      </c>
      <c r="E120" s="35" t="n">
        <v>0.15</v>
      </c>
      <c r="F120" s="34">
        <f>ROUND(C120*D120*(1-E120),2)</f>
        <v/>
      </c>
      <c r="G120" s="34">
        <f>F120*'Assumptions'!$B$3</f>
        <v/>
      </c>
      <c r="H120" s="34">
        <f>G120*'Assumptions'!$B$4</f>
        <v/>
      </c>
      <c r="I120" s="34">
        <f>G120-H120</f>
        <v/>
      </c>
      <c r="J120" s="34">
        <f>IF(C120=0,0,ROUND(F120/C120,2))</f>
        <v/>
      </c>
    </row>
    <row r="121">
      <c r="A121" s="23" t="inlineStr">
        <is>
          <t>CUS-0119</t>
        </is>
      </c>
      <c r="B121" s="23" t="inlineStr">
        <is>
          <t>Growth</t>
        </is>
      </c>
      <c r="C121" s="23" t="n">
        <v>132</v>
      </c>
      <c r="D121" s="34" t="n">
        <v>39</v>
      </c>
      <c r="E121" s="35" t="n">
        <v>0.05</v>
      </c>
      <c r="F121" s="34">
        <f>ROUND(C121*D121*(1-E121),2)</f>
        <v/>
      </c>
      <c r="G121" s="34">
        <f>F121*'Assumptions'!$B$3</f>
        <v/>
      </c>
      <c r="H121" s="34">
        <f>G121*'Assumptions'!$B$4</f>
        <v/>
      </c>
      <c r="I121" s="34">
        <f>G121-H121</f>
        <v/>
      </c>
      <c r="J121" s="34">
        <f>IF(C121=0,0,ROUND(F121/C121,2))</f>
        <v/>
      </c>
    </row>
    <row r="122">
      <c r="A122" s="23" t="inlineStr">
        <is>
          <t>CUS-0120</t>
        </is>
      </c>
      <c r="B122" s="23" t="inlineStr">
        <is>
          <t>Enterprise</t>
        </is>
      </c>
      <c r="C122" s="23" t="n">
        <v>12</v>
      </c>
      <c r="D122" s="34" t="n">
        <v>39</v>
      </c>
      <c r="E122" s="35" t="n">
        <v>0.05</v>
      </c>
      <c r="F122" s="34">
        <f>ROUND(C122*D122*(1-E122),2)</f>
        <v/>
      </c>
      <c r="G122" s="34">
        <f>F122*'Assumptions'!$B$3</f>
        <v/>
      </c>
      <c r="H122" s="34">
        <f>G122*'Assumptions'!$B$4</f>
        <v/>
      </c>
      <c r="I122" s="34">
        <f>G122-H122</f>
        <v/>
      </c>
      <c r="J122" s="34">
        <f>IF(C122=0,0,ROUND(F122/C122,2))</f>
        <v/>
      </c>
    </row>
    <row r="123">
      <c r="A123" s="23" t="inlineStr">
        <is>
          <t>CUS-0121</t>
        </is>
      </c>
      <c r="B123" s="23" t="inlineStr">
        <is>
          <t>Enterprise</t>
        </is>
      </c>
      <c r="C123" s="23" t="n">
        <v>34</v>
      </c>
      <c r="D123" s="34" t="n">
        <v>79</v>
      </c>
      <c r="E123" s="35" t="n">
        <v>0.15</v>
      </c>
      <c r="F123" s="34">
        <f>ROUND(C123*D123*(1-E123),2)</f>
        <v/>
      </c>
      <c r="G123" s="34">
        <f>F123*'Assumptions'!$B$3</f>
        <v/>
      </c>
      <c r="H123" s="34">
        <f>G123*'Assumptions'!$B$4</f>
        <v/>
      </c>
      <c r="I123" s="34">
        <f>G123-H123</f>
        <v/>
      </c>
      <c r="J123" s="34">
        <f>IF(C123=0,0,ROUND(F123/C123,2))</f>
        <v/>
      </c>
    </row>
    <row r="124">
      <c r="A124" s="23" t="inlineStr">
        <is>
          <t>CUS-0122</t>
        </is>
      </c>
      <c r="B124" s="23" t="inlineStr">
        <is>
          <t>Starter</t>
        </is>
      </c>
      <c r="C124" s="23" t="n">
        <v>7</v>
      </c>
      <c r="D124" s="34" t="n">
        <v>79</v>
      </c>
      <c r="E124" s="35" t="n">
        <v>0.05</v>
      </c>
      <c r="F124" s="34">
        <f>ROUND(C124*D124*(1-E124),2)</f>
        <v/>
      </c>
      <c r="G124" s="34">
        <f>F124*'Assumptions'!$B$3</f>
        <v/>
      </c>
      <c r="H124" s="34">
        <f>G124*'Assumptions'!$B$4</f>
        <v/>
      </c>
      <c r="I124" s="34">
        <f>G124-H124</f>
        <v/>
      </c>
      <c r="J124" s="34">
        <f>IF(C124=0,0,ROUND(F124/C124,2))</f>
        <v/>
      </c>
    </row>
    <row r="125">
      <c r="A125" s="23" t="inlineStr">
        <is>
          <t>CUS-0123</t>
        </is>
      </c>
      <c r="B125" s="23" t="inlineStr">
        <is>
          <t>Growth</t>
        </is>
      </c>
      <c r="C125" s="23" t="n">
        <v>37</v>
      </c>
      <c r="D125" s="34" t="n">
        <v>79</v>
      </c>
      <c r="E125" s="35" t="n">
        <v>0.05</v>
      </c>
      <c r="F125" s="34">
        <f>ROUND(C125*D125*(1-E125),2)</f>
        <v/>
      </c>
      <c r="G125" s="34">
        <f>F125*'Assumptions'!$B$3</f>
        <v/>
      </c>
      <c r="H125" s="34">
        <f>G125*'Assumptions'!$B$4</f>
        <v/>
      </c>
      <c r="I125" s="34">
        <f>G125-H125</f>
        <v/>
      </c>
      <c r="J125" s="34">
        <f>IF(C125=0,0,ROUND(F125/C125,2))</f>
        <v/>
      </c>
    </row>
    <row r="126">
      <c r="A126" s="23" t="inlineStr">
        <is>
          <t>CUS-0124</t>
        </is>
      </c>
      <c r="B126" s="23" t="inlineStr">
        <is>
          <t>Enterprise</t>
        </is>
      </c>
      <c r="C126" s="23" t="n">
        <v>50</v>
      </c>
      <c r="D126" s="34" t="n">
        <v>9</v>
      </c>
      <c r="E126" s="35" t="n">
        <v>0.15</v>
      </c>
      <c r="F126" s="34">
        <f>ROUND(C126*D126*(1-E126),2)</f>
        <v/>
      </c>
      <c r="G126" s="34">
        <f>F126*'Assumptions'!$B$3</f>
        <v/>
      </c>
      <c r="H126" s="34">
        <f>G126*'Assumptions'!$B$4</f>
        <v/>
      </c>
      <c r="I126" s="34">
        <f>G126-H126</f>
        <v/>
      </c>
      <c r="J126" s="34">
        <f>IF(C126=0,0,ROUND(F126/C126,2))</f>
        <v/>
      </c>
    </row>
    <row r="127">
      <c r="A127" s="23" t="inlineStr">
        <is>
          <t>CUS-0125</t>
        </is>
      </c>
      <c r="B127" s="23" t="inlineStr">
        <is>
          <t>Starter</t>
        </is>
      </c>
      <c r="C127" s="23" t="n">
        <v>124</v>
      </c>
      <c r="D127" s="34" t="n">
        <v>39</v>
      </c>
      <c r="E127" s="35" t="n">
        <v>0.15</v>
      </c>
      <c r="F127" s="34">
        <f>ROUND(C127*D127*(1-E127),2)</f>
        <v/>
      </c>
      <c r="G127" s="34">
        <f>F127*'Assumptions'!$B$3</f>
        <v/>
      </c>
      <c r="H127" s="34">
        <f>G127*'Assumptions'!$B$4</f>
        <v/>
      </c>
      <c r="I127" s="34">
        <f>G127-H127</f>
        <v/>
      </c>
      <c r="J127" s="34">
        <f>IF(C127=0,0,ROUND(F127/C127,2))</f>
        <v/>
      </c>
    </row>
    <row r="128">
      <c r="A128" s="23" t="inlineStr">
        <is>
          <t>CUS-0126</t>
        </is>
      </c>
      <c r="B128" s="23" t="inlineStr">
        <is>
          <t>Growth</t>
        </is>
      </c>
      <c r="C128" s="23" t="n">
        <v>132</v>
      </c>
      <c r="D128" s="34" t="n">
        <v>39</v>
      </c>
      <c r="E128" s="35" t="n">
        <v>0.15</v>
      </c>
      <c r="F128" s="34">
        <f>ROUND(C128*D128*(1-E128),2)</f>
        <v/>
      </c>
      <c r="G128" s="34">
        <f>F128*'Assumptions'!$B$3</f>
        <v/>
      </c>
      <c r="H128" s="34">
        <f>G128*'Assumptions'!$B$4</f>
        <v/>
      </c>
      <c r="I128" s="34">
        <f>G128-H128</f>
        <v/>
      </c>
      <c r="J128" s="34">
        <f>IF(C128=0,0,ROUND(F128/C128,2))</f>
        <v/>
      </c>
    </row>
    <row r="129">
      <c r="A129" s="23" t="inlineStr">
        <is>
          <t>CUS-0127</t>
        </is>
      </c>
      <c r="B129" s="23" t="inlineStr">
        <is>
          <t>Enterprise</t>
        </is>
      </c>
      <c r="C129" s="23" t="n">
        <v>94</v>
      </c>
      <c r="D129" s="34" t="n">
        <v>19</v>
      </c>
      <c r="E129" s="35" t="n">
        <v>0</v>
      </c>
      <c r="F129" s="34">
        <f>ROUND(C129*D129*(1-E129),2)</f>
        <v/>
      </c>
      <c r="G129" s="34">
        <f>F129*'Assumptions'!$B$3</f>
        <v/>
      </c>
      <c r="H129" s="34">
        <f>G129*'Assumptions'!$B$4</f>
        <v/>
      </c>
      <c r="I129" s="34">
        <f>G129-H129</f>
        <v/>
      </c>
      <c r="J129" s="34">
        <f>IF(C129=0,0,ROUND(F129/C129,2))</f>
        <v/>
      </c>
    </row>
    <row r="130">
      <c r="A130" s="23" t="inlineStr">
        <is>
          <t>CUS-0128</t>
        </is>
      </c>
      <c r="B130" s="23" t="inlineStr">
        <is>
          <t>Starter</t>
        </is>
      </c>
      <c r="C130" s="23" t="n">
        <v>53</v>
      </c>
      <c r="D130" s="34" t="n">
        <v>19</v>
      </c>
      <c r="E130" s="35" t="n">
        <v>0.05</v>
      </c>
      <c r="F130" s="34">
        <f>ROUND(C130*D130*(1-E130),2)</f>
        <v/>
      </c>
      <c r="G130" s="34">
        <f>F130*'Assumptions'!$B$3</f>
        <v/>
      </c>
      <c r="H130" s="34">
        <f>G130*'Assumptions'!$B$4</f>
        <v/>
      </c>
      <c r="I130" s="34">
        <f>G130-H130</f>
        <v/>
      </c>
      <c r="J130" s="34">
        <f>IF(C130=0,0,ROUND(F130/C130,2))</f>
        <v/>
      </c>
    </row>
    <row r="131">
      <c r="A131" s="23" t="inlineStr">
        <is>
          <t>CUS-0129</t>
        </is>
      </c>
      <c r="B131" s="23" t="inlineStr">
        <is>
          <t>Starter</t>
        </is>
      </c>
      <c r="C131" s="23" t="n">
        <v>29</v>
      </c>
      <c r="D131" s="34" t="n">
        <v>19</v>
      </c>
      <c r="E131" s="35" t="n">
        <v>0.15</v>
      </c>
      <c r="F131" s="34">
        <f>ROUND(C131*D131*(1-E131),2)</f>
        <v/>
      </c>
      <c r="G131" s="34">
        <f>F131*'Assumptions'!$B$3</f>
        <v/>
      </c>
      <c r="H131" s="34">
        <f>G131*'Assumptions'!$B$4</f>
        <v/>
      </c>
      <c r="I131" s="34">
        <f>G131-H131</f>
        <v/>
      </c>
      <c r="J131" s="34">
        <f>IF(C131=0,0,ROUND(F131/C131,2))</f>
        <v/>
      </c>
    </row>
    <row r="132">
      <c r="A132" s="23" t="inlineStr">
        <is>
          <t>CUS-0130</t>
        </is>
      </c>
      <c r="B132" s="23" t="inlineStr">
        <is>
          <t>Starter</t>
        </is>
      </c>
      <c r="C132" s="23" t="n">
        <v>36</v>
      </c>
      <c r="D132" s="34" t="n">
        <v>9</v>
      </c>
      <c r="E132" s="35" t="n">
        <v>0.05</v>
      </c>
      <c r="F132" s="34">
        <f>ROUND(C132*D132*(1-E132),2)</f>
        <v/>
      </c>
      <c r="G132" s="34">
        <f>F132*'Assumptions'!$B$3</f>
        <v/>
      </c>
      <c r="H132" s="34">
        <f>G132*'Assumptions'!$B$4</f>
        <v/>
      </c>
      <c r="I132" s="34">
        <f>G132-H132</f>
        <v/>
      </c>
      <c r="J132" s="34">
        <f>IF(C132=0,0,ROUND(F132/C132,2))</f>
        <v/>
      </c>
    </row>
    <row r="133">
      <c r="A133" s="23" t="inlineStr">
        <is>
          <t>CUS-0131</t>
        </is>
      </c>
      <c r="B133" s="23" t="inlineStr">
        <is>
          <t>Starter</t>
        </is>
      </c>
      <c r="C133" s="23" t="n">
        <v>92</v>
      </c>
      <c r="D133" s="34" t="n">
        <v>39</v>
      </c>
      <c r="E133" s="35" t="n">
        <v>0</v>
      </c>
      <c r="F133" s="34">
        <f>ROUND(C133*D133*(1-E133),2)</f>
        <v/>
      </c>
      <c r="G133" s="34">
        <f>F133*'Assumptions'!$B$3</f>
        <v/>
      </c>
      <c r="H133" s="34">
        <f>G133*'Assumptions'!$B$4</f>
        <v/>
      </c>
      <c r="I133" s="34">
        <f>G133-H133</f>
        <v/>
      </c>
      <c r="J133" s="34">
        <f>IF(C133=0,0,ROUND(F133/C133,2))</f>
        <v/>
      </c>
    </row>
    <row r="134">
      <c r="A134" s="23" t="inlineStr">
        <is>
          <t>CUS-0132</t>
        </is>
      </c>
      <c r="B134" s="23" t="inlineStr">
        <is>
          <t>Starter</t>
        </is>
      </c>
      <c r="C134" s="23" t="n">
        <v>85</v>
      </c>
      <c r="D134" s="34" t="n">
        <v>19</v>
      </c>
      <c r="E134" s="35" t="n">
        <v>0.05</v>
      </c>
      <c r="F134" s="34">
        <f>ROUND(C134*D134*(1-E134),2)</f>
        <v/>
      </c>
      <c r="G134" s="34">
        <f>F134*'Assumptions'!$B$3</f>
        <v/>
      </c>
      <c r="H134" s="34">
        <f>G134*'Assumptions'!$B$4</f>
        <v/>
      </c>
      <c r="I134" s="34">
        <f>G134-H134</f>
        <v/>
      </c>
      <c r="J134" s="34">
        <f>IF(C134=0,0,ROUND(F134/C134,2))</f>
        <v/>
      </c>
    </row>
    <row r="135">
      <c r="A135" s="23" t="inlineStr">
        <is>
          <t>CUS-0133</t>
        </is>
      </c>
      <c r="B135" s="23" t="inlineStr">
        <is>
          <t>Growth</t>
        </is>
      </c>
      <c r="C135" s="23" t="n">
        <v>59</v>
      </c>
      <c r="D135" s="34" t="n">
        <v>79</v>
      </c>
      <c r="E135" s="35" t="n">
        <v>0.1</v>
      </c>
      <c r="F135" s="34">
        <f>ROUND(C135*D135*(1-E135),2)</f>
        <v/>
      </c>
      <c r="G135" s="34">
        <f>F135*'Assumptions'!$B$3</f>
        <v/>
      </c>
      <c r="H135" s="34">
        <f>G135*'Assumptions'!$B$4</f>
        <v/>
      </c>
      <c r="I135" s="34">
        <f>G135-H135</f>
        <v/>
      </c>
      <c r="J135" s="34">
        <f>IF(C135=0,0,ROUND(F135/C135,2))</f>
        <v/>
      </c>
    </row>
    <row r="136">
      <c r="A136" s="23" t="inlineStr">
        <is>
          <t>CUS-0134</t>
        </is>
      </c>
      <c r="B136" s="23" t="inlineStr">
        <is>
          <t>Growth</t>
        </is>
      </c>
      <c r="C136" s="23" t="n">
        <v>111</v>
      </c>
      <c r="D136" s="34" t="n">
        <v>9</v>
      </c>
      <c r="E136" s="35" t="n">
        <v>0</v>
      </c>
      <c r="F136" s="34">
        <f>ROUND(C136*D136*(1-E136),2)</f>
        <v/>
      </c>
      <c r="G136" s="34">
        <f>F136*'Assumptions'!$B$3</f>
        <v/>
      </c>
      <c r="H136" s="34">
        <f>G136*'Assumptions'!$B$4</f>
        <v/>
      </c>
      <c r="I136" s="34">
        <f>G136-H136</f>
        <v/>
      </c>
      <c r="J136" s="34">
        <f>IF(C136=0,0,ROUND(F136/C136,2))</f>
        <v/>
      </c>
    </row>
    <row r="137">
      <c r="A137" s="23" t="inlineStr">
        <is>
          <t>CUS-0135</t>
        </is>
      </c>
      <c r="B137" s="23" t="inlineStr">
        <is>
          <t>Enterprise</t>
        </is>
      </c>
      <c r="C137" s="23" t="n">
        <v>46</v>
      </c>
      <c r="D137" s="34" t="n">
        <v>79</v>
      </c>
      <c r="E137" s="35" t="n">
        <v>0.15</v>
      </c>
      <c r="F137" s="34">
        <f>ROUND(C137*D137*(1-E137),2)</f>
        <v/>
      </c>
      <c r="G137" s="34">
        <f>F137*'Assumptions'!$B$3</f>
        <v/>
      </c>
      <c r="H137" s="34">
        <f>G137*'Assumptions'!$B$4</f>
        <v/>
      </c>
      <c r="I137" s="34">
        <f>G137-H137</f>
        <v/>
      </c>
      <c r="J137" s="34">
        <f>IF(C137=0,0,ROUND(F137/C137,2))</f>
        <v/>
      </c>
    </row>
    <row r="138">
      <c r="A138" s="23" t="inlineStr">
        <is>
          <t>CUS-0136</t>
        </is>
      </c>
      <c r="B138" s="23" t="inlineStr">
        <is>
          <t>Starter</t>
        </is>
      </c>
      <c r="C138" s="23" t="n">
        <v>36</v>
      </c>
      <c r="D138" s="34" t="n">
        <v>39</v>
      </c>
      <c r="E138" s="35" t="n">
        <v>0.15</v>
      </c>
      <c r="F138" s="34">
        <f>ROUND(C138*D138*(1-E138),2)</f>
        <v/>
      </c>
      <c r="G138" s="34">
        <f>F138*'Assumptions'!$B$3</f>
        <v/>
      </c>
      <c r="H138" s="34">
        <f>G138*'Assumptions'!$B$4</f>
        <v/>
      </c>
      <c r="I138" s="34">
        <f>G138-H138</f>
        <v/>
      </c>
      <c r="J138" s="34">
        <f>IF(C138=0,0,ROUND(F138/C138,2))</f>
        <v/>
      </c>
    </row>
    <row r="139">
      <c r="A139" s="23" t="inlineStr">
        <is>
          <t>CUS-0137</t>
        </is>
      </c>
      <c r="B139" s="23" t="inlineStr">
        <is>
          <t>Starter</t>
        </is>
      </c>
      <c r="C139" s="23" t="n">
        <v>84</v>
      </c>
      <c r="D139" s="34" t="n">
        <v>9</v>
      </c>
      <c r="E139" s="35" t="n">
        <v>0.05</v>
      </c>
      <c r="F139" s="34">
        <f>ROUND(C139*D139*(1-E139),2)</f>
        <v/>
      </c>
      <c r="G139" s="34">
        <f>F139*'Assumptions'!$B$3</f>
        <v/>
      </c>
      <c r="H139" s="34">
        <f>G139*'Assumptions'!$B$4</f>
        <v/>
      </c>
      <c r="I139" s="34">
        <f>G139-H139</f>
        <v/>
      </c>
      <c r="J139" s="34">
        <f>IF(C139=0,0,ROUND(F139/C139,2))</f>
        <v/>
      </c>
    </row>
    <row r="140">
      <c r="A140" s="23" t="inlineStr">
        <is>
          <t>CUS-0138</t>
        </is>
      </c>
      <c r="B140" s="23" t="inlineStr">
        <is>
          <t>Starter</t>
        </is>
      </c>
      <c r="C140" s="23" t="n">
        <v>55</v>
      </c>
      <c r="D140" s="34" t="n">
        <v>19</v>
      </c>
      <c r="E140" s="35" t="n">
        <v>0.15</v>
      </c>
      <c r="F140" s="34">
        <f>ROUND(C140*D140*(1-E140),2)</f>
        <v/>
      </c>
      <c r="G140" s="34">
        <f>F140*'Assumptions'!$B$3</f>
        <v/>
      </c>
      <c r="H140" s="34">
        <f>G140*'Assumptions'!$B$4</f>
        <v/>
      </c>
      <c r="I140" s="34">
        <f>G140-H140</f>
        <v/>
      </c>
      <c r="J140" s="34">
        <f>IF(C140=0,0,ROUND(F140/C140,2))</f>
        <v/>
      </c>
    </row>
    <row r="141">
      <c r="A141" s="23" t="inlineStr">
        <is>
          <t>CUS-0139</t>
        </is>
      </c>
      <c r="B141" s="23" t="inlineStr">
        <is>
          <t>Starter</t>
        </is>
      </c>
      <c r="C141" s="23" t="n">
        <v>109</v>
      </c>
      <c r="D141" s="34" t="n">
        <v>19</v>
      </c>
      <c r="E141" s="35" t="n">
        <v>0</v>
      </c>
      <c r="F141" s="34">
        <f>ROUND(C141*D141*(1-E141),2)</f>
        <v/>
      </c>
      <c r="G141" s="34">
        <f>F141*'Assumptions'!$B$3</f>
        <v/>
      </c>
      <c r="H141" s="34">
        <f>G141*'Assumptions'!$B$4</f>
        <v/>
      </c>
      <c r="I141" s="34">
        <f>G141-H141</f>
        <v/>
      </c>
      <c r="J141" s="34">
        <f>IF(C141=0,0,ROUND(F141/C141,2))</f>
        <v/>
      </c>
    </row>
    <row r="142">
      <c r="A142" s="23" t="inlineStr">
        <is>
          <t>CUS-0140</t>
        </is>
      </c>
      <c r="B142" s="23" t="inlineStr">
        <is>
          <t>Enterprise</t>
        </is>
      </c>
      <c r="C142" s="23" t="n">
        <v>132</v>
      </c>
      <c r="D142" s="34" t="n">
        <v>39</v>
      </c>
      <c r="E142" s="35" t="n">
        <v>0.15</v>
      </c>
      <c r="F142" s="34">
        <f>ROUND(C142*D142*(1-E142),2)</f>
        <v/>
      </c>
      <c r="G142" s="34">
        <f>F142*'Assumptions'!$B$3</f>
        <v/>
      </c>
      <c r="H142" s="34">
        <f>G142*'Assumptions'!$B$4</f>
        <v/>
      </c>
      <c r="I142" s="34">
        <f>G142-H142</f>
        <v/>
      </c>
      <c r="J142" s="34">
        <f>IF(C142=0,0,ROUND(F142/C142,2))</f>
        <v/>
      </c>
    </row>
    <row r="143">
      <c r="A143" s="23" t="inlineStr">
        <is>
          <t>CUS-0141</t>
        </is>
      </c>
      <c r="B143" s="23" t="inlineStr">
        <is>
          <t>Starter</t>
        </is>
      </c>
      <c r="C143" s="23" t="n">
        <v>123</v>
      </c>
      <c r="D143" s="34" t="n">
        <v>79</v>
      </c>
      <c r="E143" s="35" t="n">
        <v>0.1</v>
      </c>
      <c r="F143" s="34">
        <f>ROUND(C143*D143*(1-E143),2)</f>
        <v/>
      </c>
      <c r="G143" s="34">
        <f>F143*'Assumptions'!$B$3</f>
        <v/>
      </c>
      <c r="H143" s="34">
        <f>G143*'Assumptions'!$B$4</f>
        <v/>
      </c>
      <c r="I143" s="34">
        <f>G143-H143</f>
        <v/>
      </c>
      <c r="J143" s="34">
        <f>IF(C143=0,0,ROUND(F143/C143,2))</f>
        <v/>
      </c>
    </row>
    <row r="144">
      <c r="A144" s="23" t="inlineStr">
        <is>
          <t>CUS-0142</t>
        </is>
      </c>
      <c r="B144" s="23" t="inlineStr">
        <is>
          <t>Growth</t>
        </is>
      </c>
      <c r="C144" s="23" t="n">
        <v>28</v>
      </c>
      <c r="D144" s="34" t="n">
        <v>9</v>
      </c>
      <c r="E144" s="35" t="n">
        <v>0.15</v>
      </c>
      <c r="F144" s="34">
        <f>ROUND(C144*D144*(1-E144),2)</f>
        <v/>
      </c>
      <c r="G144" s="34">
        <f>F144*'Assumptions'!$B$3</f>
        <v/>
      </c>
      <c r="H144" s="34">
        <f>G144*'Assumptions'!$B$4</f>
        <v/>
      </c>
      <c r="I144" s="34">
        <f>G144-H144</f>
        <v/>
      </c>
      <c r="J144" s="34">
        <f>IF(C144=0,0,ROUND(F144/C144,2))</f>
        <v/>
      </c>
    </row>
    <row r="145">
      <c r="A145" s="23" t="inlineStr">
        <is>
          <t>CUS-0143</t>
        </is>
      </c>
      <c r="B145" s="23" t="inlineStr">
        <is>
          <t>Enterprise</t>
        </is>
      </c>
      <c r="C145" s="23" t="n">
        <v>35</v>
      </c>
      <c r="D145" s="34" t="n">
        <v>9</v>
      </c>
      <c r="E145" s="35" t="n">
        <v>0.15</v>
      </c>
      <c r="F145" s="34">
        <f>ROUND(C145*D145*(1-E145),2)</f>
        <v/>
      </c>
      <c r="G145" s="34">
        <f>F145*'Assumptions'!$B$3</f>
        <v/>
      </c>
      <c r="H145" s="34">
        <f>G145*'Assumptions'!$B$4</f>
        <v/>
      </c>
      <c r="I145" s="34">
        <f>G145-H145</f>
        <v/>
      </c>
      <c r="J145" s="34">
        <f>IF(C145=0,0,ROUND(F145/C145,2))</f>
        <v/>
      </c>
    </row>
    <row r="146">
      <c r="A146" s="23" t="inlineStr">
        <is>
          <t>CUS-0144</t>
        </is>
      </c>
      <c r="B146" s="23" t="inlineStr">
        <is>
          <t>Starter</t>
        </is>
      </c>
      <c r="C146" s="23" t="n">
        <v>117</v>
      </c>
      <c r="D146" s="34" t="n">
        <v>9</v>
      </c>
      <c r="E146" s="35" t="n">
        <v>0.05</v>
      </c>
      <c r="F146" s="34">
        <f>ROUND(C146*D146*(1-E146),2)</f>
        <v/>
      </c>
      <c r="G146" s="34">
        <f>F146*'Assumptions'!$B$3</f>
        <v/>
      </c>
      <c r="H146" s="34">
        <f>G146*'Assumptions'!$B$4</f>
        <v/>
      </c>
      <c r="I146" s="34">
        <f>G146-H146</f>
        <v/>
      </c>
      <c r="J146" s="34">
        <f>IF(C146=0,0,ROUND(F146/C146,2))</f>
        <v/>
      </c>
    </row>
    <row r="147">
      <c r="A147" s="23" t="inlineStr">
        <is>
          <t>CUS-0145</t>
        </is>
      </c>
      <c r="B147" s="23" t="inlineStr">
        <is>
          <t>Growth</t>
        </is>
      </c>
      <c r="C147" s="23" t="n">
        <v>40</v>
      </c>
      <c r="D147" s="34" t="n">
        <v>39</v>
      </c>
      <c r="E147" s="35" t="n">
        <v>0.1</v>
      </c>
      <c r="F147" s="34">
        <f>ROUND(C147*D147*(1-E147),2)</f>
        <v/>
      </c>
      <c r="G147" s="34">
        <f>F147*'Assumptions'!$B$3</f>
        <v/>
      </c>
      <c r="H147" s="34">
        <f>G147*'Assumptions'!$B$4</f>
        <v/>
      </c>
      <c r="I147" s="34">
        <f>G147-H147</f>
        <v/>
      </c>
      <c r="J147" s="34">
        <f>IF(C147=0,0,ROUND(F147/C147,2))</f>
        <v/>
      </c>
    </row>
    <row r="148">
      <c r="A148" s="23" t="inlineStr">
        <is>
          <t>CUS-0146</t>
        </is>
      </c>
      <c r="B148" s="23" t="inlineStr">
        <is>
          <t>Growth</t>
        </is>
      </c>
      <c r="C148" s="23" t="n">
        <v>44</v>
      </c>
      <c r="D148" s="34" t="n">
        <v>19</v>
      </c>
      <c r="E148" s="35" t="n">
        <v>0.15</v>
      </c>
      <c r="F148" s="34">
        <f>ROUND(C148*D148*(1-E148),2)</f>
        <v/>
      </c>
      <c r="G148" s="34">
        <f>F148*'Assumptions'!$B$3</f>
        <v/>
      </c>
      <c r="H148" s="34">
        <f>G148*'Assumptions'!$B$4</f>
        <v/>
      </c>
      <c r="I148" s="34">
        <f>G148-H148</f>
        <v/>
      </c>
      <c r="J148" s="34">
        <f>IF(C148=0,0,ROUND(F148/C148,2))</f>
        <v/>
      </c>
    </row>
    <row r="149">
      <c r="A149" s="23" t="inlineStr">
        <is>
          <t>CUS-0147</t>
        </is>
      </c>
      <c r="B149" s="23" t="inlineStr">
        <is>
          <t>Enterprise</t>
        </is>
      </c>
      <c r="C149" s="23" t="n">
        <v>99</v>
      </c>
      <c r="D149" s="34" t="n">
        <v>39</v>
      </c>
      <c r="E149" s="35" t="n">
        <v>0</v>
      </c>
      <c r="F149" s="34">
        <f>ROUND(C149*D149*(1-E149),2)</f>
        <v/>
      </c>
      <c r="G149" s="34">
        <f>F149*'Assumptions'!$B$3</f>
        <v/>
      </c>
      <c r="H149" s="34">
        <f>G149*'Assumptions'!$B$4</f>
        <v/>
      </c>
      <c r="I149" s="34">
        <f>G149-H149</f>
        <v/>
      </c>
      <c r="J149" s="34">
        <f>IF(C149=0,0,ROUND(F149/C149,2))</f>
        <v/>
      </c>
    </row>
    <row r="150">
      <c r="A150" s="23" t="inlineStr">
        <is>
          <t>CUS-0148</t>
        </is>
      </c>
      <c r="B150" s="23" t="inlineStr">
        <is>
          <t>Enterprise</t>
        </is>
      </c>
      <c r="C150" s="23" t="n">
        <v>63</v>
      </c>
      <c r="D150" s="34" t="n">
        <v>39</v>
      </c>
      <c r="E150" s="35" t="n">
        <v>0</v>
      </c>
      <c r="F150" s="34">
        <f>ROUND(C150*D150*(1-E150),2)</f>
        <v/>
      </c>
      <c r="G150" s="34">
        <f>F150*'Assumptions'!$B$3</f>
        <v/>
      </c>
      <c r="H150" s="34">
        <f>G150*'Assumptions'!$B$4</f>
        <v/>
      </c>
      <c r="I150" s="34">
        <f>G150-H150</f>
        <v/>
      </c>
      <c r="J150" s="34">
        <f>IF(C150=0,0,ROUND(F150/C150,2))</f>
        <v/>
      </c>
    </row>
    <row r="151">
      <c r="A151" s="23" t="inlineStr">
        <is>
          <t>CUS-0149</t>
        </is>
      </c>
      <c r="B151" s="23" t="inlineStr">
        <is>
          <t>Starter</t>
        </is>
      </c>
      <c r="C151" s="23" t="n">
        <v>17</v>
      </c>
      <c r="D151" s="34" t="n">
        <v>79</v>
      </c>
      <c r="E151" s="35" t="n">
        <v>0</v>
      </c>
      <c r="F151" s="34">
        <f>ROUND(C151*D151*(1-E151),2)</f>
        <v/>
      </c>
      <c r="G151" s="34">
        <f>F151*'Assumptions'!$B$3</f>
        <v/>
      </c>
      <c r="H151" s="34">
        <f>G151*'Assumptions'!$B$4</f>
        <v/>
      </c>
      <c r="I151" s="34">
        <f>G151-H151</f>
        <v/>
      </c>
      <c r="J151" s="34">
        <f>IF(C151=0,0,ROUND(F151/C151,2))</f>
        <v/>
      </c>
    </row>
    <row r="152">
      <c r="A152" s="23" t="inlineStr">
        <is>
          <t>CUS-0150</t>
        </is>
      </c>
      <c r="B152" s="23" t="inlineStr">
        <is>
          <t>Starter</t>
        </is>
      </c>
      <c r="C152" s="23" t="n">
        <v>145</v>
      </c>
      <c r="D152" s="34" t="n">
        <v>19</v>
      </c>
      <c r="E152" s="35" t="n">
        <v>0.15</v>
      </c>
      <c r="F152" s="34">
        <f>ROUND(C152*D152*(1-E152),2)</f>
        <v/>
      </c>
      <c r="G152" s="34">
        <f>F152*'Assumptions'!$B$3</f>
        <v/>
      </c>
      <c r="H152" s="34">
        <f>G152*'Assumptions'!$B$4</f>
        <v/>
      </c>
      <c r="I152" s="34">
        <f>G152-H152</f>
        <v/>
      </c>
      <c r="J152" s="34">
        <f>IF(C152=0,0,ROUND(F152/C152,2))</f>
        <v/>
      </c>
    </row>
    <row r="153">
      <c r="A153" s="23" t="inlineStr">
        <is>
          <t>CUS-0151</t>
        </is>
      </c>
      <c r="B153" s="23" t="inlineStr">
        <is>
          <t>Growth</t>
        </is>
      </c>
      <c r="C153" s="23" t="n">
        <v>112</v>
      </c>
      <c r="D153" s="34" t="n">
        <v>19</v>
      </c>
      <c r="E153" s="35" t="n">
        <v>0</v>
      </c>
      <c r="F153" s="34">
        <f>ROUND(C153*D153*(1-E153),2)</f>
        <v/>
      </c>
      <c r="G153" s="34">
        <f>F153*'Assumptions'!$B$3</f>
        <v/>
      </c>
      <c r="H153" s="34">
        <f>G153*'Assumptions'!$B$4</f>
        <v/>
      </c>
      <c r="I153" s="34">
        <f>G153-H153</f>
        <v/>
      </c>
      <c r="J153" s="34">
        <f>IF(C153=0,0,ROUND(F153/C153,2))</f>
        <v/>
      </c>
    </row>
    <row r="154">
      <c r="A154" s="23" t="inlineStr">
        <is>
          <t>CUS-0152</t>
        </is>
      </c>
      <c r="B154" s="23" t="inlineStr">
        <is>
          <t>Starter</t>
        </is>
      </c>
      <c r="C154" s="23" t="n">
        <v>125</v>
      </c>
      <c r="D154" s="34" t="n">
        <v>79</v>
      </c>
      <c r="E154" s="35" t="n">
        <v>0.05</v>
      </c>
      <c r="F154" s="34">
        <f>ROUND(C154*D154*(1-E154),2)</f>
        <v/>
      </c>
      <c r="G154" s="34">
        <f>F154*'Assumptions'!$B$3</f>
        <v/>
      </c>
      <c r="H154" s="34">
        <f>G154*'Assumptions'!$B$4</f>
        <v/>
      </c>
      <c r="I154" s="34">
        <f>G154-H154</f>
        <v/>
      </c>
      <c r="J154" s="34">
        <f>IF(C154=0,0,ROUND(F154/C154,2))</f>
        <v/>
      </c>
    </row>
    <row r="155">
      <c r="A155" s="23" t="inlineStr">
        <is>
          <t>CUS-0153</t>
        </is>
      </c>
      <c r="B155" s="23" t="inlineStr">
        <is>
          <t>Starter</t>
        </is>
      </c>
      <c r="C155" s="23" t="n">
        <v>148</v>
      </c>
      <c r="D155" s="34" t="n">
        <v>19</v>
      </c>
      <c r="E155" s="35" t="n">
        <v>0.15</v>
      </c>
      <c r="F155" s="34">
        <f>ROUND(C155*D155*(1-E155),2)</f>
        <v/>
      </c>
      <c r="G155" s="34">
        <f>F155*'Assumptions'!$B$3</f>
        <v/>
      </c>
      <c r="H155" s="34">
        <f>G155*'Assumptions'!$B$4</f>
        <v/>
      </c>
      <c r="I155" s="34">
        <f>G155-H155</f>
        <v/>
      </c>
      <c r="J155" s="34">
        <f>IF(C155=0,0,ROUND(F155/C155,2))</f>
        <v/>
      </c>
    </row>
    <row r="156">
      <c r="A156" s="23" t="inlineStr">
        <is>
          <t>CUS-0154</t>
        </is>
      </c>
      <c r="B156" s="23" t="inlineStr">
        <is>
          <t>Growth</t>
        </is>
      </c>
      <c r="C156" s="23" t="n">
        <v>66</v>
      </c>
      <c r="D156" s="34" t="n">
        <v>39</v>
      </c>
      <c r="E156" s="35" t="n">
        <v>0.15</v>
      </c>
      <c r="F156" s="34">
        <f>ROUND(C156*D156*(1-E156),2)</f>
        <v/>
      </c>
      <c r="G156" s="34">
        <f>F156*'Assumptions'!$B$3</f>
        <v/>
      </c>
      <c r="H156" s="34">
        <f>G156*'Assumptions'!$B$4</f>
        <v/>
      </c>
      <c r="I156" s="34">
        <f>G156-H156</f>
        <v/>
      </c>
      <c r="J156" s="34">
        <f>IF(C156=0,0,ROUND(F156/C156,2))</f>
        <v/>
      </c>
    </row>
    <row r="157">
      <c r="A157" s="23" t="inlineStr">
        <is>
          <t>CUS-0155</t>
        </is>
      </c>
      <c r="B157" s="23" t="inlineStr">
        <is>
          <t>Growth</t>
        </is>
      </c>
      <c r="C157" s="23" t="n">
        <v>21</v>
      </c>
      <c r="D157" s="34" t="n">
        <v>19</v>
      </c>
      <c r="E157" s="35" t="n">
        <v>0</v>
      </c>
      <c r="F157" s="34">
        <f>ROUND(C157*D157*(1-E157),2)</f>
        <v/>
      </c>
      <c r="G157" s="34">
        <f>F157*'Assumptions'!$B$3</f>
        <v/>
      </c>
      <c r="H157" s="34">
        <f>G157*'Assumptions'!$B$4</f>
        <v/>
      </c>
      <c r="I157" s="34">
        <f>G157-H157</f>
        <v/>
      </c>
      <c r="J157" s="34">
        <f>IF(C157=0,0,ROUND(F157/C157,2))</f>
        <v/>
      </c>
    </row>
    <row r="158">
      <c r="A158" s="23" t="inlineStr">
        <is>
          <t>CUS-0156</t>
        </is>
      </c>
      <c r="B158" s="23" t="inlineStr">
        <is>
          <t>Growth</t>
        </is>
      </c>
      <c r="C158" s="23" t="n">
        <v>38</v>
      </c>
      <c r="D158" s="34" t="n">
        <v>19</v>
      </c>
      <c r="E158" s="35" t="n">
        <v>0.05</v>
      </c>
      <c r="F158" s="34">
        <f>ROUND(C158*D158*(1-E158),2)</f>
        <v/>
      </c>
      <c r="G158" s="34">
        <f>F158*'Assumptions'!$B$3</f>
        <v/>
      </c>
      <c r="H158" s="34">
        <f>G158*'Assumptions'!$B$4</f>
        <v/>
      </c>
      <c r="I158" s="34">
        <f>G158-H158</f>
        <v/>
      </c>
      <c r="J158" s="34">
        <f>IF(C158=0,0,ROUND(F158/C158,2))</f>
        <v/>
      </c>
    </row>
    <row r="159">
      <c r="A159" s="23" t="inlineStr">
        <is>
          <t>CUS-0157</t>
        </is>
      </c>
      <c r="B159" s="23" t="inlineStr">
        <is>
          <t>Growth</t>
        </is>
      </c>
      <c r="C159" s="23" t="n">
        <v>125</v>
      </c>
      <c r="D159" s="34" t="n">
        <v>39</v>
      </c>
      <c r="E159" s="35" t="n">
        <v>0.15</v>
      </c>
      <c r="F159" s="34">
        <f>ROUND(C159*D159*(1-E159),2)</f>
        <v/>
      </c>
      <c r="G159" s="34">
        <f>F159*'Assumptions'!$B$3</f>
        <v/>
      </c>
      <c r="H159" s="34">
        <f>G159*'Assumptions'!$B$4</f>
        <v/>
      </c>
      <c r="I159" s="34">
        <f>G159-H159</f>
        <v/>
      </c>
      <c r="J159" s="34">
        <f>IF(C159=0,0,ROUND(F159/C159,2))</f>
        <v/>
      </c>
    </row>
    <row r="160">
      <c r="A160" s="23" t="inlineStr">
        <is>
          <t>CUS-0158</t>
        </is>
      </c>
      <c r="B160" s="23" t="inlineStr">
        <is>
          <t>Starter</t>
        </is>
      </c>
      <c r="C160" s="23" t="n">
        <v>57</v>
      </c>
      <c r="D160" s="34" t="n">
        <v>79</v>
      </c>
      <c r="E160" s="35" t="n">
        <v>0</v>
      </c>
      <c r="F160" s="34">
        <f>ROUND(C160*D160*(1-E160),2)</f>
        <v/>
      </c>
      <c r="G160" s="34">
        <f>F160*'Assumptions'!$B$3</f>
        <v/>
      </c>
      <c r="H160" s="34">
        <f>G160*'Assumptions'!$B$4</f>
        <v/>
      </c>
      <c r="I160" s="34">
        <f>G160-H160</f>
        <v/>
      </c>
      <c r="J160" s="34">
        <f>IF(C160=0,0,ROUND(F160/C160,2))</f>
        <v/>
      </c>
    </row>
    <row r="161">
      <c r="A161" s="23" t="inlineStr">
        <is>
          <t>CUS-0159</t>
        </is>
      </c>
      <c r="B161" s="23" t="inlineStr">
        <is>
          <t>Growth</t>
        </is>
      </c>
      <c r="C161" s="23" t="n">
        <v>145</v>
      </c>
      <c r="D161" s="34" t="n">
        <v>79</v>
      </c>
      <c r="E161" s="35" t="n">
        <v>0.05</v>
      </c>
      <c r="F161" s="34">
        <f>ROUND(C161*D161*(1-E161),2)</f>
        <v/>
      </c>
      <c r="G161" s="34">
        <f>F161*'Assumptions'!$B$3</f>
        <v/>
      </c>
      <c r="H161" s="34">
        <f>G161*'Assumptions'!$B$4</f>
        <v/>
      </c>
      <c r="I161" s="34">
        <f>G161-H161</f>
        <v/>
      </c>
      <c r="J161" s="34">
        <f>IF(C161=0,0,ROUND(F161/C161,2))</f>
        <v/>
      </c>
    </row>
    <row r="162">
      <c r="A162" s="23" t="inlineStr">
        <is>
          <t>CUS-0160</t>
        </is>
      </c>
      <c r="B162" s="23" t="inlineStr">
        <is>
          <t>Enterprise</t>
        </is>
      </c>
      <c r="C162" s="23" t="n">
        <v>150</v>
      </c>
      <c r="D162" s="34" t="n">
        <v>9</v>
      </c>
      <c r="E162" s="35" t="n">
        <v>0.1</v>
      </c>
      <c r="F162" s="34">
        <f>ROUND(C162*D162*(1-E162),2)</f>
        <v/>
      </c>
      <c r="G162" s="34">
        <f>F162*'Assumptions'!$B$3</f>
        <v/>
      </c>
      <c r="H162" s="34">
        <f>G162*'Assumptions'!$B$4</f>
        <v/>
      </c>
      <c r="I162" s="34">
        <f>G162-H162</f>
        <v/>
      </c>
      <c r="J162" s="34">
        <f>IF(C162=0,0,ROUND(F162/C162,2))</f>
        <v/>
      </c>
    </row>
    <row r="163">
      <c r="A163" s="23" t="inlineStr">
        <is>
          <t>CUS-0161</t>
        </is>
      </c>
      <c r="B163" s="23" t="inlineStr">
        <is>
          <t>Growth</t>
        </is>
      </c>
      <c r="C163" s="23" t="n">
        <v>99</v>
      </c>
      <c r="D163" s="34" t="n">
        <v>39</v>
      </c>
      <c r="E163" s="35" t="n">
        <v>0.1</v>
      </c>
      <c r="F163" s="34">
        <f>ROUND(C163*D163*(1-E163),2)</f>
        <v/>
      </c>
      <c r="G163" s="34">
        <f>F163*'Assumptions'!$B$3</f>
        <v/>
      </c>
      <c r="H163" s="34">
        <f>G163*'Assumptions'!$B$4</f>
        <v/>
      </c>
      <c r="I163" s="34">
        <f>G163-H163</f>
        <v/>
      </c>
      <c r="J163" s="34">
        <f>IF(C163=0,0,ROUND(F163/C163,2))</f>
        <v/>
      </c>
    </row>
    <row r="164">
      <c r="A164" s="23" t="inlineStr">
        <is>
          <t>CUS-0162</t>
        </is>
      </c>
      <c r="B164" s="23" t="inlineStr">
        <is>
          <t>Starter</t>
        </is>
      </c>
      <c r="C164" s="23" t="n">
        <v>110</v>
      </c>
      <c r="D164" s="34" t="n">
        <v>9</v>
      </c>
      <c r="E164" s="35" t="n">
        <v>0.05</v>
      </c>
      <c r="F164" s="34">
        <f>ROUND(C164*D164*(1-E164),2)</f>
        <v/>
      </c>
      <c r="G164" s="34">
        <f>F164*'Assumptions'!$B$3</f>
        <v/>
      </c>
      <c r="H164" s="34">
        <f>G164*'Assumptions'!$B$4</f>
        <v/>
      </c>
      <c r="I164" s="34">
        <f>G164-H164</f>
        <v/>
      </c>
      <c r="J164" s="34">
        <f>IF(C164=0,0,ROUND(F164/C164,2))</f>
        <v/>
      </c>
    </row>
    <row r="165">
      <c r="A165" s="23" t="inlineStr">
        <is>
          <t>CUS-0163</t>
        </is>
      </c>
      <c r="B165" s="23" t="inlineStr">
        <is>
          <t>Enterprise</t>
        </is>
      </c>
      <c r="C165" s="23" t="n">
        <v>87</v>
      </c>
      <c r="D165" s="34" t="n">
        <v>79</v>
      </c>
      <c r="E165" s="35" t="n">
        <v>0</v>
      </c>
      <c r="F165" s="34">
        <f>ROUND(C165*D165*(1-E165),2)</f>
        <v/>
      </c>
      <c r="G165" s="34">
        <f>F165*'Assumptions'!$B$3</f>
        <v/>
      </c>
      <c r="H165" s="34">
        <f>G165*'Assumptions'!$B$4</f>
        <v/>
      </c>
      <c r="I165" s="34">
        <f>G165-H165</f>
        <v/>
      </c>
      <c r="J165" s="34">
        <f>IF(C165=0,0,ROUND(F165/C165,2))</f>
        <v/>
      </c>
    </row>
    <row r="166">
      <c r="A166" s="23" t="inlineStr">
        <is>
          <t>CUS-0164</t>
        </is>
      </c>
      <c r="B166" s="23" t="inlineStr">
        <is>
          <t>Growth</t>
        </is>
      </c>
      <c r="C166" s="23" t="n">
        <v>136</v>
      </c>
      <c r="D166" s="34" t="n">
        <v>39</v>
      </c>
      <c r="E166" s="35" t="n">
        <v>0.15</v>
      </c>
      <c r="F166" s="34">
        <f>ROUND(C166*D166*(1-E166),2)</f>
        <v/>
      </c>
      <c r="G166" s="34">
        <f>F166*'Assumptions'!$B$3</f>
        <v/>
      </c>
      <c r="H166" s="34">
        <f>G166*'Assumptions'!$B$4</f>
        <v/>
      </c>
      <c r="I166" s="34">
        <f>G166-H166</f>
        <v/>
      </c>
      <c r="J166" s="34">
        <f>IF(C166=0,0,ROUND(F166/C166,2))</f>
        <v/>
      </c>
    </row>
    <row r="167">
      <c r="A167" s="23" t="inlineStr">
        <is>
          <t>CUS-0165</t>
        </is>
      </c>
      <c r="B167" s="23" t="inlineStr">
        <is>
          <t>Enterprise</t>
        </is>
      </c>
      <c r="C167" s="23" t="n">
        <v>150</v>
      </c>
      <c r="D167" s="34" t="n">
        <v>19</v>
      </c>
      <c r="E167" s="35" t="n">
        <v>0.05</v>
      </c>
      <c r="F167" s="34">
        <f>ROUND(C167*D167*(1-E167),2)</f>
        <v/>
      </c>
      <c r="G167" s="34">
        <f>F167*'Assumptions'!$B$3</f>
        <v/>
      </c>
      <c r="H167" s="34">
        <f>G167*'Assumptions'!$B$4</f>
        <v/>
      </c>
      <c r="I167" s="34">
        <f>G167-H167</f>
        <v/>
      </c>
      <c r="J167" s="34">
        <f>IF(C167=0,0,ROUND(F167/C167,2))</f>
        <v/>
      </c>
    </row>
    <row r="168">
      <c r="A168" s="23" t="inlineStr">
        <is>
          <t>CUS-0166</t>
        </is>
      </c>
      <c r="B168" s="23" t="inlineStr">
        <is>
          <t>Growth</t>
        </is>
      </c>
      <c r="C168" s="23" t="n">
        <v>74</v>
      </c>
      <c r="D168" s="34" t="n">
        <v>9</v>
      </c>
      <c r="E168" s="35" t="n">
        <v>0.1</v>
      </c>
      <c r="F168" s="34">
        <f>ROUND(C168*D168*(1-E168),2)</f>
        <v/>
      </c>
      <c r="G168" s="34">
        <f>F168*'Assumptions'!$B$3</f>
        <v/>
      </c>
      <c r="H168" s="34">
        <f>G168*'Assumptions'!$B$4</f>
        <v/>
      </c>
      <c r="I168" s="34">
        <f>G168-H168</f>
        <v/>
      </c>
      <c r="J168" s="34">
        <f>IF(C168=0,0,ROUND(F168/C168,2))</f>
        <v/>
      </c>
    </row>
    <row r="169">
      <c r="A169" s="23" t="inlineStr">
        <is>
          <t>CUS-0167</t>
        </is>
      </c>
      <c r="B169" s="23" t="inlineStr">
        <is>
          <t>Starter</t>
        </is>
      </c>
      <c r="C169" s="23" t="n">
        <v>14</v>
      </c>
      <c r="D169" s="34" t="n">
        <v>19</v>
      </c>
      <c r="E169" s="35" t="n">
        <v>0.1</v>
      </c>
      <c r="F169" s="34">
        <f>ROUND(C169*D169*(1-E169),2)</f>
        <v/>
      </c>
      <c r="G169" s="34">
        <f>F169*'Assumptions'!$B$3</f>
        <v/>
      </c>
      <c r="H169" s="34">
        <f>G169*'Assumptions'!$B$4</f>
        <v/>
      </c>
      <c r="I169" s="34">
        <f>G169-H169</f>
        <v/>
      </c>
      <c r="J169" s="34">
        <f>IF(C169=0,0,ROUND(F169/C169,2))</f>
        <v/>
      </c>
    </row>
    <row r="170">
      <c r="A170" s="23" t="inlineStr">
        <is>
          <t>CUS-0168</t>
        </is>
      </c>
      <c r="B170" s="23" t="inlineStr">
        <is>
          <t>Starter</t>
        </is>
      </c>
      <c r="C170" s="23" t="n">
        <v>9</v>
      </c>
      <c r="D170" s="34" t="n">
        <v>39</v>
      </c>
      <c r="E170" s="35" t="n">
        <v>0</v>
      </c>
      <c r="F170" s="34">
        <f>ROUND(C170*D170*(1-E170),2)</f>
        <v/>
      </c>
      <c r="G170" s="34">
        <f>F170*'Assumptions'!$B$3</f>
        <v/>
      </c>
      <c r="H170" s="34">
        <f>G170*'Assumptions'!$B$4</f>
        <v/>
      </c>
      <c r="I170" s="34">
        <f>G170-H170</f>
        <v/>
      </c>
      <c r="J170" s="34">
        <f>IF(C170=0,0,ROUND(F170/C170,2))</f>
        <v/>
      </c>
    </row>
    <row r="171">
      <c r="A171" s="23" t="inlineStr">
        <is>
          <t>CUS-0169</t>
        </is>
      </c>
      <c r="B171" s="23" t="inlineStr">
        <is>
          <t>Starter</t>
        </is>
      </c>
      <c r="C171" s="23" t="n">
        <v>5</v>
      </c>
      <c r="D171" s="34" t="n">
        <v>79</v>
      </c>
      <c r="E171" s="35" t="n">
        <v>0.1</v>
      </c>
      <c r="F171" s="34">
        <f>ROUND(C171*D171*(1-E171),2)</f>
        <v/>
      </c>
      <c r="G171" s="34">
        <f>F171*'Assumptions'!$B$3</f>
        <v/>
      </c>
      <c r="H171" s="34">
        <f>G171*'Assumptions'!$B$4</f>
        <v/>
      </c>
      <c r="I171" s="34">
        <f>G171-H171</f>
        <v/>
      </c>
      <c r="J171" s="34">
        <f>IF(C171=0,0,ROUND(F171/C171,2))</f>
        <v/>
      </c>
    </row>
    <row r="172">
      <c r="A172" s="23" t="inlineStr">
        <is>
          <t>CUS-0170</t>
        </is>
      </c>
      <c r="B172" s="23" t="inlineStr">
        <is>
          <t>Enterprise</t>
        </is>
      </c>
      <c r="C172" s="23" t="n">
        <v>51</v>
      </c>
      <c r="D172" s="34" t="n">
        <v>39</v>
      </c>
      <c r="E172" s="35" t="n">
        <v>0.05</v>
      </c>
      <c r="F172" s="34">
        <f>ROUND(C172*D172*(1-E172),2)</f>
        <v/>
      </c>
      <c r="G172" s="34">
        <f>F172*'Assumptions'!$B$3</f>
        <v/>
      </c>
      <c r="H172" s="34">
        <f>G172*'Assumptions'!$B$4</f>
        <v/>
      </c>
      <c r="I172" s="34">
        <f>G172-H172</f>
        <v/>
      </c>
      <c r="J172" s="34">
        <f>IF(C172=0,0,ROUND(F172/C172,2))</f>
        <v/>
      </c>
    </row>
    <row r="173">
      <c r="A173" s="23" t="inlineStr">
        <is>
          <t>CUS-0171</t>
        </is>
      </c>
      <c r="B173" s="23" t="inlineStr">
        <is>
          <t>Starter</t>
        </is>
      </c>
      <c r="C173" s="23" t="n">
        <v>21</v>
      </c>
      <c r="D173" s="34" t="n">
        <v>9</v>
      </c>
      <c r="E173" s="35" t="n">
        <v>0.1</v>
      </c>
      <c r="F173" s="34">
        <f>ROUND(C173*D173*(1-E173),2)</f>
        <v/>
      </c>
      <c r="G173" s="34">
        <f>F173*'Assumptions'!$B$3</f>
        <v/>
      </c>
      <c r="H173" s="34">
        <f>G173*'Assumptions'!$B$4</f>
        <v/>
      </c>
      <c r="I173" s="34">
        <f>G173-H173</f>
        <v/>
      </c>
      <c r="J173" s="34">
        <f>IF(C173=0,0,ROUND(F173/C173,2))</f>
        <v/>
      </c>
    </row>
    <row r="174">
      <c r="A174" s="23" t="inlineStr">
        <is>
          <t>CUS-0172</t>
        </is>
      </c>
      <c r="B174" s="23" t="inlineStr">
        <is>
          <t>Enterprise</t>
        </is>
      </c>
      <c r="C174" s="23" t="n">
        <v>84</v>
      </c>
      <c r="D174" s="34" t="n">
        <v>79</v>
      </c>
      <c r="E174" s="35" t="n">
        <v>0</v>
      </c>
      <c r="F174" s="34">
        <f>ROUND(C174*D174*(1-E174),2)</f>
        <v/>
      </c>
      <c r="G174" s="34">
        <f>F174*'Assumptions'!$B$3</f>
        <v/>
      </c>
      <c r="H174" s="34">
        <f>G174*'Assumptions'!$B$4</f>
        <v/>
      </c>
      <c r="I174" s="34">
        <f>G174-H174</f>
        <v/>
      </c>
      <c r="J174" s="34">
        <f>IF(C174=0,0,ROUND(F174/C174,2))</f>
        <v/>
      </c>
    </row>
    <row r="175">
      <c r="A175" s="23" t="inlineStr">
        <is>
          <t>CUS-0173</t>
        </is>
      </c>
      <c r="B175" s="23" t="inlineStr">
        <is>
          <t>Growth</t>
        </is>
      </c>
      <c r="C175" s="23" t="n">
        <v>57</v>
      </c>
      <c r="D175" s="34" t="n">
        <v>19</v>
      </c>
      <c r="E175" s="35" t="n">
        <v>0.05</v>
      </c>
      <c r="F175" s="34">
        <f>ROUND(C175*D175*(1-E175),2)</f>
        <v/>
      </c>
      <c r="G175" s="34">
        <f>F175*'Assumptions'!$B$3</f>
        <v/>
      </c>
      <c r="H175" s="34">
        <f>G175*'Assumptions'!$B$4</f>
        <v/>
      </c>
      <c r="I175" s="34">
        <f>G175-H175</f>
        <v/>
      </c>
      <c r="J175" s="34">
        <f>IF(C175=0,0,ROUND(F175/C175,2))</f>
        <v/>
      </c>
    </row>
    <row r="176">
      <c r="A176" s="23" t="inlineStr">
        <is>
          <t>CUS-0174</t>
        </is>
      </c>
      <c r="B176" s="23" t="inlineStr">
        <is>
          <t>Enterprise</t>
        </is>
      </c>
      <c r="C176" s="23" t="n">
        <v>11</v>
      </c>
      <c r="D176" s="34" t="n">
        <v>9</v>
      </c>
      <c r="E176" s="35" t="n">
        <v>0.1</v>
      </c>
      <c r="F176" s="34">
        <f>ROUND(C176*D176*(1-E176),2)</f>
        <v/>
      </c>
      <c r="G176" s="34">
        <f>F176*'Assumptions'!$B$3</f>
        <v/>
      </c>
      <c r="H176" s="34">
        <f>G176*'Assumptions'!$B$4</f>
        <v/>
      </c>
      <c r="I176" s="34">
        <f>G176-H176</f>
        <v/>
      </c>
      <c r="J176" s="34">
        <f>IF(C176=0,0,ROUND(F176/C176,2))</f>
        <v/>
      </c>
    </row>
    <row r="177">
      <c r="A177" s="23" t="inlineStr">
        <is>
          <t>CUS-0175</t>
        </is>
      </c>
      <c r="B177" s="23" t="inlineStr">
        <is>
          <t>Enterprise</t>
        </is>
      </c>
      <c r="C177" s="23" t="n">
        <v>18</v>
      </c>
      <c r="D177" s="34" t="n">
        <v>19</v>
      </c>
      <c r="E177" s="35" t="n">
        <v>0.15</v>
      </c>
      <c r="F177" s="34">
        <f>ROUND(C177*D177*(1-E177),2)</f>
        <v/>
      </c>
      <c r="G177" s="34">
        <f>F177*'Assumptions'!$B$3</f>
        <v/>
      </c>
      <c r="H177" s="34">
        <f>G177*'Assumptions'!$B$4</f>
        <v/>
      </c>
      <c r="I177" s="34">
        <f>G177-H177</f>
        <v/>
      </c>
      <c r="J177" s="34">
        <f>IF(C177=0,0,ROUND(F177/C177,2))</f>
        <v/>
      </c>
    </row>
    <row r="178">
      <c r="A178" s="23" t="inlineStr">
        <is>
          <t>CUS-0176</t>
        </is>
      </c>
      <c r="B178" s="23" t="inlineStr">
        <is>
          <t>Growth</t>
        </is>
      </c>
      <c r="C178" s="23" t="n">
        <v>26</v>
      </c>
      <c r="D178" s="34" t="n">
        <v>39</v>
      </c>
      <c r="E178" s="35" t="n">
        <v>0.15</v>
      </c>
      <c r="F178" s="34">
        <f>ROUND(C178*D178*(1-E178),2)</f>
        <v/>
      </c>
      <c r="G178" s="34">
        <f>F178*'Assumptions'!$B$3</f>
        <v/>
      </c>
      <c r="H178" s="34">
        <f>G178*'Assumptions'!$B$4</f>
        <v/>
      </c>
      <c r="I178" s="34">
        <f>G178-H178</f>
        <v/>
      </c>
      <c r="J178" s="34">
        <f>IF(C178=0,0,ROUND(F178/C178,2))</f>
        <v/>
      </c>
    </row>
    <row r="179">
      <c r="A179" s="23" t="inlineStr">
        <is>
          <t>CUS-0177</t>
        </is>
      </c>
      <c r="B179" s="23" t="inlineStr">
        <is>
          <t>Growth</t>
        </is>
      </c>
      <c r="C179" s="23" t="n">
        <v>111</v>
      </c>
      <c r="D179" s="34" t="n">
        <v>79</v>
      </c>
      <c r="E179" s="35" t="n">
        <v>0</v>
      </c>
      <c r="F179" s="34">
        <f>ROUND(C179*D179*(1-E179),2)</f>
        <v/>
      </c>
      <c r="G179" s="34">
        <f>F179*'Assumptions'!$B$3</f>
        <v/>
      </c>
      <c r="H179" s="34">
        <f>G179*'Assumptions'!$B$4</f>
        <v/>
      </c>
      <c r="I179" s="34">
        <f>G179-H179</f>
        <v/>
      </c>
      <c r="J179" s="34">
        <f>IF(C179=0,0,ROUND(F179/C179,2))</f>
        <v/>
      </c>
    </row>
    <row r="180">
      <c r="A180" s="23" t="inlineStr">
        <is>
          <t>CUS-0178</t>
        </is>
      </c>
      <c r="B180" s="23" t="inlineStr">
        <is>
          <t>Growth</t>
        </is>
      </c>
      <c r="C180" s="23" t="n">
        <v>64</v>
      </c>
      <c r="D180" s="34" t="n">
        <v>39</v>
      </c>
      <c r="E180" s="35" t="n">
        <v>0.05</v>
      </c>
      <c r="F180" s="34">
        <f>ROUND(C180*D180*(1-E180),2)</f>
        <v/>
      </c>
      <c r="G180" s="34">
        <f>F180*'Assumptions'!$B$3</f>
        <v/>
      </c>
      <c r="H180" s="34">
        <f>G180*'Assumptions'!$B$4</f>
        <v/>
      </c>
      <c r="I180" s="34">
        <f>G180-H180</f>
        <v/>
      </c>
      <c r="J180" s="34">
        <f>IF(C180=0,0,ROUND(F180/C180,2))</f>
        <v/>
      </c>
    </row>
    <row r="181">
      <c r="A181" s="23" t="inlineStr">
        <is>
          <t>CUS-0179</t>
        </is>
      </c>
      <c r="B181" s="23" t="inlineStr">
        <is>
          <t>Enterprise</t>
        </is>
      </c>
      <c r="C181" s="23" t="n">
        <v>38</v>
      </c>
      <c r="D181" s="34" t="n">
        <v>39</v>
      </c>
      <c r="E181" s="35" t="n">
        <v>0.05</v>
      </c>
      <c r="F181" s="34">
        <f>ROUND(C181*D181*(1-E181),2)</f>
        <v/>
      </c>
      <c r="G181" s="34">
        <f>F181*'Assumptions'!$B$3</f>
        <v/>
      </c>
      <c r="H181" s="34">
        <f>G181*'Assumptions'!$B$4</f>
        <v/>
      </c>
      <c r="I181" s="34">
        <f>G181-H181</f>
        <v/>
      </c>
      <c r="J181" s="34">
        <f>IF(C181=0,0,ROUND(F181/C181,2))</f>
        <v/>
      </c>
    </row>
    <row r="182">
      <c r="A182" s="23" t="inlineStr">
        <is>
          <t>CUS-0180</t>
        </is>
      </c>
      <c r="B182" s="23" t="inlineStr">
        <is>
          <t>Enterprise</t>
        </is>
      </c>
      <c r="C182" s="23" t="n">
        <v>58</v>
      </c>
      <c r="D182" s="34" t="n">
        <v>79</v>
      </c>
      <c r="E182" s="35" t="n">
        <v>0.1</v>
      </c>
      <c r="F182" s="34">
        <f>ROUND(C182*D182*(1-E182),2)</f>
        <v/>
      </c>
      <c r="G182" s="34">
        <f>F182*'Assumptions'!$B$3</f>
        <v/>
      </c>
      <c r="H182" s="34">
        <f>G182*'Assumptions'!$B$4</f>
        <v/>
      </c>
      <c r="I182" s="34">
        <f>G182-H182</f>
        <v/>
      </c>
      <c r="J182" s="34">
        <f>IF(C182=0,0,ROUND(F182/C182,2))</f>
        <v/>
      </c>
    </row>
    <row r="183">
      <c r="A183" s="23" t="inlineStr">
        <is>
          <t>CUS-0181</t>
        </is>
      </c>
      <c r="B183" s="23" t="inlineStr">
        <is>
          <t>Starter</t>
        </is>
      </c>
      <c r="C183" s="23" t="n">
        <v>36</v>
      </c>
      <c r="D183" s="34" t="n">
        <v>79</v>
      </c>
      <c r="E183" s="35" t="n">
        <v>0.05</v>
      </c>
      <c r="F183" s="34">
        <f>ROUND(C183*D183*(1-E183),2)</f>
        <v/>
      </c>
      <c r="G183" s="34">
        <f>F183*'Assumptions'!$B$3</f>
        <v/>
      </c>
      <c r="H183" s="34">
        <f>G183*'Assumptions'!$B$4</f>
        <v/>
      </c>
      <c r="I183" s="34">
        <f>G183-H183</f>
        <v/>
      </c>
      <c r="J183" s="34">
        <f>IF(C183=0,0,ROUND(F183/C183,2))</f>
        <v/>
      </c>
    </row>
    <row r="184">
      <c r="A184" s="23" t="inlineStr">
        <is>
          <t>CUS-0182</t>
        </is>
      </c>
      <c r="B184" s="23" t="inlineStr">
        <is>
          <t>Enterprise</t>
        </is>
      </c>
      <c r="C184" s="23" t="n">
        <v>116</v>
      </c>
      <c r="D184" s="34" t="n">
        <v>79</v>
      </c>
      <c r="E184" s="35" t="n">
        <v>0.1</v>
      </c>
      <c r="F184" s="34">
        <f>ROUND(C184*D184*(1-E184),2)</f>
        <v/>
      </c>
      <c r="G184" s="34">
        <f>F184*'Assumptions'!$B$3</f>
        <v/>
      </c>
      <c r="H184" s="34">
        <f>G184*'Assumptions'!$B$4</f>
        <v/>
      </c>
      <c r="I184" s="34">
        <f>G184-H184</f>
        <v/>
      </c>
      <c r="J184" s="34">
        <f>IF(C184=0,0,ROUND(F184/C184,2))</f>
        <v/>
      </c>
    </row>
    <row r="185">
      <c r="A185" s="23" t="inlineStr">
        <is>
          <t>CUS-0183</t>
        </is>
      </c>
      <c r="B185" s="23" t="inlineStr">
        <is>
          <t>Starter</t>
        </is>
      </c>
      <c r="C185" s="23" t="n">
        <v>113</v>
      </c>
      <c r="D185" s="34" t="n">
        <v>79</v>
      </c>
      <c r="E185" s="35" t="n">
        <v>0</v>
      </c>
      <c r="F185" s="34">
        <f>ROUND(C185*D185*(1-E185),2)</f>
        <v/>
      </c>
      <c r="G185" s="34">
        <f>F185*'Assumptions'!$B$3</f>
        <v/>
      </c>
      <c r="H185" s="34">
        <f>G185*'Assumptions'!$B$4</f>
        <v/>
      </c>
      <c r="I185" s="34">
        <f>G185-H185</f>
        <v/>
      </c>
      <c r="J185" s="34">
        <f>IF(C185=0,0,ROUND(F185/C185,2))</f>
        <v/>
      </c>
    </row>
    <row r="186">
      <c r="A186" s="23" t="inlineStr">
        <is>
          <t>CUS-0184</t>
        </is>
      </c>
      <c r="B186" s="23" t="inlineStr">
        <is>
          <t>Enterprise</t>
        </is>
      </c>
      <c r="C186" s="23" t="n">
        <v>52</v>
      </c>
      <c r="D186" s="34" t="n">
        <v>9</v>
      </c>
      <c r="E186" s="35" t="n">
        <v>0</v>
      </c>
      <c r="F186" s="34">
        <f>ROUND(C186*D186*(1-E186),2)</f>
        <v/>
      </c>
      <c r="G186" s="34">
        <f>F186*'Assumptions'!$B$3</f>
        <v/>
      </c>
      <c r="H186" s="34">
        <f>G186*'Assumptions'!$B$4</f>
        <v/>
      </c>
      <c r="I186" s="34">
        <f>G186-H186</f>
        <v/>
      </c>
      <c r="J186" s="34">
        <f>IF(C186=0,0,ROUND(F186/C186,2))</f>
        <v/>
      </c>
    </row>
    <row r="187">
      <c r="A187" s="23" t="inlineStr">
        <is>
          <t>CUS-0185</t>
        </is>
      </c>
      <c r="B187" s="23" t="inlineStr">
        <is>
          <t>Growth</t>
        </is>
      </c>
      <c r="C187" s="23" t="n">
        <v>144</v>
      </c>
      <c r="D187" s="34" t="n">
        <v>9</v>
      </c>
      <c r="E187" s="35" t="n">
        <v>0</v>
      </c>
      <c r="F187" s="34">
        <f>ROUND(C187*D187*(1-E187),2)</f>
        <v/>
      </c>
      <c r="G187" s="34">
        <f>F187*'Assumptions'!$B$3</f>
        <v/>
      </c>
      <c r="H187" s="34">
        <f>G187*'Assumptions'!$B$4</f>
        <v/>
      </c>
      <c r="I187" s="34">
        <f>G187-H187</f>
        <v/>
      </c>
      <c r="J187" s="34">
        <f>IF(C187=0,0,ROUND(F187/C187,2))</f>
        <v/>
      </c>
    </row>
    <row r="188">
      <c r="A188" s="23" t="inlineStr">
        <is>
          <t>CUS-0186</t>
        </is>
      </c>
      <c r="B188" s="23" t="inlineStr">
        <is>
          <t>Enterprise</t>
        </is>
      </c>
      <c r="C188" s="23" t="n">
        <v>133</v>
      </c>
      <c r="D188" s="34" t="n">
        <v>39</v>
      </c>
      <c r="E188" s="35" t="n">
        <v>0.15</v>
      </c>
      <c r="F188" s="34">
        <f>ROUND(C188*D188*(1-E188),2)</f>
        <v/>
      </c>
      <c r="G188" s="34">
        <f>F188*'Assumptions'!$B$3</f>
        <v/>
      </c>
      <c r="H188" s="34">
        <f>G188*'Assumptions'!$B$4</f>
        <v/>
      </c>
      <c r="I188" s="34">
        <f>G188-H188</f>
        <v/>
      </c>
      <c r="J188" s="34">
        <f>IF(C188=0,0,ROUND(F188/C188,2))</f>
        <v/>
      </c>
    </row>
    <row r="189">
      <c r="A189" s="23" t="inlineStr">
        <is>
          <t>CUS-0187</t>
        </is>
      </c>
      <c r="B189" s="23" t="inlineStr">
        <is>
          <t>Starter</t>
        </is>
      </c>
      <c r="C189" s="23" t="n">
        <v>137</v>
      </c>
      <c r="D189" s="34" t="n">
        <v>39</v>
      </c>
      <c r="E189" s="35" t="n">
        <v>0.05</v>
      </c>
      <c r="F189" s="34">
        <f>ROUND(C189*D189*(1-E189),2)</f>
        <v/>
      </c>
      <c r="G189" s="34">
        <f>F189*'Assumptions'!$B$3</f>
        <v/>
      </c>
      <c r="H189" s="34">
        <f>G189*'Assumptions'!$B$4</f>
        <v/>
      </c>
      <c r="I189" s="34">
        <f>G189-H189</f>
        <v/>
      </c>
      <c r="J189" s="34">
        <f>IF(C189=0,0,ROUND(F189/C189,2))</f>
        <v/>
      </c>
    </row>
    <row r="190">
      <c r="A190" s="23" t="inlineStr">
        <is>
          <t>CUS-0188</t>
        </is>
      </c>
      <c r="B190" s="23" t="inlineStr">
        <is>
          <t>Starter</t>
        </is>
      </c>
      <c r="C190" s="23" t="n">
        <v>137</v>
      </c>
      <c r="D190" s="34" t="n">
        <v>79</v>
      </c>
      <c r="E190" s="35" t="n">
        <v>0.05</v>
      </c>
      <c r="F190" s="34">
        <f>ROUND(C190*D190*(1-E190),2)</f>
        <v/>
      </c>
      <c r="G190" s="34">
        <f>F190*'Assumptions'!$B$3</f>
        <v/>
      </c>
      <c r="H190" s="34">
        <f>G190*'Assumptions'!$B$4</f>
        <v/>
      </c>
      <c r="I190" s="34">
        <f>G190-H190</f>
        <v/>
      </c>
      <c r="J190" s="34">
        <f>IF(C190=0,0,ROUND(F190/C190,2))</f>
        <v/>
      </c>
    </row>
    <row r="191">
      <c r="A191" s="23" t="inlineStr">
        <is>
          <t>CUS-0189</t>
        </is>
      </c>
      <c r="B191" s="23" t="inlineStr">
        <is>
          <t>Growth</t>
        </is>
      </c>
      <c r="C191" s="23" t="n">
        <v>64</v>
      </c>
      <c r="D191" s="34" t="n">
        <v>19</v>
      </c>
      <c r="E191" s="35" t="n">
        <v>0.15</v>
      </c>
      <c r="F191" s="34">
        <f>ROUND(C191*D191*(1-E191),2)</f>
        <v/>
      </c>
      <c r="G191" s="34">
        <f>F191*'Assumptions'!$B$3</f>
        <v/>
      </c>
      <c r="H191" s="34">
        <f>G191*'Assumptions'!$B$4</f>
        <v/>
      </c>
      <c r="I191" s="34">
        <f>G191-H191</f>
        <v/>
      </c>
      <c r="J191" s="34">
        <f>IF(C191=0,0,ROUND(F191/C191,2))</f>
        <v/>
      </c>
    </row>
    <row r="192">
      <c r="A192" s="23" t="inlineStr">
        <is>
          <t>CUS-0190</t>
        </is>
      </c>
      <c r="B192" s="23" t="inlineStr">
        <is>
          <t>Enterprise</t>
        </is>
      </c>
      <c r="C192" s="23" t="n">
        <v>131</v>
      </c>
      <c r="D192" s="34" t="n">
        <v>79</v>
      </c>
      <c r="E192" s="35" t="n">
        <v>0</v>
      </c>
      <c r="F192" s="34">
        <f>ROUND(C192*D192*(1-E192),2)</f>
        <v/>
      </c>
      <c r="G192" s="34">
        <f>F192*'Assumptions'!$B$3</f>
        <v/>
      </c>
      <c r="H192" s="34">
        <f>G192*'Assumptions'!$B$4</f>
        <v/>
      </c>
      <c r="I192" s="34">
        <f>G192-H192</f>
        <v/>
      </c>
      <c r="J192" s="34">
        <f>IF(C192=0,0,ROUND(F192/C192,2))</f>
        <v/>
      </c>
    </row>
    <row r="193">
      <c r="A193" s="23" t="inlineStr">
        <is>
          <t>CUS-0191</t>
        </is>
      </c>
      <c r="B193" s="23" t="inlineStr">
        <is>
          <t>Starter</t>
        </is>
      </c>
      <c r="C193" s="23" t="n">
        <v>68</v>
      </c>
      <c r="D193" s="34" t="n">
        <v>79</v>
      </c>
      <c r="E193" s="35" t="n">
        <v>0.05</v>
      </c>
      <c r="F193" s="34">
        <f>ROUND(C193*D193*(1-E193),2)</f>
        <v/>
      </c>
      <c r="G193" s="34">
        <f>F193*'Assumptions'!$B$3</f>
        <v/>
      </c>
      <c r="H193" s="34">
        <f>G193*'Assumptions'!$B$4</f>
        <v/>
      </c>
      <c r="I193" s="34">
        <f>G193-H193</f>
        <v/>
      </c>
      <c r="J193" s="34">
        <f>IF(C193=0,0,ROUND(F193/C193,2))</f>
        <v/>
      </c>
    </row>
    <row r="194">
      <c r="A194" s="23" t="inlineStr">
        <is>
          <t>CUS-0192</t>
        </is>
      </c>
      <c r="B194" s="23" t="inlineStr">
        <is>
          <t>Growth</t>
        </is>
      </c>
      <c r="C194" s="23" t="n">
        <v>126</v>
      </c>
      <c r="D194" s="34" t="n">
        <v>9</v>
      </c>
      <c r="E194" s="35" t="n">
        <v>0.1</v>
      </c>
      <c r="F194" s="34">
        <f>ROUND(C194*D194*(1-E194),2)</f>
        <v/>
      </c>
      <c r="G194" s="34">
        <f>F194*'Assumptions'!$B$3</f>
        <v/>
      </c>
      <c r="H194" s="34">
        <f>G194*'Assumptions'!$B$4</f>
        <v/>
      </c>
      <c r="I194" s="34">
        <f>G194-H194</f>
        <v/>
      </c>
      <c r="J194" s="34">
        <f>IF(C194=0,0,ROUND(F194/C194,2))</f>
        <v/>
      </c>
    </row>
    <row r="195">
      <c r="A195" s="23" t="inlineStr">
        <is>
          <t>CUS-0193</t>
        </is>
      </c>
      <c r="B195" s="23" t="inlineStr">
        <is>
          <t>Growth</t>
        </is>
      </c>
      <c r="C195" s="23" t="n">
        <v>35</v>
      </c>
      <c r="D195" s="34" t="n">
        <v>39</v>
      </c>
      <c r="E195" s="35" t="n">
        <v>0.05</v>
      </c>
      <c r="F195" s="34">
        <f>ROUND(C195*D195*(1-E195),2)</f>
        <v/>
      </c>
      <c r="G195" s="34">
        <f>F195*'Assumptions'!$B$3</f>
        <v/>
      </c>
      <c r="H195" s="34">
        <f>G195*'Assumptions'!$B$4</f>
        <v/>
      </c>
      <c r="I195" s="34">
        <f>G195-H195</f>
        <v/>
      </c>
      <c r="J195" s="34">
        <f>IF(C195=0,0,ROUND(F195/C195,2))</f>
        <v/>
      </c>
    </row>
    <row r="196">
      <c r="A196" s="23" t="inlineStr">
        <is>
          <t>CUS-0194</t>
        </is>
      </c>
      <c r="B196" s="23" t="inlineStr">
        <is>
          <t>Starter</t>
        </is>
      </c>
      <c r="C196" s="23" t="n">
        <v>47</v>
      </c>
      <c r="D196" s="34" t="n">
        <v>39</v>
      </c>
      <c r="E196" s="35" t="n">
        <v>0</v>
      </c>
      <c r="F196" s="34">
        <f>ROUND(C196*D196*(1-E196),2)</f>
        <v/>
      </c>
      <c r="G196" s="34">
        <f>F196*'Assumptions'!$B$3</f>
        <v/>
      </c>
      <c r="H196" s="34">
        <f>G196*'Assumptions'!$B$4</f>
        <v/>
      </c>
      <c r="I196" s="34">
        <f>G196-H196</f>
        <v/>
      </c>
      <c r="J196" s="34">
        <f>IF(C196=0,0,ROUND(F196/C196,2))</f>
        <v/>
      </c>
    </row>
    <row r="197">
      <c r="A197" s="23" t="inlineStr">
        <is>
          <t>CUS-0195</t>
        </is>
      </c>
      <c r="B197" s="23" t="inlineStr">
        <is>
          <t>Starter</t>
        </is>
      </c>
      <c r="C197" s="23" t="n">
        <v>138</v>
      </c>
      <c r="D197" s="34" t="n">
        <v>39</v>
      </c>
      <c r="E197" s="35" t="n">
        <v>0.1</v>
      </c>
      <c r="F197" s="34">
        <f>ROUND(C197*D197*(1-E197),2)</f>
        <v/>
      </c>
      <c r="G197" s="34">
        <f>F197*'Assumptions'!$B$3</f>
        <v/>
      </c>
      <c r="H197" s="34">
        <f>G197*'Assumptions'!$B$4</f>
        <v/>
      </c>
      <c r="I197" s="34">
        <f>G197-H197</f>
        <v/>
      </c>
      <c r="J197" s="34">
        <f>IF(C197=0,0,ROUND(F197/C197,2))</f>
        <v/>
      </c>
    </row>
    <row r="198">
      <c r="A198" s="23" t="inlineStr">
        <is>
          <t>CUS-0196</t>
        </is>
      </c>
      <c r="B198" s="23" t="inlineStr">
        <is>
          <t>Enterprise</t>
        </is>
      </c>
      <c r="C198" s="23" t="n">
        <v>96</v>
      </c>
      <c r="D198" s="34" t="n">
        <v>9</v>
      </c>
      <c r="E198" s="35" t="n">
        <v>0.05</v>
      </c>
      <c r="F198" s="34">
        <f>ROUND(C198*D198*(1-E198),2)</f>
        <v/>
      </c>
      <c r="G198" s="34">
        <f>F198*'Assumptions'!$B$3</f>
        <v/>
      </c>
      <c r="H198" s="34">
        <f>G198*'Assumptions'!$B$4</f>
        <v/>
      </c>
      <c r="I198" s="34">
        <f>G198-H198</f>
        <v/>
      </c>
      <c r="J198" s="34">
        <f>IF(C198=0,0,ROUND(F198/C198,2))</f>
        <v/>
      </c>
    </row>
    <row r="199">
      <c r="A199" s="23" t="inlineStr">
        <is>
          <t>CUS-0197</t>
        </is>
      </c>
      <c r="B199" s="23" t="inlineStr">
        <is>
          <t>Starter</t>
        </is>
      </c>
      <c r="C199" s="23" t="n">
        <v>6</v>
      </c>
      <c r="D199" s="34" t="n">
        <v>39</v>
      </c>
      <c r="E199" s="35" t="n">
        <v>0.1</v>
      </c>
      <c r="F199" s="34">
        <f>ROUND(C199*D199*(1-E199),2)</f>
        <v/>
      </c>
      <c r="G199" s="34">
        <f>F199*'Assumptions'!$B$3</f>
        <v/>
      </c>
      <c r="H199" s="34">
        <f>G199*'Assumptions'!$B$4</f>
        <v/>
      </c>
      <c r="I199" s="34">
        <f>G199-H199</f>
        <v/>
      </c>
      <c r="J199" s="34">
        <f>IF(C199=0,0,ROUND(F199/C199,2))</f>
        <v/>
      </c>
    </row>
    <row r="200">
      <c r="A200" s="23" t="inlineStr">
        <is>
          <t>CUS-0198</t>
        </is>
      </c>
      <c r="B200" s="23" t="inlineStr">
        <is>
          <t>Starter</t>
        </is>
      </c>
      <c r="C200" s="23" t="n">
        <v>131</v>
      </c>
      <c r="D200" s="34" t="n">
        <v>79</v>
      </c>
      <c r="E200" s="35" t="n">
        <v>0</v>
      </c>
      <c r="F200" s="34">
        <f>ROUND(C200*D200*(1-E200),2)</f>
        <v/>
      </c>
      <c r="G200" s="34">
        <f>F200*'Assumptions'!$B$3</f>
        <v/>
      </c>
      <c r="H200" s="34">
        <f>G200*'Assumptions'!$B$4</f>
        <v/>
      </c>
      <c r="I200" s="34">
        <f>G200-H200</f>
        <v/>
      </c>
      <c r="J200" s="34">
        <f>IF(C200=0,0,ROUND(F200/C200,2))</f>
        <v/>
      </c>
    </row>
    <row r="201">
      <c r="A201" s="23" t="inlineStr">
        <is>
          <t>CUS-0199</t>
        </is>
      </c>
      <c r="B201" s="23" t="inlineStr">
        <is>
          <t>Enterprise</t>
        </is>
      </c>
      <c r="C201" s="23" t="n">
        <v>128</v>
      </c>
      <c r="D201" s="34" t="n">
        <v>79</v>
      </c>
      <c r="E201" s="35" t="n">
        <v>0.15</v>
      </c>
      <c r="F201" s="34">
        <f>ROUND(C201*D201*(1-E201),2)</f>
        <v/>
      </c>
      <c r="G201" s="34">
        <f>F201*'Assumptions'!$B$3</f>
        <v/>
      </c>
      <c r="H201" s="34">
        <f>G201*'Assumptions'!$B$4</f>
        <v/>
      </c>
      <c r="I201" s="34">
        <f>G201-H201</f>
        <v/>
      </c>
      <c r="J201" s="34">
        <f>IF(C201=0,0,ROUND(F201/C201,2))</f>
        <v/>
      </c>
    </row>
    <row r="202">
      <c r="A202" s="24" t="inlineStr">
        <is>
          <t>CUS-0200</t>
        </is>
      </c>
      <c r="B202" s="24" t="inlineStr">
        <is>
          <t>Growth</t>
        </is>
      </c>
      <c r="C202" s="24" t="n">
        <v>62</v>
      </c>
      <c r="D202" s="36" t="n">
        <v>9</v>
      </c>
      <c r="E202" s="37" t="n">
        <v>0</v>
      </c>
      <c r="F202" s="36">
        <f>ROUND(C202*D202*(1-E202),2)</f>
        <v/>
      </c>
      <c r="G202" s="36">
        <f>F202*'Assumptions'!$B$3</f>
        <v/>
      </c>
      <c r="H202" s="36">
        <f>G202*'Assumptions'!$B$4</f>
        <v/>
      </c>
      <c r="I202" s="36">
        <f>G202-H202</f>
        <v/>
      </c>
      <c r="J202" s="36">
        <f>IF(C202=0,0,ROUND(F202/C202,2))</f>
        <v/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</cols>
  <sheetData>
    <row r="1" ht="30" customHeight="1">
      <c r="A1" s="3" t="inlineStr">
        <is>
          <t>Plan Revenue Summary</t>
        </is>
      </c>
    </row>
    <row r="2" ht="28" customHeight="1">
      <c r="A2" s="14" t="inlineStr">
        <is>
          <t>Plan</t>
        </is>
      </c>
      <c r="B2" s="21" t="inlineStr">
        <is>
          <t>Customer Count</t>
        </is>
      </c>
      <c r="C2" s="15" t="inlineStr">
        <is>
          <t>Net ARR</t>
        </is>
      </c>
    </row>
    <row r="3">
      <c r="A3" s="22" t="inlineStr">
        <is>
          <t>Starter</t>
        </is>
      </c>
      <c r="B3" s="22">
        <f>COUNTIF('Customers'!$B$3:$B$202,A3)</f>
        <v/>
      </c>
      <c r="C3" s="32">
        <f>SUMIF('Customers'!$B$3:$B$202,A3,'Customers'!$I$3:$I$202)</f>
        <v/>
      </c>
    </row>
    <row r="4">
      <c r="A4" s="23" t="inlineStr">
        <is>
          <t>Growth</t>
        </is>
      </c>
      <c r="B4" s="23">
        <f>COUNTIF('Customers'!$B$3:$B$202,A4)</f>
        <v/>
      </c>
      <c r="C4" s="34">
        <f>SUMIF('Customers'!$B$3:$B$202,A4,'Customers'!$I$3:$I$202)</f>
        <v/>
      </c>
    </row>
    <row r="5">
      <c r="A5" s="24" t="inlineStr">
        <is>
          <t>Enterprise</t>
        </is>
      </c>
      <c r="B5" s="24">
        <f>COUNTIF('Customers'!$B$3:$B$202,A5)</f>
        <v/>
      </c>
      <c r="C5" s="36">
        <f>SUMIF('Customers'!$B$3:$B$202,A5,'Customers'!$I$3:$I$202)</f>
        <v/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