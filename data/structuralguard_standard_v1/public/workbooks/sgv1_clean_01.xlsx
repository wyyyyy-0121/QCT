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Parameters" sheetId="2" state="visible" r:id="rId2"/>
    <sheet name="Sales Detail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6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6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6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Retail sales detail</t>
        </is>
      </c>
    </row>
    <row r="4">
      <c r="A4" s="5" t="inlineStr">
        <is>
          <t>Random seed</t>
        </is>
      </c>
      <c r="B4" t="n">
        <v>11031</v>
      </c>
    </row>
    <row r="5">
      <c r="A5" s="5" t="inlineStr">
        <is>
          <t>Generated rows</t>
        </is>
      </c>
      <c r="B5" t="n">
        <v>220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Tax rate</t>
        </is>
      </c>
      <c r="B3" s="34" t="n">
        <v>0.13</v>
      </c>
    </row>
    <row r="4">
      <c r="A4" t="inlineStr">
        <is>
          <t>Discount cap</t>
        </is>
      </c>
      <c r="B4" s="34" t="n">
        <v>0.2</v>
      </c>
    </row>
    <row r="5">
      <c r="A5" t="inlineStr">
        <is>
          <t>Target margin</t>
        </is>
      </c>
      <c r="B5" s="34" t="n">
        <v>0.35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3" customWidth="1" min="5" max="5"/>
    <col width="11" customWidth="1" min="6" max="6"/>
    <col width="14" customWidth="1" min="7" max="7"/>
    <col width="13" customWidth="1" min="8" max="8"/>
    <col width="14" customWidth="1" min="9" max="9"/>
    <col width="14" customWidth="1" min="10" max="10"/>
  </cols>
  <sheetData>
    <row r="1" ht="30" customHeight="1">
      <c r="A1" s="3" t="inlineStr">
        <is>
          <t>Retail Sales Detail</t>
        </is>
      </c>
    </row>
    <row r="2" ht="28" customHeight="1">
      <c r="A2" s="14" t="inlineStr">
        <is>
          <t>Order ID</t>
        </is>
      </c>
      <c r="B2" s="21" t="inlineStr">
        <is>
          <t>Date</t>
        </is>
      </c>
      <c r="C2" s="21" t="inlineStr">
        <is>
          <t>Region</t>
        </is>
      </c>
      <c r="D2" s="21" t="inlineStr">
        <is>
          <t>Quantity</t>
        </is>
      </c>
      <c r="E2" s="21" t="inlineStr">
        <is>
          <t>Unit Price</t>
        </is>
      </c>
      <c r="F2" s="21" t="inlineStr">
        <is>
          <t>Discount</t>
        </is>
      </c>
      <c r="G2" s="21" t="inlineStr">
        <is>
          <t>Net Sales</t>
        </is>
      </c>
      <c r="H2" s="21" t="inlineStr">
        <is>
          <t>Tax</t>
        </is>
      </c>
      <c r="I2" s="21" t="inlineStr">
        <is>
          <t>Gross Sales</t>
        </is>
      </c>
      <c r="J2" s="15" t="inlineStr">
        <is>
          <t>Net per Unit</t>
        </is>
      </c>
    </row>
    <row r="3">
      <c r="A3" s="22" t="inlineStr">
        <is>
          <t>SO-0001</t>
        </is>
      </c>
      <c r="B3" s="35" t="n">
        <v>46254</v>
      </c>
      <c r="C3" s="22" t="inlineStr">
        <is>
          <t>North</t>
        </is>
      </c>
      <c r="D3" s="22" t="n">
        <v>9</v>
      </c>
      <c r="E3" s="36" t="n">
        <v>86.51000000000001</v>
      </c>
      <c r="F3" s="37" t="n">
        <v>0</v>
      </c>
      <c r="G3" s="36">
        <f>ROUND(D3*E3*(1-F3),2)</f>
        <v/>
      </c>
      <c r="H3" s="36">
        <f>ROUND(G3*'Parameters'!$B$3,2)</f>
        <v/>
      </c>
      <c r="I3" s="36">
        <f>G3+H3</f>
        <v/>
      </c>
      <c r="J3" s="36">
        <f>IF(D3=0,0,ROUND(G3/D3,2))</f>
        <v/>
      </c>
    </row>
    <row r="4">
      <c r="A4" s="23" t="inlineStr">
        <is>
          <t>SO-0002</t>
        </is>
      </c>
      <c r="B4" s="38" t="n">
        <v>46315</v>
      </c>
      <c r="C4" s="23" t="inlineStr">
        <is>
          <t>West</t>
        </is>
      </c>
      <c r="D4" s="23" t="n">
        <v>11</v>
      </c>
      <c r="E4" s="39" t="n">
        <v>148.3</v>
      </c>
      <c r="F4" s="40" t="n">
        <v>0.15</v>
      </c>
      <c r="G4" s="39">
        <f>ROUND(D4*E4*(1-F4),2)</f>
        <v/>
      </c>
      <c r="H4" s="39">
        <f>ROUND(G4*'Parameters'!$B$3,2)</f>
        <v/>
      </c>
      <c r="I4" s="39">
        <f>G4+H4</f>
        <v/>
      </c>
      <c r="J4" s="39">
        <f>IF(D4=0,0,ROUND(G4/D4,2))</f>
        <v/>
      </c>
    </row>
    <row r="5">
      <c r="A5" s="23" t="inlineStr">
        <is>
          <t>SO-0003</t>
        </is>
      </c>
      <c r="B5" s="38" t="n">
        <v>46362</v>
      </c>
      <c r="C5" s="23" t="inlineStr">
        <is>
          <t>West</t>
        </is>
      </c>
      <c r="D5" s="23" t="n">
        <v>1</v>
      </c>
      <c r="E5" s="39" t="n">
        <v>188.01</v>
      </c>
      <c r="F5" s="40" t="n">
        <v>0.05</v>
      </c>
      <c r="G5" s="39">
        <f>ROUND(D5*E5*(1-F5),2)</f>
        <v/>
      </c>
      <c r="H5" s="39">
        <f>ROUND(G5*'Parameters'!$B$3,2)</f>
        <v/>
      </c>
      <c r="I5" s="39">
        <f>G5+H5</f>
        <v/>
      </c>
      <c r="J5" s="39">
        <f>IF(D5=0,0,ROUND(G5/D5,2))</f>
        <v/>
      </c>
    </row>
    <row r="6">
      <c r="A6" s="23" t="inlineStr">
        <is>
          <t>SO-0004</t>
        </is>
      </c>
      <c r="B6" s="38" t="n">
        <v>46048</v>
      </c>
      <c r="C6" s="23" t="inlineStr">
        <is>
          <t>South</t>
        </is>
      </c>
      <c r="D6" s="23" t="n">
        <v>15</v>
      </c>
      <c r="E6" s="39" t="n">
        <v>11.53</v>
      </c>
      <c r="F6" s="40" t="n">
        <v>0.15</v>
      </c>
      <c r="G6" s="39">
        <f>ROUND(D6*E6*(1-F6),2)</f>
        <v/>
      </c>
      <c r="H6" s="39">
        <f>ROUND(G6*'Parameters'!$B$3,2)</f>
        <v/>
      </c>
      <c r="I6" s="39">
        <f>G6+H6</f>
        <v/>
      </c>
      <c r="J6" s="39">
        <f>IF(D6=0,0,ROUND(G6/D6,2))</f>
        <v/>
      </c>
    </row>
    <row r="7">
      <c r="A7" s="23" t="inlineStr">
        <is>
          <t>SO-0005</t>
        </is>
      </c>
      <c r="B7" s="38" t="n">
        <v>46029</v>
      </c>
      <c r="C7" s="23" t="inlineStr">
        <is>
          <t>South</t>
        </is>
      </c>
      <c r="D7" s="23" t="n">
        <v>5</v>
      </c>
      <c r="E7" s="39" t="n">
        <v>81.12</v>
      </c>
      <c r="F7" s="40" t="n">
        <v>0</v>
      </c>
      <c r="G7" s="39">
        <f>ROUND(D7*E7*(1-F7),2)</f>
        <v/>
      </c>
      <c r="H7" s="39">
        <f>ROUND(G7*'Parameters'!$B$3,2)</f>
        <v/>
      </c>
      <c r="I7" s="39">
        <f>G7+H7</f>
        <v/>
      </c>
      <c r="J7" s="39">
        <f>IF(D7=0,0,ROUND(G7/D7,2))</f>
        <v/>
      </c>
    </row>
    <row r="8">
      <c r="A8" s="23" t="inlineStr">
        <is>
          <t>SO-0006</t>
        </is>
      </c>
      <c r="B8" s="38" t="n">
        <v>46352</v>
      </c>
      <c r="C8" s="23" t="inlineStr">
        <is>
          <t>North</t>
        </is>
      </c>
      <c r="D8" s="23" t="n">
        <v>6</v>
      </c>
      <c r="E8" s="39" t="n">
        <v>73.70999999999999</v>
      </c>
      <c r="F8" s="40" t="n">
        <v>0.1</v>
      </c>
      <c r="G8" s="39">
        <f>ROUND(D8*E8*(1-F8),2)</f>
        <v/>
      </c>
      <c r="H8" s="39">
        <f>ROUND(G8*'Parameters'!$B$3,2)</f>
        <v/>
      </c>
      <c r="I8" s="39">
        <f>G8+H8</f>
        <v/>
      </c>
      <c r="J8" s="39">
        <f>IF(D8=0,0,ROUND(G8/D8,2))</f>
        <v/>
      </c>
    </row>
    <row r="9">
      <c r="A9" s="23" t="inlineStr">
        <is>
          <t>SO-0007</t>
        </is>
      </c>
      <c r="B9" s="38" t="n">
        <v>46375</v>
      </c>
      <c r="C9" s="23" t="inlineStr">
        <is>
          <t>North</t>
        </is>
      </c>
      <c r="D9" s="23" t="n">
        <v>2</v>
      </c>
      <c r="E9" s="39" t="n">
        <v>52.11</v>
      </c>
      <c r="F9" s="40" t="n">
        <v>0.15</v>
      </c>
      <c r="G9" s="39">
        <f>ROUND(D9*E9*(1-F9),2)</f>
        <v/>
      </c>
      <c r="H9" s="39">
        <f>ROUND(G9*'Parameters'!$B$3,2)</f>
        <v/>
      </c>
      <c r="I9" s="39">
        <f>G9+H9</f>
        <v/>
      </c>
      <c r="J9" s="39">
        <f>IF(D9=0,0,ROUND(G9/D9,2))</f>
        <v/>
      </c>
    </row>
    <row r="10">
      <c r="A10" s="23" t="inlineStr">
        <is>
          <t>SO-0008</t>
        </is>
      </c>
      <c r="B10" s="38" t="n">
        <v>46097</v>
      </c>
      <c r="C10" s="23" t="inlineStr">
        <is>
          <t>South</t>
        </is>
      </c>
      <c r="D10" s="23" t="n">
        <v>15</v>
      </c>
      <c r="E10" s="39" t="n">
        <v>205.92</v>
      </c>
      <c r="F10" s="40" t="n">
        <v>0.15</v>
      </c>
      <c r="G10" s="39">
        <f>ROUND(D10*E10*(1-F10),2)</f>
        <v/>
      </c>
      <c r="H10" s="39">
        <f>ROUND(G10*'Parameters'!$B$3,2)</f>
        <v/>
      </c>
      <c r="I10" s="39">
        <f>G10+H10</f>
        <v/>
      </c>
      <c r="J10" s="39">
        <f>IF(D10=0,0,ROUND(G10/D10,2))</f>
        <v/>
      </c>
    </row>
    <row r="11">
      <c r="A11" s="23" t="inlineStr">
        <is>
          <t>SO-0009</t>
        </is>
      </c>
      <c r="B11" s="38" t="n">
        <v>46373</v>
      </c>
      <c r="C11" s="23" t="inlineStr">
        <is>
          <t>North</t>
        </is>
      </c>
      <c r="D11" s="23" t="n">
        <v>2</v>
      </c>
      <c r="E11" s="39" t="n">
        <v>218.91</v>
      </c>
      <c r="F11" s="40" t="n">
        <v>0.05</v>
      </c>
      <c r="G11" s="39">
        <f>ROUND(D11*E11*(1-F11),2)</f>
        <v/>
      </c>
      <c r="H11" s="39">
        <f>ROUND(G11*'Parameters'!$B$3,2)</f>
        <v/>
      </c>
      <c r="I11" s="39">
        <f>G11+H11</f>
        <v/>
      </c>
      <c r="J11" s="39">
        <f>IF(D11=0,0,ROUND(G11/D11,2))</f>
        <v/>
      </c>
    </row>
    <row r="12">
      <c r="A12" s="23" t="inlineStr">
        <is>
          <t>SO-0010</t>
        </is>
      </c>
      <c r="B12" s="38" t="n">
        <v>46157</v>
      </c>
      <c r="C12" s="23" t="inlineStr">
        <is>
          <t>West</t>
        </is>
      </c>
      <c r="D12" s="23" t="n">
        <v>20</v>
      </c>
      <c r="E12" s="39" t="n">
        <v>216.49</v>
      </c>
      <c r="F12" s="40" t="n">
        <v>0</v>
      </c>
      <c r="G12" s="39">
        <f>ROUND(D12*E12*(1-F12),2)</f>
        <v/>
      </c>
      <c r="H12" s="39">
        <f>ROUND(G12*'Parameters'!$B$3,2)</f>
        <v/>
      </c>
      <c r="I12" s="39">
        <f>G12+H12</f>
        <v/>
      </c>
      <c r="J12" s="39">
        <f>IF(D12=0,0,ROUND(G12/D12,2))</f>
        <v/>
      </c>
    </row>
    <row r="13">
      <c r="A13" s="23" t="inlineStr">
        <is>
          <t>SO-0011</t>
        </is>
      </c>
      <c r="B13" s="38" t="n">
        <v>46314</v>
      </c>
      <c r="C13" s="23" t="inlineStr">
        <is>
          <t>North</t>
        </is>
      </c>
      <c r="D13" s="23" t="n">
        <v>2</v>
      </c>
      <c r="E13" s="39" t="n">
        <v>40.48</v>
      </c>
      <c r="F13" s="40" t="n">
        <v>0.15</v>
      </c>
      <c r="G13" s="39">
        <f>ROUND(D13*E13*(1-F13),2)</f>
        <v/>
      </c>
      <c r="H13" s="39">
        <f>ROUND(G13*'Parameters'!$B$3,2)</f>
        <v/>
      </c>
      <c r="I13" s="39">
        <f>G13+H13</f>
        <v/>
      </c>
      <c r="J13" s="39">
        <f>IF(D13=0,0,ROUND(G13/D13,2))</f>
        <v/>
      </c>
    </row>
    <row r="14">
      <c r="A14" s="23" t="inlineStr">
        <is>
          <t>SO-0012</t>
        </is>
      </c>
      <c r="B14" s="38" t="n">
        <v>46043</v>
      </c>
      <c r="C14" s="23" t="inlineStr">
        <is>
          <t>North</t>
        </is>
      </c>
      <c r="D14" s="23" t="n">
        <v>12</v>
      </c>
      <c r="E14" s="39" t="n">
        <v>106.73</v>
      </c>
      <c r="F14" s="40" t="n">
        <v>0</v>
      </c>
      <c r="G14" s="39">
        <f>ROUND(D14*E14*(1-F14),2)</f>
        <v/>
      </c>
      <c r="H14" s="39">
        <f>ROUND(G14*'Parameters'!$B$3,2)</f>
        <v/>
      </c>
      <c r="I14" s="39">
        <f>G14+H14</f>
        <v/>
      </c>
      <c r="J14" s="39">
        <f>IF(D14=0,0,ROUND(G14/D14,2))</f>
        <v/>
      </c>
    </row>
    <row r="15">
      <c r="A15" s="23" t="inlineStr">
        <is>
          <t>SO-0013</t>
        </is>
      </c>
      <c r="B15" s="38" t="n">
        <v>46367</v>
      </c>
      <c r="C15" s="23" t="inlineStr">
        <is>
          <t>South</t>
        </is>
      </c>
      <c r="D15" s="23" t="n">
        <v>9</v>
      </c>
      <c r="E15" s="39" t="n">
        <v>165.26</v>
      </c>
      <c r="F15" s="40" t="n">
        <v>0</v>
      </c>
      <c r="G15" s="39">
        <f>ROUND(D15*E15*(1-F15),2)</f>
        <v/>
      </c>
      <c r="H15" s="39">
        <f>ROUND(G15*'Parameters'!$B$3,2)</f>
        <v/>
      </c>
      <c r="I15" s="39">
        <f>G15+H15</f>
        <v/>
      </c>
      <c r="J15" s="39">
        <f>IF(D15=0,0,ROUND(G15/D15,2))</f>
        <v/>
      </c>
    </row>
    <row r="16">
      <c r="A16" s="23" t="inlineStr">
        <is>
          <t>SO-0014</t>
        </is>
      </c>
      <c r="B16" s="38" t="n">
        <v>46301</v>
      </c>
      <c r="C16" s="23" t="inlineStr">
        <is>
          <t>East</t>
        </is>
      </c>
      <c r="D16" s="23" t="n">
        <v>1</v>
      </c>
      <c r="E16" s="39" t="n">
        <v>188.64</v>
      </c>
      <c r="F16" s="40" t="n">
        <v>0</v>
      </c>
      <c r="G16" s="39">
        <f>ROUND(D16*E16*(1-F16),2)</f>
        <v/>
      </c>
      <c r="H16" s="39">
        <f>ROUND(G16*'Parameters'!$B$3,2)</f>
        <v/>
      </c>
      <c r="I16" s="39">
        <f>G16+H16</f>
        <v/>
      </c>
      <c r="J16" s="39">
        <f>IF(D16=0,0,ROUND(G16/D16,2))</f>
        <v/>
      </c>
    </row>
    <row r="17">
      <c r="A17" s="23" t="inlineStr">
        <is>
          <t>SO-0015</t>
        </is>
      </c>
      <c r="B17" s="38" t="n">
        <v>46029</v>
      </c>
      <c r="C17" s="23" t="inlineStr">
        <is>
          <t>South</t>
        </is>
      </c>
      <c r="D17" s="23" t="n">
        <v>2</v>
      </c>
      <c r="E17" s="39" t="n">
        <v>234.99</v>
      </c>
      <c r="F17" s="40" t="n">
        <v>0.1</v>
      </c>
      <c r="G17" s="39">
        <f>ROUND(D17*E17*(1-F17),2)</f>
        <v/>
      </c>
      <c r="H17" s="39">
        <f>ROUND(G17*'Parameters'!$B$3,2)</f>
        <v/>
      </c>
      <c r="I17" s="39">
        <f>G17+H17</f>
        <v/>
      </c>
      <c r="J17" s="39">
        <f>IF(D17=0,0,ROUND(G17/D17,2))</f>
        <v/>
      </c>
    </row>
    <row r="18">
      <c r="A18" s="23" t="inlineStr">
        <is>
          <t>SO-0016</t>
        </is>
      </c>
      <c r="B18" s="38" t="n">
        <v>46318</v>
      </c>
      <c r="C18" s="23" t="inlineStr">
        <is>
          <t>West</t>
        </is>
      </c>
      <c r="D18" s="23" t="n">
        <v>20</v>
      </c>
      <c r="E18" s="39" t="n">
        <v>163.42</v>
      </c>
      <c r="F18" s="40" t="n">
        <v>0.05</v>
      </c>
      <c r="G18" s="39">
        <f>ROUND(D18*E18*(1-F18),2)</f>
        <v/>
      </c>
      <c r="H18" s="39">
        <f>ROUND(G18*'Parameters'!$B$3,2)</f>
        <v/>
      </c>
      <c r="I18" s="39">
        <f>G18+H18</f>
        <v/>
      </c>
      <c r="J18" s="39">
        <f>IF(D18=0,0,ROUND(G18/D18,2))</f>
        <v/>
      </c>
    </row>
    <row r="19">
      <c r="A19" s="23" t="inlineStr">
        <is>
          <t>SO-0017</t>
        </is>
      </c>
      <c r="B19" s="38" t="n">
        <v>46348</v>
      </c>
      <c r="C19" s="23" t="inlineStr">
        <is>
          <t>South</t>
        </is>
      </c>
      <c r="D19" s="23" t="n">
        <v>9</v>
      </c>
      <c r="E19" s="39" t="n">
        <v>201.31</v>
      </c>
      <c r="F19" s="40" t="n">
        <v>0.1</v>
      </c>
      <c r="G19" s="39">
        <f>ROUND(D19*E19*(1-F19),2)</f>
        <v/>
      </c>
      <c r="H19" s="39">
        <f>ROUND(G19*'Parameters'!$B$3,2)</f>
        <v/>
      </c>
      <c r="I19" s="39">
        <f>G19+H19</f>
        <v/>
      </c>
      <c r="J19" s="39">
        <f>IF(D19=0,0,ROUND(G19/D19,2))</f>
        <v/>
      </c>
    </row>
    <row r="20">
      <c r="A20" s="23" t="inlineStr">
        <is>
          <t>SO-0018</t>
        </is>
      </c>
      <c r="B20" s="38" t="n">
        <v>46159</v>
      </c>
      <c r="C20" s="23" t="inlineStr">
        <is>
          <t>South</t>
        </is>
      </c>
      <c r="D20" s="23" t="n">
        <v>15</v>
      </c>
      <c r="E20" s="39" t="n">
        <v>204.32</v>
      </c>
      <c r="F20" s="40" t="n">
        <v>0.05</v>
      </c>
      <c r="G20" s="39">
        <f>ROUND(D20*E20*(1-F20),2)</f>
        <v/>
      </c>
      <c r="H20" s="39">
        <f>ROUND(G20*'Parameters'!$B$3,2)</f>
        <v/>
      </c>
      <c r="I20" s="39">
        <f>G20+H20</f>
        <v/>
      </c>
      <c r="J20" s="39">
        <f>IF(D20=0,0,ROUND(G20/D20,2))</f>
        <v/>
      </c>
    </row>
    <row r="21">
      <c r="A21" s="23" t="inlineStr">
        <is>
          <t>SO-0019</t>
        </is>
      </c>
      <c r="B21" s="38" t="n">
        <v>46026</v>
      </c>
      <c r="C21" s="23" t="inlineStr">
        <is>
          <t>North</t>
        </is>
      </c>
      <c r="D21" s="23" t="n">
        <v>18</v>
      </c>
      <c r="E21" s="39" t="n">
        <v>121.31</v>
      </c>
      <c r="F21" s="40" t="n">
        <v>0.15</v>
      </c>
      <c r="G21" s="39">
        <f>ROUND(D21*E21*(1-F21),2)</f>
        <v/>
      </c>
      <c r="H21" s="39">
        <f>ROUND(G21*'Parameters'!$B$3,2)</f>
        <v/>
      </c>
      <c r="I21" s="39">
        <f>G21+H21</f>
        <v/>
      </c>
      <c r="J21" s="39">
        <f>IF(D21=0,0,ROUND(G21/D21,2))</f>
        <v/>
      </c>
    </row>
    <row r="22">
      <c r="A22" s="23" t="inlineStr">
        <is>
          <t>SO-0020</t>
        </is>
      </c>
      <c r="B22" s="38" t="n">
        <v>46362</v>
      </c>
      <c r="C22" s="23" t="inlineStr">
        <is>
          <t>West</t>
        </is>
      </c>
      <c r="D22" s="23" t="n">
        <v>18</v>
      </c>
      <c r="E22" s="39" t="n">
        <v>141.41</v>
      </c>
      <c r="F22" s="40" t="n">
        <v>0.05</v>
      </c>
      <c r="G22" s="39">
        <f>ROUND(D22*E22*(1-F22),2)</f>
        <v/>
      </c>
      <c r="H22" s="39">
        <f>ROUND(G22*'Parameters'!$B$3,2)</f>
        <v/>
      </c>
      <c r="I22" s="39">
        <f>G22+H22</f>
        <v/>
      </c>
      <c r="J22" s="39">
        <f>IF(D22=0,0,ROUND(G22/D22,2))</f>
        <v/>
      </c>
    </row>
    <row r="23">
      <c r="A23" s="23" t="inlineStr">
        <is>
          <t>SO-0021</t>
        </is>
      </c>
      <c r="B23" s="38" t="n">
        <v>46261</v>
      </c>
      <c r="C23" s="23" t="inlineStr">
        <is>
          <t>South</t>
        </is>
      </c>
      <c r="D23" s="23" t="n">
        <v>3</v>
      </c>
      <c r="E23" s="39" t="n">
        <v>229.43</v>
      </c>
      <c r="F23" s="40" t="n">
        <v>0.1</v>
      </c>
      <c r="G23" s="39">
        <f>ROUND(D23*E23*(1-F23),2)</f>
        <v/>
      </c>
      <c r="H23" s="39">
        <f>ROUND(G23*'Parameters'!$B$3,2)</f>
        <v/>
      </c>
      <c r="I23" s="39">
        <f>G23+H23</f>
        <v/>
      </c>
      <c r="J23" s="39">
        <f>IF(D23=0,0,ROUND(G23/D23,2))</f>
        <v/>
      </c>
    </row>
    <row r="24">
      <c r="A24" s="23" t="inlineStr">
        <is>
          <t>SO-0022</t>
        </is>
      </c>
      <c r="B24" s="38" t="n">
        <v>46129</v>
      </c>
      <c r="C24" s="23" t="inlineStr">
        <is>
          <t>South</t>
        </is>
      </c>
      <c r="D24" s="23" t="n">
        <v>13</v>
      </c>
      <c r="E24" s="39" t="n">
        <v>120.5</v>
      </c>
      <c r="F24" s="40" t="n">
        <v>0.05</v>
      </c>
      <c r="G24" s="39">
        <f>ROUND(D24*E24*(1-F24),2)</f>
        <v/>
      </c>
      <c r="H24" s="39">
        <f>ROUND(G24*'Parameters'!$B$3,2)</f>
        <v/>
      </c>
      <c r="I24" s="39">
        <f>G24+H24</f>
        <v/>
      </c>
      <c r="J24" s="39">
        <f>IF(D24=0,0,ROUND(G24/D24,2))</f>
        <v/>
      </c>
    </row>
    <row r="25">
      <c r="A25" s="23" t="inlineStr">
        <is>
          <t>SO-0023</t>
        </is>
      </c>
      <c r="B25" s="38" t="n">
        <v>46092</v>
      </c>
      <c r="C25" s="23" t="inlineStr">
        <is>
          <t>West</t>
        </is>
      </c>
      <c r="D25" s="23" t="n">
        <v>9</v>
      </c>
      <c r="E25" s="39" t="n">
        <v>184.18</v>
      </c>
      <c r="F25" s="40" t="n">
        <v>0.05</v>
      </c>
      <c r="G25" s="39">
        <f>ROUND(D25*E25*(1-F25),2)</f>
        <v/>
      </c>
      <c r="H25" s="39">
        <f>ROUND(G25*'Parameters'!$B$3,2)</f>
        <v/>
      </c>
      <c r="I25" s="39">
        <f>G25+H25</f>
        <v/>
      </c>
      <c r="J25" s="39">
        <f>IF(D25=0,0,ROUND(G25/D25,2))</f>
        <v/>
      </c>
    </row>
    <row r="26">
      <c r="A26" s="23" t="inlineStr">
        <is>
          <t>SO-0024</t>
        </is>
      </c>
      <c r="B26" s="38" t="n">
        <v>46160</v>
      </c>
      <c r="C26" s="23" t="inlineStr">
        <is>
          <t>North</t>
        </is>
      </c>
      <c r="D26" s="23" t="n">
        <v>18</v>
      </c>
      <c r="E26" s="39" t="n">
        <v>246.61</v>
      </c>
      <c r="F26" s="40" t="n">
        <v>0</v>
      </c>
      <c r="G26" s="39">
        <f>ROUND(D26*E26*(1-F26),2)</f>
        <v/>
      </c>
      <c r="H26" s="39">
        <f>ROUND(G26*'Parameters'!$B$3,2)</f>
        <v/>
      </c>
      <c r="I26" s="39">
        <f>G26+H26</f>
        <v/>
      </c>
      <c r="J26" s="39">
        <f>IF(D26=0,0,ROUND(G26/D26,2))</f>
        <v/>
      </c>
    </row>
    <row r="27">
      <c r="A27" s="23" t="inlineStr">
        <is>
          <t>SO-0025</t>
        </is>
      </c>
      <c r="B27" s="38" t="n">
        <v>46313</v>
      </c>
      <c r="C27" s="23" t="inlineStr">
        <is>
          <t>North</t>
        </is>
      </c>
      <c r="D27" s="23" t="n">
        <v>18</v>
      </c>
      <c r="E27" s="39" t="n">
        <v>211.94</v>
      </c>
      <c r="F27" s="40" t="n">
        <v>0.1</v>
      </c>
      <c r="G27" s="39">
        <f>ROUND(D27*E27*(1-F27),2)</f>
        <v/>
      </c>
      <c r="H27" s="39">
        <f>ROUND(G27*'Parameters'!$B$3,2)</f>
        <v/>
      </c>
      <c r="I27" s="39">
        <f>G27+H27</f>
        <v/>
      </c>
      <c r="J27" s="39">
        <f>IF(D27=0,0,ROUND(G27/D27,2))</f>
        <v/>
      </c>
    </row>
    <row r="28">
      <c r="A28" s="23" t="inlineStr">
        <is>
          <t>SO-0026</t>
        </is>
      </c>
      <c r="B28" s="38" t="n">
        <v>46130</v>
      </c>
      <c r="C28" s="23" t="inlineStr">
        <is>
          <t>North</t>
        </is>
      </c>
      <c r="D28" s="23" t="n">
        <v>11</v>
      </c>
      <c r="E28" s="39" t="n">
        <v>92.69</v>
      </c>
      <c r="F28" s="40" t="n">
        <v>0.05</v>
      </c>
      <c r="G28" s="39">
        <f>ROUND(D28*E28*(1-F28),2)</f>
        <v/>
      </c>
      <c r="H28" s="39">
        <f>ROUND(G28*'Parameters'!$B$3,2)</f>
        <v/>
      </c>
      <c r="I28" s="39">
        <f>G28+H28</f>
        <v/>
      </c>
      <c r="J28" s="39">
        <f>IF(D28=0,0,ROUND(G28/D28,2))</f>
        <v/>
      </c>
    </row>
    <row r="29">
      <c r="A29" s="23" t="inlineStr">
        <is>
          <t>SO-0027</t>
        </is>
      </c>
      <c r="B29" s="38" t="n">
        <v>46225</v>
      </c>
      <c r="C29" s="23" t="inlineStr">
        <is>
          <t>West</t>
        </is>
      </c>
      <c r="D29" s="23" t="n">
        <v>4</v>
      </c>
      <c r="E29" s="39" t="n">
        <v>98.73999999999999</v>
      </c>
      <c r="F29" s="40" t="n">
        <v>0.05</v>
      </c>
      <c r="G29" s="39">
        <f>ROUND(D29*E29*(1-F29),2)</f>
        <v/>
      </c>
      <c r="H29" s="39">
        <f>ROUND(G29*'Parameters'!$B$3,2)</f>
        <v/>
      </c>
      <c r="I29" s="39">
        <f>G29+H29</f>
        <v/>
      </c>
      <c r="J29" s="39">
        <f>IF(D29=0,0,ROUND(G29/D29,2))</f>
        <v/>
      </c>
    </row>
    <row r="30">
      <c r="A30" s="23" t="inlineStr">
        <is>
          <t>SO-0028</t>
        </is>
      </c>
      <c r="B30" s="38" t="n">
        <v>46206</v>
      </c>
      <c r="C30" s="23" t="inlineStr">
        <is>
          <t>East</t>
        </is>
      </c>
      <c r="D30" s="23" t="n">
        <v>13</v>
      </c>
      <c r="E30" s="39" t="n">
        <v>55.01</v>
      </c>
      <c r="F30" s="40" t="n">
        <v>0.1</v>
      </c>
      <c r="G30" s="39">
        <f>ROUND(D30*E30*(1-F30),2)</f>
        <v/>
      </c>
      <c r="H30" s="39">
        <f>ROUND(G30*'Parameters'!$B$3,2)</f>
        <v/>
      </c>
      <c r="I30" s="39">
        <f>G30+H30</f>
        <v/>
      </c>
      <c r="J30" s="39">
        <f>IF(D30=0,0,ROUND(G30/D30,2))</f>
        <v/>
      </c>
    </row>
    <row r="31">
      <c r="A31" s="23" t="inlineStr">
        <is>
          <t>SO-0029</t>
        </is>
      </c>
      <c r="B31" s="38" t="n">
        <v>46258</v>
      </c>
      <c r="C31" s="23" t="inlineStr">
        <is>
          <t>East</t>
        </is>
      </c>
      <c r="D31" s="23" t="n">
        <v>1</v>
      </c>
      <c r="E31" s="39" t="n">
        <v>118</v>
      </c>
      <c r="F31" s="40" t="n">
        <v>0.1</v>
      </c>
      <c r="G31" s="39">
        <f>ROUND(D31*E31*(1-F31),2)</f>
        <v/>
      </c>
      <c r="H31" s="39">
        <f>ROUND(G31*'Parameters'!$B$3,2)</f>
        <v/>
      </c>
      <c r="I31" s="39">
        <f>G31+H31</f>
        <v/>
      </c>
      <c r="J31" s="39">
        <f>IF(D31=0,0,ROUND(G31/D31,2))</f>
        <v/>
      </c>
    </row>
    <row r="32">
      <c r="A32" s="23" t="inlineStr">
        <is>
          <t>SO-0030</t>
        </is>
      </c>
      <c r="B32" s="38" t="n">
        <v>46039</v>
      </c>
      <c r="C32" s="23" t="inlineStr">
        <is>
          <t>East</t>
        </is>
      </c>
      <c r="D32" s="23" t="n">
        <v>12</v>
      </c>
      <c r="E32" s="39" t="n">
        <v>165.66</v>
      </c>
      <c r="F32" s="40" t="n">
        <v>0</v>
      </c>
      <c r="G32" s="39">
        <f>ROUND(D32*E32*(1-F32),2)</f>
        <v/>
      </c>
      <c r="H32" s="39">
        <f>ROUND(G32*'Parameters'!$B$3,2)</f>
        <v/>
      </c>
      <c r="I32" s="39">
        <f>G32+H32</f>
        <v/>
      </c>
      <c r="J32" s="39">
        <f>IF(D32=0,0,ROUND(G32/D32,2))</f>
        <v/>
      </c>
    </row>
    <row r="33">
      <c r="A33" s="23" t="inlineStr">
        <is>
          <t>SO-0031</t>
        </is>
      </c>
      <c r="B33" s="38" t="n">
        <v>46029</v>
      </c>
      <c r="C33" s="23" t="inlineStr">
        <is>
          <t>South</t>
        </is>
      </c>
      <c r="D33" s="23" t="n">
        <v>7</v>
      </c>
      <c r="E33" s="39" t="n">
        <v>243.03</v>
      </c>
      <c r="F33" s="40" t="n">
        <v>0.1</v>
      </c>
      <c r="G33" s="39">
        <f>ROUND(D33*E33*(1-F33),2)</f>
        <v/>
      </c>
      <c r="H33" s="39">
        <f>ROUND(G33*'Parameters'!$B$3,2)</f>
        <v/>
      </c>
      <c r="I33" s="39">
        <f>G33+H33</f>
        <v/>
      </c>
      <c r="J33" s="39">
        <f>IF(D33=0,0,ROUND(G33/D33,2))</f>
        <v/>
      </c>
    </row>
    <row r="34">
      <c r="A34" s="23" t="inlineStr">
        <is>
          <t>SO-0032</t>
        </is>
      </c>
      <c r="B34" s="38" t="n">
        <v>46220</v>
      </c>
      <c r="C34" s="23" t="inlineStr">
        <is>
          <t>North</t>
        </is>
      </c>
      <c r="D34" s="23" t="n">
        <v>6</v>
      </c>
      <c r="E34" s="39" t="n">
        <v>131.9</v>
      </c>
      <c r="F34" s="40" t="n">
        <v>0.05</v>
      </c>
      <c r="G34" s="39">
        <f>ROUND(D34*E34*(1-F34),2)</f>
        <v/>
      </c>
      <c r="H34" s="39">
        <f>ROUND(G34*'Parameters'!$B$3,2)</f>
        <v/>
      </c>
      <c r="I34" s="39">
        <f>G34+H34</f>
        <v/>
      </c>
      <c r="J34" s="39">
        <f>IF(D34=0,0,ROUND(G34/D34,2))</f>
        <v/>
      </c>
    </row>
    <row r="35">
      <c r="A35" s="23" t="inlineStr">
        <is>
          <t>SO-0033</t>
        </is>
      </c>
      <c r="B35" s="38" t="n">
        <v>46075</v>
      </c>
      <c r="C35" s="23" t="inlineStr">
        <is>
          <t>West</t>
        </is>
      </c>
      <c r="D35" s="23" t="n">
        <v>14</v>
      </c>
      <c r="E35" s="39" t="n">
        <v>227.88</v>
      </c>
      <c r="F35" s="40" t="n">
        <v>0.05</v>
      </c>
      <c r="G35" s="39">
        <f>ROUND(D35*E35*(1-F35),2)</f>
        <v/>
      </c>
      <c r="H35" s="39">
        <f>ROUND(G35*'Parameters'!$B$3,2)</f>
        <v/>
      </c>
      <c r="I35" s="39">
        <f>G35+H35</f>
        <v/>
      </c>
      <c r="J35" s="39">
        <f>IF(D35=0,0,ROUND(G35/D35,2))</f>
        <v/>
      </c>
    </row>
    <row r="36">
      <c r="A36" s="23" t="inlineStr">
        <is>
          <t>SO-0034</t>
        </is>
      </c>
      <c r="B36" s="38" t="n">
        <v>46346</v>
      </c>
      <c r="C36" s="23" t="inlineStr">
        <is>
          <t>South</t>
        </is>
      </c>
      <c r="D36" s="23" t="n">
        <v>16</v>
      </c>
      <c r="E36" s="39" t="n">
        <v>18.99</v>
      </c>
      <c r="F36" s="40" t="n">
        <v>0.05</v>
      </c>
      <c r="G36" s="39">
        <f>ROUND(D36*E36*(1-F36),2)</f>
        <v/>
      </c>
      <c r="H36" s="39">
        <f>ROUND(G36*'Parameters'!$B$3,2)</f>
        <v/>
      </c>
      <c r="I36" s="39">
        <f>G36+H36</f>
        <v/>
      </c>
      <c r="J36" s="39">
        <f>IF(D36=0,0,ROUND(G36/D36,2))</f>
        <v/>
      </c>
    </row>
    <row r="37">
      <c r="A37" s="23" t="inlineStr">
        <is>
          <t>SO-0035</t>
        </is>
      </c>
      <c r="B37" s="38" t="n">
        <v>46075</v>
      </c>
      <c r="C37" s="23" t="inlineStr">
        <is>
          <t>North</t>
        </is>
      </c>
      <c r="D37" s="23" t="n">
        <v>14</v>
      </c>
      <c r="E37" s="39" t="n">
        <v>165.72</v>
      </c>
      <c r="F37" s="40" t="n">
        <v>0</v>
      </c>
      <c r="G37" s="39">
        <f>ROUND(D37*E37*(1-F37),2)</f>
        <v/>
      </c>
      <c r="H37" s="39">
        <f>ROUND(G37*'Parameters'!$B$3,2)</f>
        <v/>
      </c>
      <c r="I37" s="39">
        <f>G37+H37</f>
        <v/>
      </c>
      <c r="J37" s="39">
        <f>IF(D37=0,0,ROUND(G37/D37,2))</f>
        <v/>
      </c>
    </row>
    <row r="38">
      <c r="A38" s="23" t="inlineStr">
        <is>
          <t>SO-0036</t>
        </is>
      </c>
      <c r="B38" s="38" t="n">
        <v>46247</v>
      </c>
      <c r="C38" s="23" t="inlineStr">
        <is>
          <t>West</t>
        </is>
      </c>
      <c r="D38" s="23" t="n">
        <v>20</v>
      </c>
      <c r="E38" s="39" t="n">
        <v>159.91</v>
      </c>
      <c r="F38" s="40" t="n">
        <v>0.05</v>
      </c>
      <c r="G38" s="39">
        <f>ROUND(D38*E38*(1-F38),2)</f>
        <v/>
      </c>
      <c r="H38" s="39">
        <f>ROUND(G38*'Parameters'!$B$3,2)</f>
        <v/>
      </c>
      <c r="I38" s="39">
        <f>G38+H38</f>
        <v/>
      </c>
      <c r="J38" s="39">
        <f>IF(D38=0,0,ROUND(G38/D38,2))</f>
        <v/>
      </c>
    </row>
    <row r="39">
      <c r="A39" s="23" t="inlineStr">
        <is>
          <t>SO-0037</t>
        </is>
      </c>
      <c r="B39" s="38" t="n">
        <v>46345</v>
      </c>
      <c r="C39" s="23" t="inlineStr">
        <is>
          <t>East</t>
        </is>
      </c>
      <c r="D39" s="23" t="n">
        <v>2</v>
      </c>
      <c r="E39" s="39" t="n">
        <v>135.27</v>
      </c>
      <c r="F39" s="40" t="n">
        <v>0.05</v>
      </c>
      <c r="G39" s="39">
        <f>ROUND(D39*E39*(1-F39),2)</f>
        <v/>
      </c>
      <c r="H39" s="39">
        <f>ROUND(G39*'Parameters'!$B$3,2)</f>
        <v/>
      </c>
      <c r="I39" s="39">
        <f>G39+H39</f>
        <v/>
      </c>
      <c r="J39" s="39">
        <f>IF(D39=0,0,ROUND(G39/D39,2))</f>
        <v/>
      </c>
    </row>
    <row r="40">
      <c r="A40" s="23" t="inlineStr">
        <is>
          <t>SO-0038</t>
        </is>
      </c>
      <c r="B40" s="38" t="n">
        <v>46073</v>
      </c>
      <c r="C40" s="23" t="inlineStr">
        <is>
          <t>North</t>
        </is>
      </c>
      <c r="D40" s="23" t="n">
        <v>14</v>
      </c>
      <c r="E40" s="39" t="n">
        <v>246.96</v>
      </c>
      <c r="F40" s="40" t="n">
        <v>0</v>
      </c>
      <c r="G40" s="39">
        <f>ROUND(D40*E40*(1-F40),2)</f>
        <v/>
      </c>
      <c r="H40" s="39">
        <f>ROUND(G40*'Parameters'!$B$3,2)</f>
        <v/>
      </c>
      <c r="I40" s="39">
        <f>G40+H40</f>
        <v/>
      </c>
      <c r="J40" s="39">
        <f>IF(D40=0,0,ROUND(G40/D40,2))</f>
        <v/>
      </c>
    </row>
    <row r="41">
      <c r="A41" s="23" t="inlineStr">
        <is>
          <t>SO-0039</t>
        </is>
      </c>
      <c r="B41" s="38" t="n">
        <v>46071</v>
      </c>
      <c r="C41" s="23" t="inlineStr">
        <is>
          <t>South</t>
        </is>
      </c>
      <c r="D41" s="23" t="n">
        <v>13</v>
      </c>
      <c r="E41" s="39" t="n">
        <v>151.29</v>
      </c>
      <c r="F41" s="40" t="n">
        <v>0.1</v>
      </c>
      <c r="G41" s="39">
        <f>ROUND(D41*E41*(1-F41),2)</f>
        <v/>
      </c>
      <c r="H41" s="39">
        <f>ROUND(G41*'Parameters'!$B$3,2)</f>
        <v/>
      </c>
      <c r="I41" s="39">
        <f>G41+H41</f>
        <v/>
      </c>
      <c r="J41" s="39">
        <f>IF(D41=0,0,ROUND(G41/D41,2))</f>
        <v/>
      </c>
    </row>
    <row r="42">
      <c r="A42" s="23" t="inlineStr">
        <is>
          <t>SO-0040</t>
        </is>
      </c>
      <c r="B42" s="38" t="n">
        <v>46343</v>
      </c>
      <c r="C42" s="23" t="inlineStr">
        <is>
          <t>West</t>
        </is>
      </c>
      <c r="D42" s="23" t="n">
        <v>17</v>
      </c>
      <c r="E42" s="39" t="n">
        <v>224.79</v>
      </c>
      <c r="F42" s="40" t="n">
        <v>0.05</v>
      </c>
      <c r="G42" s="39">
        <f>ROUND(D42*E42*(1-F42),2)</f>
        <v/>
      </c>
      <c r="H42" s="39">
        <f>ROUND(G42*'Parameters'!$B$3,2)</f>
        <v/>
      </c>
      <c r="I42" s="39">
        <f>G42+H42</f>
        <v/>
      </c>
      <c r="J42" s="39">
        <f>IF(D42=0,0,ROUND(G42/D42,2))</f>
        <v/>
      </c>
    </row>
    <row r="43">
      <c r="A43" s="23" t="inlineStr">
        <is>
          <t>SO-0041</t>
        </is>
      </c>
      <c r="B43" s="38" t="n">
        <v>46302</v>
      </c>
      <c r="C43" s="23" t="inlineStr">
        <is>
          <t>North</t>
        </is>
      </c>
      <c r="D43" s="23" t="n">
        <v>16</v>
      </c>
      <c r="E43" s="39" t="n">
        <v>126.99</v>
      </c>
      <c r="F43" s="40" t="n">
        <v>0.1</v>
      </c>
      <c r="G43" s="39">
        <f>ROUND(D43*E43*(1-F43),2)</f>
        <v/>
      </c>
      <c r="H43" s="39">
        <f>ROUND(G43*'Parameters'!$B$3,2)</f>
        <v/>
      </c>
      <c r="I43" s="39">
        <f>G43+H43</f>
        <v/>
      </c>
      <c r="J43" s="39">
        <f>IF(D43=0,0,ROUND(G43/D43,2))</f>
        <v/>
      </c>
    </row>
    <row r="44">
      <c r="A44" s="23" t="inlineStr">
        <is>
          <t>SO-0042</t>
        </is>
      </c>
      <c r="B44" s="38" t="n">
        <v>46245</v>
      </c>
      <c r="C44" s="23" t="inlineStr">
        <is>
          <t>North</t>
        </is>
      </c>
      <c r="D44" s="23" t="n">
        <v>4</v>
      </c>
      <c r="E44" s="39" t="n">
        <v>122.66</v>
      </c>
      <c r="F44" s="40" t="n">
        <v>0.1</v>
      </c>
      <c r="G44" s="39">
        <f>ROUND(D44*E44*(1-F44),2)</f>
        <v/>
      </c>
      <c r="H44" s="39">
        <f>ROUND(G44*'Parameters'!$B$3,2)</f>
        <v/>
      </c>
      <c r="I44" s="39">
        <f>G44+H44</f>
        <v/>
      </c>
      <c r="J44" s="39">
        <f>IF(D44=0,0,ROUND(G44/D44,2))</f>
        <v/>
      </c>
    </row>
    <row r="45">
      <c r="A45" s="23" t="inlineStr">
        <is>
          <t>SO-0043</t>
        </is>
      </c>
      <c r="B45" s="38" t="n">
        <v>46127</v>
      </c>
      <c r="C45" s="23" t="inlineStr">
        <is>
          <t>South</t>
        </is>
      </c>
      <c r="D45" s="23" t="n">
        <v>14</v>
      </c>
      <c r="E45" s="39" t="n">
        <v>62.92</v>
      </c>
      <c r="F45" s="40" t="n">
        <v>0.05</v>
      </c>
      <c r="G45" s="39">
        <f>ROUND(D45*E45*(1-F45),2)</f>
        <v/>
      </c>
      <c r="H45" s="39">
        <f>ROUND(G45*'Parameters'!$B$3,2)</f>
        <v/>
      </c>
      <c r="I45" s="39">
        <f>G45+H45</f>
        <v/>
      </c>
      <c r="J45" s="39">
        <f>IF(D45=0,0,ROUND(G45/D45,2))</f>
        <v/>
      </c>
    </row>
    <row r="46">
      <c r="A46" s="23" t="inlineStr">
        <is>
          <t>SO-0044</t>
        </is>
      </c>
      <c r="B46" s="38" t="n">
        <v>46214</v>
      </c>
      <c r="C46" s="23" t="inlineStr">
        <is>
          <t>East</t>
        </is>
      </c>
      <c r="D46" s="23" t="n">
        <v>19</v>
      </c>
      <c r="E46" s="39" t="n">
        <v>172.48</v>
      </c>
      <c r="F46" s="40" t="n">
        <v>0.1</v>
      </c>
      <c r="G46" s="39">
        <f>ROUND(D46*E46*(1-F46),2)</f>
        <v/>
      </c>
      <c r="H46" s="39">
        <f>ROUND(G46*'Parameters'!$B$3,2)</f>
        <v/>
      </c>
      <c r="I46" s="39">
        <f>G46+H46</f>
        <v/>
      </c>
      <c r="J46" s="39">
        <f>IF(D46=0,0,ROUND(G46/D46,2))</f>
        <v/>
      </c>
    </row>
    <row r="47">
      <c r="A47" s="23" t="inlineStr">
        <is>
          <t>SO-0045</t>
        </is>
      </c>
      <c r="B47" s="38" t="n">
        <v>46315</v>
      </c>
      <c r="C47" s="23" t="inlineStr">
        <is>
          <t>East</t>
        </is>
      </c>
      <c r="D47" s="23" t="n">
        <v>6</v>
      </c>
      <c r="E47" s="39" t="n">
        <v>174.34</v>
      </c>
      <c r="F47" s="40" t="n">
        <v>0.1</v>
      </c>
      <c r="G47" s="39">
        <f>ROUND(D47*E47*(1-F47),2)</f>
        <v/>
      </c>
      <c r="H47" s="39">
        <f>ROUND(G47*'Parameters'!$B$3,2)</f>
        <v/>
      </c>
      <c r="I47" s="39">
        <f>G47+H47</f>
        <v/>
      </c>
      <c r="J47" s="39">
        <f>IF(D47=0,0,ROUND(G47/D47,2))</f>
        <v/>
      </c>
    </row>
    <row r="48">
      <c r="A48" s="23" t="inlineStr">
        <is>
          <t>SO-0046</t>
        </is>
      </c>
      <c r="B48" s="38" t="n">
        <v>46134</v>
      </c>
      <c r="C48" s="23" t="inlineStr">
        <is>
          <t>North</t>
        </is>
      </c>
      <c r="D48" s="23" t="n">
        <v>3</v>
      </c>
      <c r="E48" s="39" t="n">
        <v>176.2</v>
      </c>
      <c r="F48" s="40" t="n">
        <v>0.1</v>
      </c>
      <c r="G48" s="39">
        <f>ROUND(D48*E48*(1-F48),2)</f>
        <v/>
      </c>
      <c r="H48" s="39">
        <f>ROUND(G48*'Parameters'!$B$3,2)</f>
        <v/>
      </c>
      <c r="I48" s="39">
        <f>G48+H48</f>
        <v/>
      </c>
      <c r="J48" s="39">
        <f>IF(D48=0,0,ROUND(G48/D48,2))</f>
        <v/>
      </c>
    </row>
    <row r="49">
      <c r="A49" s="23" t="inlineStr">
        <is>
          <t>SO-0047</t>
        </is>
      </c>
      <c r="B49" s="38" t="n">
        <v>46146</v>
      </c>
      <c r="C49" s="23" t="inlineStr">
        <is>
          <t>West</t>
        </is>
      </c>
      <c r="D49" s="23" t="n">
        <v>14</v>
      </c>
      <c r="E49" s="39" t="n">
        <v>172.65</v>
      </c>
      <c r="F49" s="40" t="n">
        <v>0.15</v>
      </c>
      <c r="G49" s="39">
        <f>ROUND(D49*E49*(1-F49),2)</f>
        <v/>
      </c>
      <c r="H49" s="39">
        <f>ROUND(G49*'Parameters'!$B$3,2)</f>
        <v/>
      </c>
      <c r="I49" s="39">
        <f>G49+H49</f>
        <v/>
      </c>
      <c r="J49" s="39">
        <f>IF(D49=0,0,ROUND(G49/D49,2))</f>
        <v/>
      </c>
    </row>
    <row r="50">
      <c r="A50" s="23" t="inlineStr">
        <is>
          <t>SO-0048</t>
        </is>
      </c>
      <c r="B50" s="38" t="n">
        <v>46220</v>
      </c>
      <c r="C50" s="23" t="inlineStr">
        <is>
          <t>West</t>
        </is>
      </c>
      <c r="D50" s="23" t="n">
        <v>18</v>
      </c>
      <c r="E50" s="39" t="n">
        <v>63.94</v>
      </c>
      <c r="F50" s="40" t="n">
        <v>0</v>
      </c>
      <c r="G50" s="39">
        <f>ROUND(D50*E50*(1-F50),2)</f>
        <v/>
      </c>
      <c r="H50" s="39">
        <f>ROUND(G50*'Parameters'!$B$3,2)</f>
        <v/>
      </c>
      <c r="I50" s="39">
        <f>G50+H50</f>
        <v/>
      </c>
      <c r="J50" s="39">
        <f>IF(D50=0,0,ROUND(G50/D50,2))</f>
        <v/>
      </c>
    </row>
    <row r="51">
      <c r="A51" s="23" t="inlineStr">
        <is>
          <t>SO-0049</t>
        </is>
      </c>
      <c r="B51" s="38" t="n">
        <v>46114</v>
      </c>
      <c r="C51" s="23" t="inlineStr">
        <is>
          <t>North</t>
        </is>
      </c>
      <c r="D51" s="23" t="n">
        <v>19</v>
      </c>
      <c r="E51" s="39" t="n">
        <v>170.92</v>
      </c>
      <c r="F51" s="40" t="n">
        <v>0.15</v>
      </c>
      <c r="G51" s="39">
        <f>ROUND(D51*E51*(1-F51),2)</f>
        <v/>
      </c>
      <c r="H51" s="39">
        <f>ROUND(G51*'Parameters'!$B$3,2)</f>
        <v/>
      </c>
      <c r="I51" s="39">
        <f>G51+H51</f>
        <v/>
      </c>
      <c r="J51" s="39">
        <f>IF(D51=0,0,ROUND(G51/D51,2))</f>
        <v/>
      </c>
    </row>
    <row r="52">
      <c r="A52" s="23" t="inlineStr">
        <is>
          <t>SO-0050</t>
        </is>
      </c>
      <c r="B52" s="38" t="n">
        <v>46058</v>
      </c>
      <c r="C52" s="23" t="inlineStr">
        <is>
          <t>East</t>
        </is>
      </c>
      <c r="D52" s="23" t="n">
        <v>5</v>
      </c>
      <c r="E52" s="39" t="n">
        <v>27.72</v>
      </c>
      <c r="F52" s="40" t="n">
        <v>0.15</v>
      </c>
      <c r="G52" s="39">
        <f>ROUND(D52*E52*(1-F52),2)</f>
        <v/>
      </c>
      <c r="H52" s="39">
        <f>ROUND(G52*'Parameters'!$B$3,2)</f>
        <v/>
      </c>
      <c r="I52" s="39">
        <f>G52+H52</f>
        <v/>
      </c>
      <c r="J52" s="39">
        <f>IF(D52=0,0,ROUND(G52/D52,2))</f>
        <v/>
      </c>
    </row>
    <row r="53">
      <c r="A53" s="23" t="inlineStr">
        <is>
          <t>SO-0051</t>
        </is>
      </c>
      <c r="B53" s="38" t="n">
        <v>46079</v>
      </c>
      <c r="C53" s="23" t="inlineStr">
        <is>
          <t>East</t>
        </is>
      </c>
      <c r="D53" s="23" t="n">
        <v>6</v>
      </c>
      <c r="E53" s="39" t="n">
        <v>85.45999999999999</v>
      </c>
      <c r="F53" s="40" t="n">
        <v>0.15</v>
      </c>
      <c r="G53" s="39">
        <f>ROUND(D53*E53*(1-F53),2)</f>
        <v/>
      </c>
      <c r="H53" s="39">
        <f>ROUND(G53*'Parameters'!$B$3,2)</f>
        <v/>
      </c>
      <c r="I53" s="39">
        <f>G53+H53</f>
        <v/>
      </c>
      <c r="J53" s="39">
        <f>IF(D53=0,0,ROUND(G53/D53,2))</f>
        <v/>
      </c>
    </row>
    <row r="54">
      <c r="A54" s="23" t="inlineStr">
        <is>
          <t>SO-0052</t>
        </is>
      </c>
      <c r="B54" s="38" t="n">
        <v>46036</v>
      </c>
      <c r="C54" s="23" t="inlineStr">
        <is>
          <t>South</t>
        </is>
      </c>
      <c r="D54" s="23" t="n">
        <v>6</v>
      </c>
      <c r="E54" s="39" t="n">
        <v>126.42</v>
      </c>
      <c r="F54" s="40" t="n">
        <v>0</v>
      </c>
      <c r="G54" s="39">
        <f>ROUND(D54*E54*(1-F54),2)</f>
        <v/>
      </c>
      <c r="H54" s="39">
        <f>ROUND(G54*'Parameters'!$B$3,2)</f>
        <v/>
      </c>
      <c r="I54" s="39">
        <f>G54+H54</f>
        <v/>
      </c>
      <c r="J54" s="39">
        <f>IF(D54=0,0,ROUND(G54/D54,2))</f>
        <v/>
      </c>
    </row>
    <row r="55">
      <c r="A55" s="23" t="inlineStr">
        <is>
          <t>SO-0053</t>
        </is>
      </c>
      <c r="B55" s="38" t="n">
        <v>46128</v>
      </c>
      <c r="C55" s="23" t="inlineStr">
        <is>
          <t>South</t>
        </is>
      </c>
      <c r="D55" s="23" t="n">
        <v>8</v>
      </c>
      <c r="E55" s="39" t="n">
        <v>233.84</v>
      </c>
      <c r="F55" s="40" t="n">
        <v>0.15</v>
      </c>
      <c r="G55" s="39">
        <f>ROUND(D55*E55*(1-F55),2)</f>
        <v/>
      </c>
      <c r="H55" s="39">
        <f>ROUND(G55*'Parameters'!$B$3,2)</f>
        <v/>
      </c>
      <c r="I55" s="39">
        <f>G55+H55</f>
        <v/>
      </c>
      <c r="J55" s="39">
        <f>IF(D55=0,0,ROUND(G55/D55,2))</f>
        <v/>
      </c>
    </row>
    <row r="56">
      <c r="A56" s="23" t="inlineStr">
        <is>
          <t>SO-0054</t>
        </is>
      </c>
      <c r="B56" s="38" t="n">
        <v>46346</v>
      </c>
      <c r="C56" s="23" t="inlineStr">
        <is>
          <t>East</t>
        </is>
      </c>
      <c r="D56" s="23" t="n">
        <v>7</v>
      </c>
      <c r="E56" s="39" t="n">
        <v>246.54</v>
      </c>
      <c r="F56" s="40" t="n">
        <v>0</v>
      </c>
      <c r="G56" s="39">
        <f>ROUND(D56*E56*(1-F56),2)</f>
        <v/>
      </c>
      <c r="H56" s="39">
        <f>ROUND(G56*'Parameters'!$B$3,2)</f>
        <v/>
      </c>
      <c r="I56" s="39">
        <f>G56+H56</f>
        <v/>
      </c>
      <c r="J56" s="39">
        <f>IF(D56=0,0,ROUND(G56/D56,2))</f>
        <v/>
      </c>
    </row>
    <row r="57">
      <c r="A57" s="23" t="inlineStr">
        <is>
          <t>SO-0055</t>
        </is>
      </c>
      <c r="B57" s="38" t="n">
        <v>46240</v>
      </c>
      <c r="C57" s="23" t="inlineStr">
        <is>
          <t>South</t>
        </is>
      </c>
      <c r="D57" s="23" t="n">
        <v>15</v>
      </c>
      <c r="E57" s="39" t="n">
        <v>170.32</v>
      </c>
      <c r="F57" s="40" t="n">
        <v>0.05</v>
      </c>
      <c r="G57" s="39">
        <f>ROUND(D57*E57*(1-F57),2)</f>
        <v/>
      </c>
      <c r="H57" s="39">
        <f>ROUND(G57*'Parameters'!$B$3,2)</f>
        <v/>
      </c>
      <c r="I57" s="39">
        <f>G57+H57</f>
        <v/>
      </c>
      <c r="J57" s="39">
        <f>IF(D57=0,0,ROUND(G57/D57,2))</f>
        <v/>
      </c>
    </row>
    <row r="58">
      <c r="A58" s="23" t="inlineStr">
        <is>
          <t>SO-0056</t>
        </is>
      </c>
      <c r="B58" s="38" t="n">
        <v>46245</v>
      </c>
      <c r="C58" s="23" t="inlineStr">
        <is>
          <t>South</t>
        </is>
      </c>
      <c r="D58" s="23" t="n">
        <v>4</v>
      </c>
      <c r="E58" s="39" t="n">
        <v>112.27</v>
      </c>
      <c r="F58" s="40" t="n">
        <v>0.15</v>
      </c>
      <c r="G58" s="39">
        <f>ROUND(D58*E58*(1-F58),2)</f>
        <v/>
      </c>
      <c r="H58" s="39">
        <f>ROUND(G58*'Parameters'!$B$3,2)</f>
        <v/>
      </c>
      <c r="I58" s="39">
        <f>G58+H58</f>
        <v/>
      </c>
      <c r="J58" s="39">
        <f>IF(D58=0,0,ROUND(G58/D58,2))</f>
        <v/>
      </c>
    </row>
    <row r="59">
      <c r="A59" s="23" t="inlineStr">
        <is>
          <t>SO-0057</t>
        </is>
      </c>
      <c r="B59" s="38" t="n">
        <v>46342</v>
      </c>
      <c r="C59" s="23" t="inlineStr">
        <is>
          <t>East</t>
        </is>
      </c>
      <c r="D59" s="23" t="n">
        <v>12</v>
      </c>
      <c r="E59" s="39" t="n">
        <v>123.53</v>
      </c>
      <c r="F59" s="40" t="n">
        <v>0.05</v>
      </c>
      <c r="G59" s="39">
        <f>ROUND(D59*E59*(1-F59),2)</f>
        <v/>
      </c>
      <c r="H59" s="39">
        <f>ROUND(G59*'Parameters'!$B$3,2)</f>
        <v/>
      </c>
      <c r="I59" s="39">
        <f>G59+H59</f>
        <v/>
      </c>
      <c r="J59" s="39">
        <f>IF(D59=0,0,ROUND(G59/D59,2))</f>
        <v/>
      </c>
    </row>
    <row r="60">
      <c r="A60" s="23" t="inlineStr">
        <is>
          <t>SO-0058</t>
        </is>
      </c>
      <c r="B60" s="38" t="n">
        <v>46375</v>
      </c>
      <c r="C60" s="23" t="inlineStr">
        <is>
          <t>North</t>
        </is>
      </c>
      <c r="D60" s="23" t="n">
        <v>12</v>
      </c>
      <c r="E60" s="39" t="n">
        <v>198.32</v>
      </c>
      <c r="F60" s="40" t="n">
        <v>0.05</v>
      </c>
      <c r="G60" s="39">
        <f>ROUND(D60*E60*(1-F60),2)</f>
        <v/>
      </c>
      <c r="H60" s="39">
        <f>ROUND(G60*'Parameters'!$B$3,2)</f>
        <v/>
      </c>
      <c r="I60" s="39">
        <f>G60+H60</f>
        <v/>
      </c>
      <c r="J60" s="39">
        <f>IF(D60=0,0,ROUND(G60/D60,2))</f>
        <v/>
      </c>
    </row>
    <row r="61">
      <c r="A61" s="23" t="inlineStr">
        <is>
          <t>SO-0059</t>
        </is>
      </c>
      <c r="B61" s="38" t="n">
        <v>46117</v>
      </c>
      <c r="C61" s="23" t="inlineStr">
        <is>
          <t>East</t>
        </is>
      </c>
      <c r="D61" s="23" t="n">
        <v>15</v>
      </c>
      <c r="E61" s="39" t="n">
        <v>26.08</v>
      </c>
      <c r="F61" s="40" t="n">
        <v>0.15</v>
      </c>
      <c r="G61" s="39">
        <f>ROUND(D61*E61*(1-F61),2)</f>
        <v/>
      </c>
      <c r="H61" s="39">
        <f>ROUND(G61*'Parameters'!$B$3,2)</f>
        <v/>
      </c>
      <c r="I61" s="39">
        <f>G61+H61</f>
        <v/>
      </c>
      <c r="J61" s="39">
        <f>IF(D61=0,0,ROUND(G61/D61,2))</f>
        <v/>
      </c>
    </row>
    <row r="62">
      <c r="A62" s="23" t="inlineStr">
        <is>
          <t>SO-0060</t>
        </is>
      </c>
      <c r="B62" s="38" t="n">
        <v>46157</v>
      </c>
      <c r="C62" s="23" t="inlineStr">
        <is>
          <t>North</t>
        </is>
      </c>
      <c r="D62" s="23" t="n">
        <v>12</v>
      </c>
      <c r="E62" s="39" t="n">
        <v>79.42</v>
      </c>
      <c r="F62" s="40" t="n">
        <v>0.05</v>
      </c>
      <c r="G62" s="39">
        <f>ROUND(D62*E62*(1-F62),2)</f>
        <v/>
      </c>
      <c r="H62" s="39">
        <f>ROUND(G62*'Parameters'!$B$3,2)</f>
        <v/>
      </c>
      <c r="I62" s="39">
        <f>G62+H62</f>
        <v/>
      </c>
      <c r="J62" s="39">
        <f>IF(D62=0,0,ROUND(G62/D62,2))</f>
        <v/>
      </c>
    </row>
    <row r="63">
      <c r="A63" s="23" t="inlineStr">
        <is>
          <t>SO-0061</t>
        </is>
      </c>
      <c r="B63" s="38" t="n">
        <v>46302</v>
      </c>
      <c r="C63" s="23" t="inlineStr">
        <is>
          <t>West</t>
        </is>
      </c>
      <c r="D63" s="23" t="n">
        <v>1</v>
      </c>
      <c r="E63" s="39" t="n">
        <v>130.85</v>
      </c>
      <c r="F63" s="40" t="n">
        <v>0.1</v>
      </c>
      <c r="G63" s="39">
        <f>ROUND(D63*E63*(1-F63),2)</f>
        <v/>
      </c>
      <c r="H63" s="39">
        <f>ROUND(G63*'Parameters'!$B$3,2)</f>
        <v/>
      </c>
      <c r="I63" s="39">
        <f>G63+H63</f>
        <v/>
      </c>
      <c r="J63" s="39">
        <f>IF(D63=0,0,ROUND(G63/D63,2))</f>
        <v/>
      </c>
    </row>
    <row r="64">
      <c r="A64" s="23" t="inlineStr">
        <is>
          <t>SO-0062</t>
        </is>
      </c>
      <c r="B64" s="38" t="n">
        <v>46334</v>
      </c>
      <c r="C64" s="23" t="inlineStr">
        <is>
          <t>South</t>
        </is>
      </c>
      <c r="D64" s="23" t="n">
        <v>17</v>
      </c>
      <c r="E64" s="39" t="n">
        <v>218.23</v>
      </c>
      <c r="F64" s="40" t="n">
        <v>0.15</v>
      </c>
      <c r="G64" s="39">
        <f>ROUND(D64*E64*(1-F64),2)</f>
        <v/>
      </c>
      <c r="H64" s="39">
        <f>ROUND(G64*'Parameters'!$B$3,2)</f>
        <v/>
      </c>
      <c r="I64" s="39">
        <f>G64+H64</f>
        <v/>
      </c>
      <c r="J64" s="39">
        <f>IF(D64=0,0,ROUND(G64/D64,2))</f>
        <v/>
      </c>
    </row>
    <row r="65">
      <c r="A65" s="23" t="inlineStr">
        <is>
          <t>SO-0063</t>
        </is>
      </c>
      <c r="B65" s="38" t="n">
        <v>46280</v>
      </c>
      <c r="C65" s="23" t="inlineStr">
        <is>
          <t>North</t>
        </is>
      </c>
      <c r="D65" s="23" t="n">
        <v>15</v>
      </c>
      <c r="E65" s="39" t="n">
        <v>171.5</v>
      </c>
      <c r="F65" s="40" t="n">
        <v>0.05</v>
      </c>
      <c r="G65" s="39">
        <f>ROUND(D65*E65*(1-F65),2)</f>
        <v/>
      </c>
      <c r="H65" s="39">
        <f>ROUND(G65*'Parameters'!$B$3,2)</f>
        <v/>
      </c>
      <c r="I65" s="39">
        <f>G65+H65</f>
        <v/>
      </c>
      <c r="J65" s="39">
        <f>IF(D65=0,0,ROUND(G65/D65,2))</f>
        <v/>
      </c>
    </row>
    <row r="66">
      <c r="A66" s="23" t="inlineStr">
        <is>
          <t>SO-0064</t>
        </is>
      </c>
      <c r="B66" s="38" t="n">
        <v>46353</v>
      </c>
      <c r="C66" s="23" t="inlineStr">
        <is>
          <t>West</t>
        </is>
      </c>
      <c r="D66" s="23" t="n">
        <v>5</v>
      </c>
      <c r="E66" s="39" t="n">
        <v>227.37</v>
      </c>
      <c r="F66" s="40" t="n">
        <v>0</v>
      </c>
      <c r="G66" s="39">
        <f>ROUND(D66*E66*(1-F66),2)</f>
        <v/>
      </c>
      <c r="H66" s="39">
        <f>ROUND(G66*'Parameters'!$B$3,2)</f>
        <v/>
      </c>
      <c r="I66" s="39">
        <f>G66+H66</f>
        <v/>
      </c>
      <c r="J66" s="39">
        <f>IF(D66=0,0,ROUND(G66/D66,2))</f>
        <v/>
      </c>
    </row>
    <row r="67">
      <c r="A67" s="23" t="inlineStr">
        <is>
          <t>SO-0065</t>
        </is>
      </c>
      <c r="B67" s="38" t="n">
        <v>46120</v>
      </c>
      <c r="C67" s="23" t="inlineStr">
        <is>
          <t>East</t>
        </is>
      </c>
      <c r="D67" s="23" t="n">
        <v>10</v>
      </c>
      <c r="E67" s="39" t="n">
        <v>239.56</v>
      </c>
      <c r="F67" s="40" t="n">
        <v>0.15</v>
      </c>
      <c r="G67" s="39">
        <f>ROUND(D67*E67*(1-F67),2)</f>
        <v/>
      </c>
      <c r="H67" s="39">
        <f>ROUND(G67*'Parameters'!$B$3,2)</f>
        <v/>
      </c>
      <c r="I67" s="39">
        <f>G67+H67</f>
        <v/>
      </c>
      <c r="J67" s="39">
        <f>IF(D67=0,0,ROUND(G67/D67,2))</f>
        <v/>
      </c>
    </row>
    <row r="68">
      <c r="A68" s="23" t="inlineStr">
        <is>
          <t>SO-0066</t>
        </is>
      </c>
      <c r="B68" s="38" t="n">
        <v>46237</v>
      </c>
      <c r="C68" s="23" t="inlineStr">
        <is>
          <t>East</t>
        </is>
      </c>
      <c r="D68" s="23" t="n">
        <v>8</v>
      </c>
      <c r="E68" s="39" t="n">
        <v>195.12</v>
      </c>
      <c r="F68" s="40" t="n">
        <v>0.05</v>
      </c>
      <c r="G68" s="39">
        <f>ROUND(D68*E68*(1-F68),2)</f>
        <v/>
      </c>
      <c r="H68" s="39">
        <f>ROUND(G68*'Parameters'!$B$3,2)</f>
        <v/>
      </c>
      <c r="I68" s="39">
        <f>G68+H68</f>
        <v/>
      </c>
      <c r="J68" s="39">
        <f>IF(D68=0,0,ROUND(G68/D68,2))</f>
        <v/>
      </c>
    </row>
    <row r="69">
      <c r="A69" s="23" t="inlineStr">
        <is>
          <t>SO-0067</t>
        </is>
      </c>
      <c r="B69" s="38" t="n">
        <v>46379</v>
      </c>
      <c r="C69" s="23" t="inlineStr">
        <is>
          <t>North</t>
        </is>
      </c>
      <c r="D69" s="23" t="n">
        <v>7</v>
      </c>
      <c r="E69" s="39" t="n">
        <v>86.63</v>
      </c>
      <c r="F69" s="40" t="n">
        <v>0.15</v>
      </c>
      <c r="G69" s="39">
        <f>ROUND(D69*E69*(1-F69),2)</f>
        <v/>
      </c>
      <c r="H69" s="39">
        <f>ROUND(G69*'Parameters'!$B$3,2)</f>
        <v/>
      </c>
      <c r="I69" s="39">
        <f>G69+H69</f>
        <v/>
      </c>
      <c r="J69" s="39">
        <f>IF(D69=0,0,ROUND(G69/D69,2))</f>
        <v/>
      </c>
    </row>
    <row r="70">
      <c r="A70" s="23" t="inlineStr">
        <is>
          <t>SO-0068</t>
        </is>
      </c>
      <c r="B70" s="38" t="n">
        <v>46296</v>
      </c>
      <c r="C70" s="23" t="inlineStr">
        <is>
          <t>West</t>
        </is>
      </c>
      <c r="D70" s="23" t="n">
        <v>18</v>
      </c>
      <c r="E70" s="39" t="n">
        <v>66.28</v>
      </c>
      <c r="F70" s="40" t="n">
        <v>0</v>
      </c>
      <c r="G70" s="39">
        <f>ROUND(D70*E70*(1-F70),2)</f>
        <v/>
      </c>
      <c r="H70" s="39">
        <f>ROUND(G70*'Parameters'!$B$3,2)</f>
        <v/>
      </c>
      <c r="I70" s="39">
        <f>G70+H70</f>
        <v/>
      </c>
      <c r="J70" s="39">
        <f>IF(D70=0,0,ROUND(G70/D70,2))</f>
        <v/>
      </c>
    </row>
    <row r="71">
      <c r="A71" s="23" t="inlineStr">
        <is>
          <t>SO-0069</t>
        </is>
      </c>
      <c r="B71" s="38" t="n">
        <v>46223</v>
      </c>
      <c r="C71" s="23" t="inlineStr">
        <is>
          <t>West</t>
        </is>
      </c>
      <c r="D71" s="23" t="n">
        <v>1</v>
      </c>
      <c r="E71" s="39" t="n">
        <v>67.34</v>
      </c>
      <c r="F71" s="40" t="n">
        <v>0.05</v>
      </c>
      <c r="G71" s="39">
        <f>ROUND(D71*E71*(1-F71),2)</f>
        <v/>
      </c>
      <c r="H71" s="39">
        <f>ROUND(G71*'Parameters'!$B$3,2)</f>
        <v/>
      </c>
      <c r="I71" s="39">
        <f>G71+H71</f>
        <v/>
      </c>
      <c r="J71" s="39">
        <f>IF(D71=0,0,ROUND(G71/D71,2))</f>
        <v/>
      </c>
    </row>
    <row r="72">
      <c r="A72" s="23" t="inlineStr">
        <is>
          <t>SO-0070</t>
        </is>
      </c>
      <c r="B72" s="38" t="n">
        <v>46296</v>
      </c>
      <c r="C72" s="23" t="inlineStr">
        <is>
          <t>West</t>
        </is>
      </c>
      <c r="D72" s="23" t="n">
        <v>17</v>
      </c>
      <c r="E72" s="39" t="n">
        <v>190.46</v>
      </c>
      <c r="F72" s="40" t="n">
        <v>0</v>
      </c>
      <c r="G72" s="39">
        <f>ROUND(D72*E72*(1-F72),2)</f>
        <v/>
      </c>
      <c r="H72" s="39">
        <f>ROUND(G72*'Parameters'!$B$3,2)</f>
        <v/>
      </c>
      <c r="I72" s="39">
        <f>G72+H72</f>
        <v/>
      </c>
      <c r="J72" s="39">
        <f>IF(D72=0,0,ROUND(G72/D72,2))</f>
        <v/>
      </c>
    </row>
    <row r="73">
      <c r="A73" s="23" t="inlineStr">
        <is>
          <t>SO-0071</t>
        </is>
      </c>
      <c r="B73" s="38" t="n">
        <v>46143</v>
      </c>
      <c r="C73" s="23" t="inlineStr">
        <is>
          <t>South</t>
        </is>
      </c>
      <c r="D73" s="23" t="n">
        <v>3</v>
      </c>
      <c r="E73" s="39" t="n">
        <v>159.47</v>
      </c>
      <c r="F73" s="40" t="n">
        <v>0.1</v>
      </c>
      <c r="G73" s="39">
        <f>ROUND(D73*E73*(1-F73),2)</f>
        <v/>
      </c>
      <c r="H73" s="39">
        <f>ROUND(G73*'Parameters'!$B$3,2)</f>
        <v/>
      </c>
      <c r="I73" s="39">
        <f>G73+H73</f>
        <v/>
      </c>
      <c r="J73" s="39">
        <f>IF(D73=0,0,ROUND(G73/D73,2))</f>
        <v/>
      </c>
    </row>
    <row r="74">
      <c r="A74" s="23" t="inlineStr">
        <is>
          <t>SO-0072</t>
        </is>
      </c>
      <c r="B74" s="38" t="n">
        <v>46116</v>
      </c>
      <c r="C74" s="23" t="inlineStr">
        <is>
          <t>North</t>
        </is>
      </c>
      <c r="D74" s="23" t="n">
        <v>8</v>
      </c>
      <c r="E74" s="39" t="n">
        <v>56.5</v>
      </c>
      <c r="F74" s="40" t="n">
        <v>0.15</v>
      </c>
      <c r="G74" s="39">
        <f>ROUND(D74*E74*(1-F74),2)</f>
        <v/>
      </c>
      <c r="H74" s="39">
        <f>ROUND(G74*'Parameters'!$B$3,2)</f>
        <v/>
      </c>
      <c r="I74" s="39">
        <f>G74+H74</f>
        <v/>
      </c>
      <c r="J74" s="39">
        <f>IF(D74=0,0,ROUND(G74/D74,2))</f>
        <v/>
      </c>
    </row>
    <row r="75">
      <c r="A75" s="23" t="inlineStr">
        <is>
          <t>SO-0073</t>
        </is>
      </c>
      <c r="B75" s="38" t="n">
        <v>46174</v>
      </c>
      <c r="C75" s="23" t="inlineStr">
        <is>
          <t>East</t>
        </is>
      </c>
      <c r="D75" s="23" t="n">
        <v>16</v>
      </c>
      <c r="E75" s="39" t="n">
        <v>20.9</v>
      </c>
      <c r="F75" s="40" t="n">
        <v>0.15</v>
      </c>
      <c r="G75" s="39">
        <f>ROUND(D75*E75*(1-F75),2)</f>
        <v/>
      </c>
      <c r="H75" s="39">
        <f>ROUND(G75*'Parameters'!$B$3,2)</f>
        <v/>
      </c>
      <c r="I75" s="39">
        <f>G75+H75</f>
        <v/>
      </c>
      <c r="J75" s="39">
        <f>IF(D75=0,0,ROUND(G75/D75,2))</f>
        <v/>
      </c>
    </row>
    <row r="76">
      <c r="A76" s="23" t="inlineStr">
        <is>
          <t>SO-0074</t>
        </is>
      </c>
      <c r="B76" s="38" t="n">
        <v>46189</v>
      </c>
      <c r="C76" s="23" t="inlineStr">
        <is>
          <t>East</t>
        </is>
      </c>
      <c r="D76" s="23" t="n">
        <v>5</v>
      </c>
      <c r="E76" s="39" t="n">
        <v>147.23</v>
      </c>
      <c r="F76" s="40" t="n">
        <v>0.15</v>
      </c>
      <c r="G76" s="39">
        <f>ROUND(D76*E76*(1-F76),2)</f>
        <v/>
      </c>
      <c r="H76" s="39">
        <f>ROUND(G76*'Parameters'!$B$3,2)</f>
        <v/>
      </c>
      <c r="I76" s="39">
        <f>G76+H76</f>
        <v/>
      </c>
      <c r="J76" s="39">
        <f>IF(D76=0,0,ROUND(G76/D76,2))</f>
        <v/>
      </c>
    </row>
    <row r="77">
      <c r="A77" s="23" t="inlineStr">
        <is>
          <t>SO-0075</t>
        </is>
      </c>
      <c r="B77" s="38" t="n">
        <v>46273</v>
      </c>
      <c r="C77" s="23" t="inlineStr">
        <is>
          <t>North</t>
        </is>
      </c>
      <c r="D77" s="23" t="n">
        <v>6</v>
      </c>
      <c r="E77" s="39" t="n">
        <v>56.81</v>
      </c>
      <c r="F77" s="40" t="n">
        <v>0</v>
      </c>
      <c r="G77" s="39">
        <f>ROUND(D77*E77*(1-F77),2)</f>
        <v/>
      </c>
      <c r="H77" s="39">
        <f>ROUND(G77*'Parameters'!$B$3,2)</f>
        <v/>
      </c>
      <c r="I77" s="39">
        <f>G77+H77</f>
        <v/>
      </c>
      <c r="J77" s="39">
        <f>IF(D77=0,0,ROUND(G77/D77,2))</f>
        <v/>
      </c>
    </row>
    <row r="78">
      <c r="A78" s="23" t="inlineStr">
        <is>
          <t>SO-0076</t>
        </is>
      </c>
      <c r="B78" s="38" t="n">
        <v>46180</v>
      </c>
      <c r="C78" s="23" t="inlineStr">
        <is>
          <t>West</t>
        </is>
      </c>
      <c r="D78" s="23" t="n">
        <v>18</v>
      </c>
      <c r="E78" s="39" t="n">
        <v>81.65000000000001</v>
      </c>
      <c r="F78" s="40" t="n">
        <v>0.05</v>
      </c>
      <c r="G78" s="39">
        <f>ROUND(D78*E78*(1-F78),2)</f>
        <v/>
      </c>
      <c r="H78" s="39">
        <f>ROUND(G78*'Parameters'!$B$3,2)</f>
        <v/>
      </c>
      <c r="I78" s="39">
        <f>G78+H78</f>
        <v/>
      </c>
      <c r="J78" s="39">
        <f>IF(D78=0,0,ROUND(G78/D78,2))</f>
        <v/>
      </c>
    </row>
    <row r="79">
      <c r="A79" s="23" t="inlineStr">
        <is>
          <t>SO-0077</t>
        </is>
      </c>
      <c r="B79" s="38" t="n">
        <v>46278</v>
      </c>
      <c r="C79" s="23" t="inlineStr">
        <is>
          <t>West</t>
        </is>
      </c>
      <c r="D79" s="23" t="n">
        <v>1</v>
      </c>
      <c r="E79" s="39" t="n">
        <v>74.45</v>
      </c>
      <c r="F79" s="40" t="n">
        <v>0.05</v>
      </c>
      <c r="G79" s="39">
        <f>ROUND(D79*E79*(1-F79),2)</f>
        <v/>
      </c>
      <c r="H79" s="39">
        <f>ROUND(G79*'Parameters'!$B$3,2)</f>
        <v/>
      </c>
      <c r="I79" s="39">
        <f>G79+H79</f>
        <v/>
      </c>
      <c r="J79" s="39">
        <f>IF(D79=0,0,ROUND(G79/D79,2))</f>
        <v/>
      </c>
    </row>
    <row r="80">
      <c r="A80" s="23" t="inlineStr">
        <is>
          <t>SO-0078</t>
        </is>
      </c>
      <c r="B80" s="38" t="n">
        <v>46344</v>
      </c>
      <c r="C80" s="23" t="inlineStr">
        <is>
          <t>East</t>
        </is>
      </c>
      <c r="D80" s="23" t="n">
        <v>15</v>
      </c>
      <c r="E80" s="39" t="n">
        <v>196.71</v>
      </c>
      <c r="F80" s="40" t="n">
        <v>0</v>
      </c>
      <c r="G80" s="39">
        <f>ROUND(D80*E80*(1-F80),2)</f>
        <v/>
      </c>
      <c r="H80" s="39">
        <f>ROUND(G80*'Parameters'!$B$3,2)</f>
        <v/>
      </c>
      <c r="I80" s="39">
        <f>G80+H80</f>
        <v/>
      </c>
      <c r="J80" s="39">
        <f>IF(D80=0,0,ROUND(G80/D80,2))</f>
        <v/>
      </c>
    </row>
    <row r="81">
      <c r="A81" s="23" t="inlineStr">
        <is>
          <t>SO-0079</t>
        </is>
      </c>
      <c r="B81" s="38" t="n">
        <v>46243</v>
      </c>
      <c r="C81" s="23" t="inlineStr">
        <is>
          <t>West</t>
        </is>
      </c>
      <c r="D81" s="23" t="n">
        <v>4</v>
      </c>
      <c r="E81" s="39" t="n">
        <v>53.02</v>
      </c>
      <c r="F81" s="40" t="n">
        <v>0.15</v>
      </c>
      <c r="G81" s="39">
        <f>ROUND(D81*E81*(1-F81),2)</f>
        <v/>
      </c>
      <c r="H81" s="39">
        <f>ROUND(G81*'Parameters'!$B$3,2)</f>
        <v/>
      </c>
      <c r="I81" s="39">
        <f>G81+H81</f>
        <v/>
      </c>
      <c r="J81" s="39">
        <f>IF(D81=0,0,ROUND(G81/D81,2))</f>
        <v/>
      </c>
    </row>
    <row r="82">
      <c r="A82" s="23" t="inlineStr">
        <is>
          <t>SO-0080</t>
        </is>
      </c>
      <c r="B82" s="38" t="n">
        <v>46369</v>
      </c>
      <c r="C82" s="23" t="inlineStr">
        <is>
          <t>South</t>
        </is>
      </c>
      <c r="D82" s="23" t="n">
        <v>7</v>
      </c>
      <c r="E82" s="39" t="n">
        <v>174.92</v>
      </c>
      <c r="F82" s="40" t="n">
        <v>0.05</v>
      </c>
      <c r="G82" s="39">
        <f>ROUND(D82*E82*(1-F82),2)</f>
        <v/>
      </c>
      <c r="H82" s="39">
        <f>ROUND(G82*'Parameters'!$B$3,2)</f>
        <v/>
      </c>
      <c r="I82" s="39">
        <f>G82+H82</f>
        <v/>
      </c>
      <c r="J82" s="39">
        <f>IF(D82=0,0,ROUND(G82/D82,2))</f>
        <v/>
      </c>
    </row>
    <row r="83">
      <c r="A83" s="23" t="inlineStr">
        <is>
          <t>SO-0081</t>
        </is>
      </c>
      <c r="B83" s="38" t="n">
        <v>46361</v>
      </c>
      <c r="C83" s="23" t="inlineStr">
        <is>
          <t>East</t>
        </is>
      </c>
      <c r="D83" s="23" t="n">
        <v>18</v>
      </c>
      <c r="E83" s="39" t="n">
        <v>72.11</v>
      </c>
      <c r="F83" s="40" t="n">
        <v>0.15</v>
      </c>
      <c r="G83" s="39">
        <f>ROUND(D83*E83*(1-F83),2)</f>
        <v/>
      </c>
      <c r="H83" s="39">
        <f>ROUND(G83*'Parameters'!$B$3,2)</f>
        <v/>
      </c>
      <c r="I83" s="39">
        <f>G83+H83</f>
        <v/>
      </c>
      <c r="J83" s="39">
        <f>IF(D83=0,0,ROUND(G83/D83,2))</f>
        <v/>
      </c>
    </row>
    <row r="84">
      <c r="A84" s="23" t="inlineStr">
        <is>
          <t>SO-0082</t>
        </is>
      </c>
      <c r="B84" s="38" t="n">
        <v>46368</v>
      </c>
      <c r="C84" s="23" t="inlineStr">
        <is>
          <t>South</t>
        </is>
      </c>
      <c r="D84" s="23" t="n">
        <v>19</v>
      </c>
      <c r="E84" s="39" t="n">
        <v>218.8</v>
      </c>
      <c r="F84" s="40" t="n">
        <v>0</v>
      </c>
      <c r="G84" s="39">
        <f>ROUND(D84*E84*(1-F84),2)</f>
        <v/>
      </c>
      <c r="H84" s="39">
        <f>ROUND(G84*'Parameters'!$B$3,2)</f>
        <v/>
      </c>
      <c r="I84" s="39">
        <f>G84+H84</f>
        <v/>
      </c>
      <c r="J84" s="39">
        <f>IF(D84=0,0,ROUND(G84/D84,2))</f>
        <v/>
      </c>
    </row>
    <row r="85">
      <c r="A85" s="23" t="inlineStr">
        <is>
          <t>SO-0083</t>
        </is>
      </c>
      <c r="B85" s="38" t="n">
        <v>46305</v>
      </c>
      <c r="C85" s="23" t="inlineStr">
        <is>
          <t>North</t>
        </is>
      </c>
      <c r="D85" s="23" t="n">
        <v>19</v>
      </c>
      <c r="E85" s="39" t="n">
        <v>188.56</v>
      </c>
      <c r="F85" s="40" t="n">
        <v>0.1</v>
      </c>
      <c r="G85" s="39">
        <f>ROUND(D85*E85*(1-F85),2)</f>
        <v/>
      </c>
      <c r="H85" s="39">
        <f>ROUND(G85*'Parameters'!$B$3,2)</f>
        <v/>
      </c>
      <c r="I85" s="39">
        <f>G85+H85</f>
        <v/>
      </c>
      <c r="J85" s="39">
        <f>IF(D85=0,0,ROUND(G85/D85,2))</f>
        <v/>
      </c>
    </row>
    <row r="86">
      <c r="A86" s="23" t="inlineStr">
        <is>
          <t>SO-0084</t>
        </is>
      </c>
      <c r="B86" s="38" t="n">
        <v>46345</v>
      </c>
      <c r="C86" s="23" t="inlineStr">
        <is>
          <t>North</t>
        </is>
      </c>
      <c r="D86" s="23" t="n">
        <v>11</v>
      </c>
      <c r="E86" s="39" t="n">
        <v>92.39</v>
      </c>
      <c r="F86" s="40" t="n">
        <v>0.1</v>
      </c>
      <c r="G86" s="39">
        <f>ROUND(D86*E86*(1-F86),2)</f>
        <v/>
      </c>
      <c r="H86" s="39">
        <f>ROUND(G86*'Parameters'!$B$3,2)</f>
        <v/>
      </c>
      <c r="I86" s="39">
        <f>G86+H86</f>
        <v/>
      </c>
      <c r="J86" s="39">
        <f>IF(D86=0,0,ROUND(G86/D86,2))</f>
        <v/>
      </c>
    </row>
    <row r="87">
      <c r="A87" s="23" t="inlineStr">
        <is>
          <t>SO-0085</t>
        </is>
      </c>
      <c r="B87" s="38" t="n">
        <v>46087</v>
      </c>
      <c r="C87" s="23" t="inlineStr">
        <is>
          <t>South</t>
        </is>
      </c>
      <c r="D87" s="23" t="n">
        <v>8</v>
      </c>
      <c r="E87" s="39" t="n">
        <v>232.15</v>
      </c>
      <c r="F87" s="40" t="n">
        <v>0.15</v>
      </c>
      <c r="G87" s="39">
        <f>ROUND(D87*E87*(1-F87),2)</f>
        <v/>
      </c>
      <c r="H87" s="39">
        <f>ROUND(G87*'Parameters'!$B$3,2)</f>
        <v/>
      </c>
      <c r="I87" s="39">
        <f>G87+H87</f>
        <v/>
      </c>
      <c r="J87" s="39">
        <f>IF(D87=0,0,ROUND(G87/D87,2))</f>
        <v/>
      </c>
    </row>
    <row r="88">
      <c r="A88" s="23" t="inlineStr">
        <is>
          <t>SO-0086</t>
        </is>
      </c>
      <c r="B88" s="38" t="n">
        <v>46184</v>
      </c>
      <c r="C88" s="23" t="inlineStr">
        <is>
          <t>East</t>
        </is>
      </c>
      <c r="D88" s="23" t="n">
        <v>3</v>
      </c>
      <c r="E88" s="39" t="n">
        <v>203.81</v>
      </c>
      <c r="F88" s="40" t="n">
        <v>0</v>
      </c>
      <c r="G88" s="39">
        <f>ROUND(D88*E88*(1-F88),2)</f>
        <v/>
      </c>
      <c r="H88" s="39">
        <f>ROUND(G88*'Parameters'!$B$3,2)</f>
        <v/>
      </c>
      <c r="I88" s="39">
        <f>G88+H88</f>
        <v/>
      </c>
      <c r="J88" s="39">
        <f>IF(D88=0,0,ROUND(G88/D88,2))</f>
        <v/>
      </c>
    </row>
    <row r="89">
      <c r="A89" s="23" t="inlineStr">
        <is>
          <t>SO-0087</t>
        </is>
      </c>
      <c r="B89" s="38" t="n">
        <v>46238</v>
      </c>
      <c r="C89" s="23" t="inlineStr">
        <is>
          <t>West</t>
        </is>
      </c>
      <c r="D89" s="23" t="n">
        <v>16</v>
      </c>
      <c r="E89" s="39" t="n">
        <v>95.76000000000001</v>
      </c>
      <c r="F89" s="40" t="n">
        <v>0.1</v>
      </c>
      <c r="G89" s="39">
        <f>ROUND(D89*E89*(1-F89),2)</f>
        <v/>
      </c>
      <c r="H89" s="39">
        <f>ROUND(G89*'Parameters'!$B$3,2)</f>
        <v/>
      </c>
      <c r="I89" s="39">
        <f>G89+H89</f>
        <v/>
      </c>
      <c r="J89" s="39">
        <f>IF(D89=0,0,ROUND(G89/D89,2))</f>
        <v/>
      </c>
    </row>
    <row r="90">
      <c r="A90" s="23" t="inlineStr">
        <is>
          <t>SO-0088</t>
        </is>
      </c>
      <c r="B90" s="38" t="n">
        <v>46026</v>
      </c>
      <c r="C90" s="23" t="inlineStr">
        <is>
          <t>West</t>
        </is>
      </c>
      <c r="D90" s="23" t="n">
        <v>7</v>
      </c>
      <c r="E90" s="39" t="n">
        <v>75.89</v>
      </c>
      <c r="F90" s="40" t="n">
        <v>0.1</v>
      </c>
      <c r="G90" s="39">
        <f>ROUND(D90*E90*(1-F90),2)</f>
        <v/>
      </c>
      <c r="H90" s="39">
        <f>ROUND(G90*'Parameters'!$B$3,2)</f>
        <v/>
      </c>
      <c r="I90" s="39">
        <f>G90+H90</f>
        <v/>
      </c>
      <c r="J90" s="39">
        <f>IF(D90=0,0,ROUND(G90/D90,2))</f>
        <v/>
      </c>
    </row>
    <row r="91">
      <c r="A91" s="23" t="inlineStr">
        <is>
          <t>SO-0089</t>
        </is>
      </c>
      <c r="B91" s="38" t="n">
        <v>46216</v>
      </c>
      <c r="C91" s="23" t="inlineStr">
        <is>
          <t>North</t>
        </is>
      </c>
      <c r="D91" s="23" t="n">
        <v>9</v>
      </c>
      <c r="E91" s="39" t="n">
        <v>21.99</v>
      </c>
      <c r="F91" s="40" t="n">
        <v>0.15</v>
      </c>
      <c r="G91" s="39">
        <f>ROUND(D91*E91*(1-F91),2)</f>
        <v/>
      </c>
      <c r="H91" s="39">
        <f>ROUND(G91*'Parameters'!$B$3,2)</f>
        <v/>
      </c>
      <c r="I91" s="39">
        <f>G91+H91</f>
        <v/>
      </c>
      <c r="J91" s="39">
        <f>IF(D91=0,0,ROUND(G91/D91,2))</f>
        <v/>
      </c>
    </row>
    <row r="92">
      <c r="A92" s="23" t="inlineStr">
        <is>
          <t>SO-0090</t>
        </is>
      </c>
      <c r="B92" s="38" t="n">
        <v>46062</v>
      </c>
      <c r="C92" s="23" t="inlineStr">
        <is>
          <t>South</t>
        </is>
      </c>
      <c r="D92" s="23" t="n">
        <v>9</v>
      </c>
      <c r="E92" s="39" t="n">
        <v>66.37</v>
      </c>
      <c r="F92" s="40" t="n">
        <v>0</v>
      </c>
      <c r="G92" s="39">
        <f>ROUND(D92*E92*(1-F92),2)</f>
        <v/>
      </c>
      <c r="H92" s="39">
        <f>ROUND(G92*'Parameters'!$B$3,2)</f>
        <v/>
      </c>
      <c r="I92" s="39">
        <f>G92+H92</f>
        <v/>
      </c>
      <c r="J92" s="39">
        <f>IF(D92=0,0,ROUND(G92/D92,2))</f>
        <v/>
      </c>
    </row>
    <row r="93">
      <c r="A93" s="23" t="inlineStr">
        <is>
          <t>SO-0091</t>
        </is>
      </c>
      <c r="B93" s="38" t="n">
        <v>46147</v>
      </c>
      <c r="C93" s="23" t="inlineStr">
        <is>
          <t>North</t>
        </is>
      </c>
      <c r="D93" s="23" t="n">
        <v>7</v>
      </c>
      <c r="E93" s="39" t="n">
        <v>162.86</v>
      </c>
      <c r="F93" s="40" t="n">
        <v>0.05</v>
      </c>
      <c r="G93" s="39">
        <f>ROUND(D93*E93*(1-F93),2)</f>
        <v/>
      </c>
      <c r="H93" s="39">
        <f>ROUND(G93*'Parameters'!$B$3,2)</f>
        <v/>
      </c>
      <c r="I93" s="39">
        <f>G93+H93</f>
        <v/>
      </c>
      <c r="J93" s="39">
        <f>IF(D93=0,0,ROUND(G93/D93,2))</f>
        <v/>
      </c>
    </row>
    <row r="94">
      <c r="A94" s="23" t="inlineStr">
        <is>
          <t>SO-0092</t>
        </is>
      </c>
      <c r="B94" s="38" t="n">
        <v>46371</v>
      </c>
      <c r="C94" s="23" t="inlineStr">
        <is>
          <t>West</t>
        </is>
      </c>
      <c r="D94" s="23" t="n">
        <v>5</v>
      </c>
      <c r="E94" s="39" t="n">
        <v>8.65</v>
      </c>
      <c r="F94" s="40" t="n">
        <v>0.1</v>
      </c>
      <c r="G94" s="39">
        <f>ROUND(D94*E94*(1-F94),2)</f>
        <v/>
      </c>
      <c r="H94" s="39">
        <f>ROUND(G94*'Parameters'!$B$3,2)</f>
        <v/>
      </c>
      <c r="I94" s="39">
        <f>G94+H94</f>
        <v/>
      </c>
      <c r="J94" s="39">
        <f>IF(D94=0,0,ROUND(G94/D94,2))</f>
        <v/>
      </c>
    </row>
    <row r="95">
      <c r="A95" s="23" t="inlineStr">
        <is>
          <t>SO-0093</t>
        </is>
      </c>
      <c r="B95" s="38" t="n">
        <v>46182</v>
      </c>
      <c r="C95" s="23" t="inlineStr">
        <is>
          <t>North</t>
        </is>
      </c>
      <c r="D95" s="23" t="n">
        <v>17</v>
      </c>
      <c r="E95" s="39" t="n">
        <v>30.32</v>
      </c>
      <c r="F95" s="40" t="n">
        <v>0.05</v>
      </c>
      <c r="G95" s="39">
        <f>ROUND(D95*E95*(1-F95),2)</f>
        <v/>
      </c>
      <c r="H95" s="39">
        <f>ROUND(G95*'Parameters'!$B$3,2)</f>
        <v/>
      </c>
      <c r="I95" s="39">
        <f>G95+H95</f>
        <v/>
      </c>
      <c r="J95" s="39">
        <f>IF(D95=0,0,ROUND(G95/D95,2))</f>
        <v/>
      </c>
    </row>
    <row r="96">
      <c r="A96" s="23" t="inlineStr">
        <is>
          <t>SO-0094</t>
        </is>
      </c>
      <c r="B96" s="38" t="n">
        <v>46291</v>
      </c>
      <c r="C96" s="23" t="inlineStr">
        <is>
          <t>West</t>
        </is>
      </c>
      <c r="D96" s="23" t="n">
        <v>12</v>
      </c>
      <c r="E96" s="39" t="n">
        <v>156.46</v>
      </c>
      <c r="F96" s="40" t="n">
        <v>0.05</v>
      </c>
      <c r="G96" s="39">
        <f>ROUND(D96*E96*(1-F96),2)</f>
        <v/>
      </c>
      <c r="H96" s="39">
        <f>ROUND(G96*'Parameters'!$B$3,2)</f>
        <v/>
      </c>
      <c r="I96" s="39">
        <f>G96+H96</f>
        <v/>
      </c>
      <c r="J96" s="39">
        <f>IF(D96=0,0,ROUND(G96/D96,2))</f>
        <v/>
      </c>
    </row>
    <row r="97">
      <c r="A97" s="23" t="inlineStr">
        <is>
          <t>SO-0095</t>
        </is>
      </c>
      <c r="B97" s="38" t="n">
        <v>46229</v>
      </c>
      <c r="C97" s="23" t="inlineStr">
        <is>
          <t>West</t>
        </is>
      </c>
      <c r="D97" s="23" t="n">
        <v>20</v>
      </c>
      <c r="E97" s="39" t="n">
        <v>179.35</v>
      </c>
      <c r="F97" s="40" t="n">
        <v>0.1</v>
      </c>
      <c r="G97" s="39">
        <f>ROUND(D97*E97*(1-F97),2)</f>
        <v/>
      </c>
      <c r="H97" s="39">
        <f>ROUND(G97*'Parameters'!$B$3,2)</f>
        <v/>
      </c>
      <c r="I97" s="39">
        <f>G97+H97</f>
        <v/>
      </c>
      <c r="J97" s="39">
        <f>IF(D97=0,0,ROUND(G97/D97,2))</f>
        <v/>
      </c>
    </row>
    <row r="98">
      <c r="A98" s="23" t="inlineStr">
        <is>
          <t>SO-0096</t>
        </is>
      </c>
      <c r="B98" s="38" t="n">
        <v>46169</v>
      </c>
      <c r="C98" s="23" t="inlineStr">
        <is>
          <t>South</t>
        </is>
      </c>
      <c r="D98" s="23" t="n">
        <v>13</v>
      </c>
      <c r="E98" s="39" t="n">
        <v>131.44</v>
      </c>
      <c r="F98" s="40" t="n">
        <v>0.15</v>
      </c>
      <c r="G98" s="39">
        <f>ROUND(D98*E98*(1-F98),2)</f>
        <v/>
      </c>
      <c r="H98" s="39">
        <f>ROUND(G98*'Parameters'!$B$3,2)</f>
        <v/>
      </c>
      <c r="I98" s="39">
        <f>G98+H98</f>
        <v/>
      </c>
      <c r="J98" s="39">
        <f>IF(D98=0,0,ROUND(G98/D98,2))</f>
        <v/>
      </c>
    </row>
    <row r="99">
      <c r="A99" s="23" t="inlineStr">
        <is>
          <t>SO-0097</t>
        </is>
      </c>
      <c r="B99" s="38" t="n">
        <v>46248</v>
      </c>
      <c r="C99" s="23" t="inlineStr">
        <is>
          <t>West</t>
        </is>
      </c>
      <c r="D99" s="23" t="n">
        <v>6</v>
      </c>
      <c r="E99" s="39" t="n">
        <v>166.63</v>
      </c>
      <c r="F99" s="40" t="n">
        <v>0.15</v>
      </c>
      <c r="G99" s="39">
        <f>ROUND(D99*E99*(1-F99),2)</f>
        <v/>
      </c>
      <c r="H99" s="39">
        <f>ROUND(G99*'Parameters'!$B$3,2)</f>
        <v/>
      </c>
      <c r="I99" s="39">
        <f>G99+H99</f>
        <v/>
      </c>
      <c r="J99" s="39">
        <f>IF(D99=0,0,ROUND(G99/D99,2))</f>
        <v/>
      </c>
    </row>
    <row r="100">
      <c r="A100" s="23" t="inlineStr">
        <is>
          <t>SO-0098</t>
        </is>
      </c>
      <c r="B100" s="38" t="n">
        <v>46252</v>
      </c>
      <c r="C100" s="23" t="inlineStr">
        <is>
          <t>South</t>
        </is>
      </c>
      <c r="D100" s="23" t="n">
        <v>4</v>
      </c>
      <c r="E100" s="39" t="n">
        <v>245.43</v>
      </c>
      <c r="F100" s="40" t="n">
        <v>0</v>
      </c>
      <c r="G100" s="39">
        <f>ROUND(D100*E100*(1-F100),2)</f>
        <v/>
      </c>
      <c r="H100" s="39">
        <f>ROUND(G100*'Parameters'!$B$3,2)</f>
        <v/>
      </c>
      <c r="I100" s="39">
        <f>G100+H100</f>
        <v/>
      </c>
      <c r="J100" s="39">
        <f>IF(D100=0,0,ROUND(G100/D100,2))</f>
        <v/>
      </c>
    </row>
    <row r="101">
      <c r="A101" s="23" t="inlineStr">
        <is>
          <t>SO-0099</t>
        </is>
      </c>
      <c r="B101" s="38" t="n">
        <v>46130</v>
      </c>
      <c r="C101" s="23" t="inlineStr">
        <is>
          <t>South</t>
        </is>
      </c>
      <c r="D101" s="23" t="n">
        <v>16</v>
      </c>
      <c r="E101" s="39" t="n">
        <v>128.39</v>
      </c>
      <c r="F101" s="40" t="n">
        <v>0.05</v>
      </c>
      <c r="G101" s="39">
        <f>ROUND(D101*E101*(1-F101),2)</f>
        <v/>
      </c>
      <c r="H101" s="39">
        <f>ROUND(G101*'Parameters'!$B$3,2)</f>
        <v/>
      </c>
      <c r="I101" s="39">
        <f>G101+H101</f>
        <v/>
      </c>
      <c r="J101" s="39">
        <f>IF(D101=0,0,ROUND(G101/D101,2))</f>
        <v/>
      </c>
    </row>
    <row r="102">
      <c r="A102" s="23" t="inlineStr">
        <is>
          <t>SO-0100</t>
        </is>
      </c>
      <c r="B102" s="38" t="n">
        <v>46318</v>
      </c>
      <c r="C102" s="23" t="inlineStr">
        <is>
          <t>East</t>
        </is>
      </c>
      <c r="D102" s="23" t="n">
        <v>2</v>
      </c>
      <c r="E102" s="39" t="n">
        <v>189.46</v>
      </c>
      <c r="F102" s="40" t="n">
        <v>0.1</v>
      </c>
      <c r="G102" s="39">
        <f>ROUND(D102*E102*(1-F102),2)</f>
        <v/>
      </c>
      <c r="H102" s="39">
        <f>ROUND(G102*'Parameters'!$B$3,2)</f>
        <v/>
      </c>
      <c r="I102" s="39">
        <f>G102+H102</f>
        <v/>
      </c>
      <c r="J102" s="39">
        <f>IF(D102=0,0,ROUND(G102/D102,2))</f>
        <v/>
      </c>
    </row>
    <row r="103">
      <c r="A103" s="23" t="inlineStr">
        <is>
          <t>SO-0101</t>
        </is>
      </c>
      <c r="B103" s="38" t="n">
        <v>46175</v>
      </c>
      <c r="C103" s="23" t="inlineStr">
        <is>
          <t>East</t>
        </is>
      </c>
      <c r="D103" s="23" t="n">
        <v>15</v>
      </c>
      <c r="E103" s="39" t="n">
        <v>139.97</v>
      </c>
      <c r="F103" s="40" t="n">
        <v>0.1</v>
      </c>
      <c r="G103" s="39">
        <f>ROUND(D103*E103*(1-F103),2)</f>
        <v/>
      </c>
      <c r="H103" s="39">
        <f>ROUND(G103*'Parameters'!$B$3,2)</f>
        <v/>
      </c>
      <c r="I103" s="39">
        <f>G103+H103</f>
        <v/>
      </c>
      <c r="J103" s="39">
        <f>IF(D103=0,0,ROUND(G103/D103,2))</f>
        <v/>
      </c>
    </row>
    <row r="104">
      <c r="A104" s="23" t="inlineStr">
        <is>
          <t>SO-0102</t>
        </is>
      </c>
      <c r="B104" s="38" t="n">
        <v>46297</v>
      </c>
      <c r="C104" s="23" t="inlineStr">
        <is>
          <t>North</t>
        </is>
      </c>
      <c r="D104" s="23" t="n">
        <v>5</v>
      </c>
      <c r="E104" s="39" t="n">
        <v>131.56</v>
      </c>
      <c r="F104" s="40" t="n">
        <v>0.1</v>
      </c>
      <c r="G104" s="39">
        <f>ROUND(D104*E104*(1-F104),2)</f>
        <v/>
      </c>
      <c r="H104" s="39">
        <f>ROUND(G104*'Parameters'!$B$3,2)</f>
        <v/>
      </c>
      <c r="I104" s="39">
        <f>G104+H104</f>
        <v/>
      </c>
      <c r="J104" s="39">
        <f>IF(D104=0,0,ROUND(G104/D104,2))</f>
        <v/>
      </c>
    </row>
    <row r="105">
      <c r="A105" s="23" t="inlineStr">
        <is>
          <t>SO-0103</t>
        </is>
      </c>
      <c r="B105" s="38" t="n">
        <v>46150</v>
      </c>
      <c r="C105" s="23" t="inlineStr">
        <is>
          <t>East</t>
        </is>
      </c>
      <c r="D105" s="23" t="n">
        <v>11</v>
      </c>
      <c r="E105" s="39" t="n">
        <v>31.17</v>
      </c>
      <c r="F105" s="40" t="n">
        <v>0</v>
      </c>
      <c r="G105" s="39">
        <f>ROUND(D105*E105*(1-F105),2)</f>
        <v/>
      </c>
      <c r="H105" s="39">
        <f>ROUND(G105*'Parameters'!$B$3,2)</f>
        <v/>
      </c>
      <c r="I105" s="39">
        <f>G105+H105</f>
        <v/>
      </c>
      <c r="J105" s="39">
        <f>IF(D105=0,0,ROUND(G105/D105,2))</f>
        <v/>
      </c>
    </row>
    <row r="106">
      <c r="A106" s="23" t="inlineStr">
        <is>
          <t>SO-0104</t>
        </is>
      </c>
      <c r="B106" s="38" t="n">
        <v>46377</v>
      </c>
      <c r="C106" s="23" t="inlineStr">
        <is>
          <t>West</t>
        </is>
      </c>
      <c r="D106" s="23" t="n">
        <v>10</v>
      </c>
      <c r="E106" s="39" t="n">
        <v>248.58</v>
      </c>
      <c r="F106" s="40" t="n">
        <v>0</v>
      </c>
      <c r="G106" s="39">
        <f>ROUND(D106*E106*(1-F106),2)</f>
        <v/>
      </c>
      <c r="H106" s="39">
        <f>ROUND(G106*'Parameters'!$B$3,2)</f>
        <v/>
      </c>
      <c r="I106" s="39">
        <f>G106+H106</f>
        <v/>
      </c>
      <c r="J106" s="39">
        <f>IF(D106=0,0,ROUND(G106/D106,2))</f>
        <v/>
      </c>
    </row>
    <row r="107">
      <c r="A107" s="23" t="inlineStr">
        <is>
          <t>SO-0105</t>
        </is>
      </c>
      <c r="B107" s="38" t="n">
        <v>46057</v>
      </c>
      <c r="C107" s="23" t="inlineStr">
        <is>
          <t>West</t>
        </is>
      </c>
      <c r="D107" s="23" t="n">
        <v>4</v>
      </c>
      <c r="E107" s="39" t="n">
        <v>99.22</v>
      </c>
      <c r="F107" s="40" t="n">
        <v>0.1</v>
      </c>
      <c r="G107" s="39">
        <f>ROUND(D107*E107*(1-F107),2)</f>
        <v/>
      </c>
      <c r="H107" s="39">
        <f>ROUND(G107*'Parameters'!$B$3,2)</f>
        <v/>
      </c>
      <c r="I107" s="39">
        <f>G107+H107</f>
        <v/>
      </c>
      <c r="J107" s="39">
        <f>IF(D107=0,0,ROUND(G107/D107,2))</f>
        <v/>
      </c>
    </row>
    <row r="108">
      <c r="A108" s="23" t="inlineStr">
        <is>
          <t>SO-0106</t>
        </is>
      </c>
      <c r="B108" s="38" t="n">
        <v>46297</v>
      </c>
      <c r="C108" s="23" t="inlineStr">
        <is>
          <t>North</t>
        </is>
      </c>
      <c r="D108" s="23" t="n">
        <v>14</v>
      </c>
      <c r="E108" s="39" t="n">
        <v>43.22</v>
      </c>
      <c r="F108" s="40" t="n">
        <v>0.05</v>
      </c>
      <c r="G108" s="39">
        <f>ROUND(D108*E108*(1-F108),2)</f>
        <v/>
      </c>
      <c r="H108" s="39">
        <f>ROUND(G108*'Parameters'!$B$3,2)</f>
        <v/>
      </c>
      <c r="I108" s="39">
        <f>G108+H108</f>
        <v/>
      </c>
      <c r="J108" s="39">
        <f>IF(D108=0,0,ROUND(G108/D108,2))</f>
        <v/>
      </c>
    </row>
    <row r="109">
      <c r="A109" s="23" t="inlineStr">
        <is>
          <t>SO-0107</t>
        </is>
      </c>
      <c r="B109" s="38" t="n">
        <v>46183</v>
      </c>
      <c r="C109" s="23" t="inlineStr">
        <is>
          <t>North</t>
        </is>
      </c>
      <c r="D109" s="23" t="n">
        <v>5</v>
      </c>
      <c r="E109" s="39" t="n">
        <v>206.08</v>
      </c>
      <c r="F109" s="40" t="n">
        <v>0</v>
      </c>
      <c r="G109" s="39">
        <f>ROUND(D109*E109*(1-F109),2)</f>
        <v/>
      </c>
      <c r="H109" s="39">
        <f>ROUND(G109*'Parameters'!$B$3,2)</f>
        <v/>
      </c>
      <c r="I109" s="39">
        <f>G109+H109</f>
        <v/>
      </c>
      <c r="J109" s="39">
        <f>IF(D109=0,0,ROUND(G109/D109,2))</f>
        <v/>
      </c>
    </row>
    <row r="110">
      <c r="A110" s="23" t="inlineStr">
        <is>
          <t>SO-0108</t>
        </is>
      </c>
      <c r="B110" s="38" t="n">
        <v>46368</v>
      </c>
      <c r="C110" s="23" t="inlineStr">
        <is>
          <t>North</t>
        </is>
      </c>
      <c r="D110" s="23" t="n">
        <v>17</v>
      </c>
      <c r="E110" s="39" t="n">
        <v>107.72</v>
      </c>
      <c r="F110" s="40" t="n">
        <v>0.05</v>
      </c>
      <c r="G110" s="39">
        <f>ROUND(D110*E110*(1-F110),2)</f>
        <v/>
      </c>
      <c r="H110" s="39">
        <f>ROUND(G110*'Parameters'!$B$3,2)</f>
        <v/>
      </c>
      <c r="I110" s="39">
        <f>G110+H110</f>
        <v/>
      </c>
      <c r="J110" s="39">
        <f>IF(D110=0,0,ROUND(G110/D110,2))</f>
        <v/>
      </c>
    </row>
    <row r="111">
      <c r="A111" s="23" t="inlineStr">
        <is>
          <t>SO-0109</t>
        </is>
      </c>
      <c r="B111" s="38" t="n">
        <v>46163</v>
      </c>
      <c r="C111" s="23" t="inlineStr">
        <is>
          <t>South</t>
        </is>
      </c>
      <c r="D111" s="23" t="n">
        <v>6</v>
      </c>
      <c r="E111" s="39" t="n">
        <v>140.6</v>
      </c>
      <c r="F111" s="40" t="n">
        <v>0.1</v>
      </c>
      <c r="G111" s="39">
        <f>ROUND(D111*E111*(1-F111),2)</f>
        <v/>
      </c>
      <c r="H111" s="39">
        <f>ROUND(G111*'Parameters'!$B$3,2)</f>
        <v/>
      </c>
      <c r="I111" s="39">
        <f>G111+H111</f>
        <v/>
      </c>
      <c r="J111" s="39">
        <f>IF(D111=0,0,ROUND(G111/D111,2))</f>
        <v/>
      </c>
    </row>
    <row r="112">
      <c r="A112" s="23" t="inlineStr">
        <is>
          <t>SO-0110</t>
        </is>
      </c>
      <c r="B112" s="38" t="n">
        <v>46347</v>
      </c>
      <c r="C112" s="23" t="inlineStr">
        <is>
          <t>South</t>
        </is>
      </c>
      <c r="D112" s="23" t="n">
        <v>14</v>
      </c>
      <c r="E112" s="39" t="n">
        <v>60.15</v>
      </c>
      <c r="F112" s="40" t="n">
        <v>0</v>
      </c>
      <c r="G112" s="39">
        <f>ROUND(D112*E112*(1-F112),2)</f>
        <v/>
      </c>
      <c r="H112" s="39">
        <f>ROUND(G112*'Parameters'!$B$3,2)</f>
        <v/>
      </c>
      <c r="I112" s="39">
        <f>G112+H112</f>
        <v/>
      </c>
      <c r="J112" s="39">
        <f>IF(D112=0,0,ROUND(G112/D112,2))</f>
        <v/>
      </c>
    </row>
    <row r="113">
      <c r="A113" s="23" t="inlineStr">
        <is>
          <t>SO-0111</t>
        </is>
      </c>
      <c r="B113" s="38" t="n">
        <v>46042</v>
      </c>
      <c r="C113" s="23" t="inlineStr">
        <is>
          <t>West</t>
        </is>
      </c>
      <c r="D113" s="23" t="n">
        <v>6</v>
      </c>
      <c r="E113" s="39" t="n">
        <v>83.73</v>
      </c>
      <c r="F113" s="40" t="n">
        <v>0.15</v>
      </c>
      <c r="G113" s="39">
        <f>ROUND(D113*E113*(1-F113),2)</f>
        <v/>
      </c>
      <c r="H113" s="39">
        <f>ROUND(G113*'Parameters'!$B$3,2)</f>
        <v/>
      </c>
      <c r="I113" s="39">
        <f>G113+H113</f>
        <v/>
      </c>
      <c r="J113" s="39">
        <f>IF(D113=0,0,ROUND(G113/D113,2))</f>
        <v/>
      </c>
    </row>
    <row r="114">
      <c r="A114" s="23" t="inlineStr">
        <is>
          <t>SO-0112</t>
        </is>
      </c>
      <c r="B114" s="38" t="n">
        <v>46102</v>
      </c>
      <c r="C114" s="23" t="inlineStr">
        <is>
          <t>North</t>
        </is>
      </c>
      <c r="D114" s="23" t="n">
        <v>15</v>
      </c>
      <c r="E114" s="39" t="n">
        <v>73.3</v>
      </c>
      <c r="F114" s="40" t="n">
        <v>0.05</v>
      </c>
      <c r="G114" s="39">
        <f>ROUND(D114*E114*(1-F114),2)</f>
        <v/>
      </c>
      <c r="H114" s="39">
        <f>ROUND(G114*'Parameters'!$B$3,2)</f>
        <v/>
      </c>
      <c r="I114" s="39">
        <f>G114+H114</f>
        <v/>
      </c>
      <c r="J114" s="39">
        <f>IF(D114=0,0,ROUND(G114/D114,2))</f>
        <v/>
      </c>
    </row>
    <row r="115">
      <c r="A115" s="23" t="inlineStr">
        <is>
          <t>SO-0113</t>
        </is>
      </c>
      <c r="B115" s="38" t="n">
        <v>46208</v>
      </c>
      <c r="C115" s="23" t="inlineStr">
        <is>
          <t>West</t>
        </is>
      </c>
      <c r="D115" s="23" t="n">
        <v>10</v>
      </c>
      <c r="E115" s="39" t="n">
        <v>111.27</v>
      </c>
      <c r="F115" s="40" t="n">
        <v>0.05</v>
      </c>
      <c r="G115" s="39">
        <f>ROUND(D115*E115*(1-F115),2)</f>
        <v/>
      </c>
      <c r="H115" s="39">
        <f>ROUND(G115*'Parameters'!$B$3,2)</f>
        <v/>
      </c>
      <c r="I115" s="39">
        <f>G115+H115</f>
        <v/>
      </c>
      <c r="J115" s="39">
        <f>IF(D115=0,0,ROUND(G115/D115,2))</f>
        <v/>
      </c>
    </row>
    <row r="116">
      <c r="A116" s="23" t="inlineStr">
        <is>
          <t>SO-0114</t>
        </is>
      </c>
      <c r="B116" s="38" t="n">
        <v>46256</v>
      </c>
      <c r="C116" s="23" t="inlineStr">
        <is>
          <t>East</t>
        </is>
      </c>
      <c r="D116" s="23" t="n">
        <v>11</v>
      </c>
      <c r="E116" s="39" t="n">
        <v>47.9</v>
      </c>
      <c r="F116" s="40" t="n">
        <v>0.05</v>
      </c>
      <c r="G116" s="39">
        <f>ROUND(D116*E116*(1-F116),2)</f>
        <v/>
      </c>
      <c r="H116" s="39">
        <f>ROUND(G116*'Parameters'!$B$3,2)</f>
        <v/>
      </c>
      <c r="I116" s="39">
        <f>G116+H116</f>
        <v/>
      </c>
      <c r="J116" s="39">
        <f>IF(D116=0,0,ROUND(G116/D116,2))</f>
        <v/>
      </c>
    </row>
    <row r="117">
      <c r="A117" s="23" t="inlineStr">
        <is>
          <t>SO-0115</t>
        </is>
      </c>
      <c r="B117" s="38" t="n">
        <v>46287</v>
      </c>
      <c r="C117" s="23" t="inlineStr">
        <is>
          <t>North</t>
        </is>
      </c>
      <c r="D117" s="23" t="n">
        <v>3</v>
      </c>
      <c r="E117" s="39" t="n">
        <v>30.93</v>
      </c>
      <c r="F117" s="40" t="n">
        <v>0.05</v>
      </c>
      <c r="G117" s="39">
        <f>ROUND(D117*E117*(1-F117),2)</f>
        <v/>
      </c>
      <c r="H117" s="39">
        <f>ROUND(G117*'Parameters'!$B$3,2)</f>
        <v/>
      </c>
      <c r="I117" s="39">
        <f>G117+H117</f>
        <v/>
      </c>
      <c r="J117" s="39">
        <f>IF(D117=0,0,ROUND(G117/D117,2))</f>
        <v/>
      </c>
    </row>
    <row r="118">
      <c r="A118" s="23" t="inlineStr">
        <is>
          <t>SO-0116</t>
        </is>
      </c>
      <c r="B118" s="38" t="n">
        <v>46175</v>
      </c>
      <c r="C118" s="23" t="inlineStr">
        <is>
          <t>South</t>
        </is>
      </c>
      <c r="D118" s="23" t="n">
        <v>1</v>
      </c>
      <c r="E118" s="39" t="n">
        <v>245.05</v>
      </c>
      <c r="F118" s="40" t="n">
        <v>0.15</v>
      </c>
      <c r="G118" s="39">
        <f>ROUND(D118*E118*(1-F118),2)</f>
        <v/>
      </c>
      <c r="H118" s="39">
        <f>ROUND(G118*'Parameters'!$B$3,2)</f>
        <v/>
      </c>
      <c r="I118" s="39">
        <f>G118+H118</f>
        <v/>
      </c>
      <c r="J118" s="39">
        <f>IF(D118=0,0,ROUND(G118/D118,2))</f>
        <v/>
      </c>
    </row>
    <row r="119">
      <c r="A119" s="23" t="inlineStr">
        <is>
          <t>SO-0117</t>
        </is>
      </c>
      <c r="B119" s="38" t="n">
        <v>46246</v>
      </c>
      <c r="C119" s="23" t="inlineStr">
        <is>
          <t>North</t>
        </is>
      </c>
      <c r="D119" s="23" t="n">
        <v>16</v>
      </c>
      <c r="E119" s="39" t="n">
        <v>25.17</v>
      </c>
      <c r="F119" s="40" t="n">
        <v>0.15</v>
      </c>
      <c r="G119" s="39">
        <f>ROUND(D119*E119*(1-F119),2)</f>
        <v/>
      </c>
      <c r="H119" s="39">
        <f>ROUND(G119*'Parameters'!$B$3,2)</f>
        <v/>
      </c>
      <c r="I119" s="39">
        <f>G119+H119</f>
        <v/>
      </c>
      <c r="J119" s="39">
        <f>IF(D119=0,0,ROUND(G119/D119,2))</f>
        <v/>
      </c>
    </row>
    <row r="120">
      <c r="A120" s="23" t="inlineStr">
        <is>
          <t>SO-0118</t>
        </is>
      </c>
      <c r="B120" s="38" t="n">
        <v>46245</v>
      </c>
      <c r="C120" s="23" t="inlineStr">
        <is>
          <t>East</t>
        </is>
      </c>
      <c r="D120" s="23" t="n">
        <v>4</v>
      </c>
      <c r="E120" s="39" t="n">
        <v>34.2</v>
      </c>
      <c r="F120" s="40" t="n">
        <v>0.1</v>
      </c>
      <c r="G120" s="39">
        <f>ROUND(D120*E120*(1-F120),2)</f>
        <v/>
      </c>
      <c r="H120" s="39">
        <f>ROUND(G120*'Parameters'!$B$3,2)</f>
        <v/>
      </c>
      <c r="I120" s="39">
        <f>G120+H120</f>
        <v/>
      </c>
      <c r="J120" s="39">
        <f>IF(D120=0,0,ROUND(G120/D120,2))</f>
        <v/>
      </c>
    </row>
    <row r="121">
      <c r="A121" s="23" t="inlineStr">
        <is>
          <t>SO-0119</t>
        </is>
      </c>
      <c r="B121" s="38" t="n">
        <v>46082</v>
      </c>
      <c r="C121" s="23" t="inlineStr">
        <is>
          <t>North</t>
        </is>
      </c>
      <c r="D121" s="23" t="n">
        <v>11</v>
      </c>
      <c r="E121" s="39" t="n">
        <v>159.7</v>
      </c>
      <c r="F121" s="40" t="n">
        <v>0</v>
      </c>
      <c r="G121" s="39">
        <f>ROUND(D121*E121*(1-F121),2)</f>
        <v/>
      </c>
      <c r="H121" s="39">
        <f>ROUND(G121*'Parameters'!$B$3,2)</f>
        <v/>
      </c>
      <c r="I121" s="39">
        <f>G121+H121</f>
        <v/>
      </c>
      <c r="J121" s="39">
        <f>IF(D121=0,0,ROUND(G121/D121,2))</f>
        <v/>
      </c>
    </row>
    <row r="122">
      <c r="A122" s="23" t="inlineStr">
        <is>
          <t>SO-0120</t>
        </is>
      </c>
      <c r="B122" s="38" t="n">
        <v>46107</v>
      </c>
      <c r="C122" s="23" t="inlineStr">
        <is>
          <t>North</t>
        </is>
      </c>
      <c r="D122" s="23" t="n">
        <v>18</v>
      </c>
      <c r="E122" s="39" t="n">
        <v>149.49</v>
      </c>
      <c r="F122" s="40" t="n">
        <v>0.05</v>
      </c>
      <c r="G122" s="39">
        <f>ROUND(D122*E122*(1-F122),2)</f>
        <v/>
      </c>
      <c r="H122" s="39">
        <f>ROUND(G122*'Parameters'!$B$3,2)</f>
        <v/>
      </c>
      <c r="I122" s="39">
        <f>G122+H122</f>
        <v/>
      </c>
      <c r="J122" s="39">
        <f>IF(D122=0,0,ROUND(G122/D122,2))</f>
        <v/>
      </c>
    </row>
    <row r="123">
      <c r="A123" s="23" t="inlineStr">
        <is>
          <t>SO-0121</t>
        </is>
      </c>
      <c r="B123" s="38" t="n">
        <v>46065</v>
      </c>
      <c r="C123" s="23" t="inlineStr">
        <is>
          <t>East</t>
        </is>
      </c>
      <c r="D123" s="23" t="n">
        <v>13</v>
      </c>
      <c r="E123" s="39" t="n">
        <v>96.70999999999999</v>
      </c>
      <c r="F123" s="40" t="n">
        <v>0.05</v>
      </c>
      <c r="G123" s="39">
        <f>ROUND(D123*E123*(1-F123),2)</f>
        <v/>
      </c>
      <c r="H123" s="39">
        <f>ROUND(G123*'Parameters'!$B$3,2)</f>
        <v/>
      </c>
      <c r="I123" s="39">
        <f>G123+H123</f>
        <v/>
      </c>
      <c r="J123" s="39">
        <f>IF(D123=0,0,ROUND(G123/D123,2))</f>
        <v/>
      </c>
    </row>
    <row r="124">
      <c r="A124" s="23" t="inlineStr">
        <is>
          <t>SO-0122</t>
        </is>
      </c>
      <c r="B124" s="38" t="n">
        <v>46136</v>
      </c>
      <c r="C124" s="23" t="inlineStr">
        <is>
          <t>East</t>
        </is>
      </c>
      <c r="D124" s="23" t="n">
        <v>11</v>
      </c>
      <c r="E124" s="39" t="n">
        <v>88.39</v>
      </c>
      <c r="F124" s="40" t="n">
        <v>0.05</v>
      </c>
      <c r="G124" s="39">
        <f>ROUND(D124*E124*(1-F124),2)</f>
        <v/>
      </c>
      <c r="H124" s="39">
        <f>ROUND(G124*'Parameters'!$B$3,2)</f>
        <v/>
      </c>
      <c r="I124" s="39">
        <f>G124+H124</f>
        <v/>
      </c>
      <c r="J124" s="39">
        <f>IF(D124=0,0,ROUND(G124/D124,2))</f>
        <v/>
      </c>
    </row>
    <row r="125">
      <c r="A125" s="23" t="inlineStr">
        <is>
          <t>SO-0123</t>
        </is>
      </c>
      <c r="B125" s="38" t="n">
        <v>46337</v>
      </c>
      <c r="C125" s="23" t="inlineStr">
        <is>
          <t>West</t>
        </is>
      </c>
      <c r="D125" s="23" t="n">
        <v>16</v>
      </c>
      <c r="E125" s="39" t="n">
        <v>86.54000000000001</v>
      </c>
      <c r="F125" s="40" t="n">
        <v>0.1</v>
      </c>
      <c r="G125" s="39">
        <f>ROUND(D125*E125*(1-F125),2)</f>
        <v/>
      </c>
      <c r="H125" s="39">
        <f>ROUND(G125*'Parameters'!$B$3,2)</f>
        <v/>
      </c>
      <c r="I125" s="39">
        <f>G125+H125</f>
        <v/>
      </c>
      <c r="J125" s="39">
        <f>IF(D125=0,0,ROUND(G125/D125,2))</f>
        <v/>
      </c>
    </row>
    <row r="126">
      <c r="A126" s="23" t="inlineStr">
        <is>
          <t>SO-0124</t>
        </is>
      </c>
      <c r="B126" s="38" t="n">
        <v>46180</v>
      </c>
      <c r="C126" s="23" t="inlineStr">
        <is>
          <t>East</t>
        </is>
      </c>
      <c r="D126" s="23" t="n">
        <v>20</v>
      </c>
      <c r="E126" s="39" t="n">
        <v>151.02</v>
      </c>
      <c r="F126" s="40" t="n">
        <v>0.15</v>
      </c>
      <c r="G126" s="39">
        <f>ROUND(D126*E126*(1-F126),2)</f>
        <v/>
      </c>
      <c r="H126" s="39">
        <f>ROUND(G126*'Parameters'!$B$3,2)</f>
        <v/>
      </c>
      <c r="I126" s="39">
        <f>G126+H126</f>
        <v/>
      </c>
      <c r="J126" s="39">
        <f>IF(D126=0,0,ROUND(G126/D126,2))</f>
        <v/>
      </c>
    </row>
    <row r="127">
      <c r="A127" s="23" t="inlineStr">
        <is>
          <t>SO-0125</t>
        </is>
      </c>
      <c r="B127" s="38" t="n">
        <v>46040</v>
      </c>
      <c r="C127" s="23" t="inlineStr">
        <is>
          <t>East</t>
        </is>
      </c>
      <c r="D127" s="23" t="n">
        <v>8</v>
      </c>
      <c r="E127" s="39" t="n">
        <v>20.95</v>
      </c>
      <c r="F127" s="40" t="n">
        <v>0</v>
      </c>
      <c r="G127" s="39">
        <f>ROUND(D127*E127*(1-F127),2)</f>
        <v/>
      </c>
      <c r="H127" s="39">
        <f>ROUND(G127*'Parameters'!$B$3,2)</f>
        <v/>
      </c>
      <c r="I127" s="39">
        <f>G127+H127</f>
        <v/>
      </c>
      <c r="J127" s="39">
        <f>IF(D127=0,0,ROUND(G127/D127,2))</f>
        <v/>
      </c>
    </row>
    <row r="128">
      <c r="A128" s="23" t="inlineStr">
        <is>
          <t>SO-0126</t>
        </is>
      </c>
      <c r="B128" s="38" t="n">
        <v>46208</v>
      </c>
      <c r="C128" s="23" t="inlineStr">
        <is>
          <t>North</t>
        </is>
      </c>
      <c r="D128" s="23" t="n">
        <v>12</v>
      </c>
      <c r="E128" s="39" t="n">
        <v>217.47</v>
      </c>
      <c r="F128" s="40" t="n">
        <v>0.1</v>
      </c>
      <c r="G128" s="39">
        <f>ROUND(D128*E128*(1-F128),2)</f>
        <v/>
      </c>
      <c r="H128" s="39">
        <f>ROUND(G128*'Parameters'!$B$3,2)</f>
        <v/>
      </c>
      <c r="I128" s="39">
        <f>G128+H128</f>
        <v/>
      </c>
      <c r="J128" s="39">
        <f>IF(D128=0,0,ROUND(G128/D128,2))</f>
        <v/>
      </c>
    </row>
    <row r="129">
      <c r="A129" s="23" t="inlineStr">
        <is>
          <t>SO-0127</t>
        </is>
      </c>
      <c r="B129" s="38" t="n">
        <v>46330</v>
      </c>
      <c r="C129" s="23" t="inlineStr">
        <is>
          <t>North</t>
        </is>
      </c>
      <c r="D129" s="23" t="n">
        <v>12</v>
      </c>
      <c r="E129" s="39" t="n">
        <v>138.53</v>
      </c>
      <c r="F129" s="40" t="n">
        <v>0.1</v>
      </c>
      <c r="G129" s="39">
        <f>ROUND(D129*E129*(1-F129),2)</f>
        <v/>
      </c>
      <c r="H129" s="39">
        <f>ROUND(G129*'Parameters'!$B$3,2)</f>
        <v/>
      </c>
      <c r="I129" s="39">
        <f>G129+H129</f>
        <v/>
      </c>
      <c r="J129" s="39">
        <f>IF(D129=0,0,ROUND(G129/D129,2))</f>
        <v/>
      </c>
    </row>
    <row r="130">
      <c r="A130" s="23" t="inlineStr">
        <is>
          <t>SO-0128</t>
        </is>
      </c>
      <c r="B130" s="38" t="n">
        <v>46259</v>
      </c>
      <c r="C130" s="23" t="inlineStr">
        <is>
          <t>West</t>
        </is>
      </c>
      <c r="D130" s="23" t="n">
        <v>9</v>
      </c>
      <c r="E130" s="39" t="n">
        <v>83.59</v>
      </c>
      <c r="F130" s="40" t="n">
        <v>0.15</v>
      </c>
      <c r="G130" s="39">
        <f>ROUND(D130*E130*(1-F130),2)</f>
        <v/>
      </c>
      <c r="H130" s="39">
        <f>ROUND(G130*'Parameters'!$B$3,2)</f>
        <v/>
      </c>
      <c r="I130" s="39">
        <f>G130+H130</f>
        <v/>
      </c>
      <c r="J130" s="39">
        <f>IF(D130=0,0,ROUND(G130/D130,2))</f>
        <v/>
      </c>
    </row>
    <row r="131">
      <c r="A131" s="23" t="inlineStr">
        <is>
          <t>SO-0129</t>
        </is>
      </c>
      <c r="B131" s="38" t="n">
        <v>46169</v>
      </c>
      <c r="C131" s="23" t="inlineStr">
        <is>
          <t>South</t>
        </is>
      </c>
      <c r="D131" s="23" t="n">
        <v>2</v>
      </c>
      <c r="E131" s="39" t="n">
        <v>245.38</v>
      </c>
      <c r="F131" s="40" t="n">
        <v>0.15</v>
      </c>
      <c r="G131" s="39">
        <f>ROUND(D131*E131*(1-F131),2)</f>
        <v/>
      </c>
      <c r="H131" s="39">
        <f>ROUND(G131*'Parameters'!$B$3,2)</f>
        <v/>
      </c>
      <c r="I131" s="39">
        <f>G131+H131</f>
        <v/>
      </c>
      <c r="J131" s="39">
        <f>IF(D131=0,0,ROUND(G131/D131,2))</f>
        <v/>
      </c>
    </row>
    <row r="132">
      <c r="A132" s="23" t="inlineStr">
        <is>
          <t>SO-0130</t>
        </is>
      </c>
      <c r="B132" s="38" t="n">
        <v>46030</v>
      </c>
      <c r="C132" s="23" t="inlineStr">
        <is>
          <t>North</t>
        </is>
      </c>
      <c r="D132" s="23" t="n">
        <v>3</v>
      </c>
      <c r="E132" s="39" t="n">
        <v>130.85</v>
      </c>
      <c r="F132" s="40" t="n">
        <v>0.05</v>
      </c>
      <c r="G132" s="39">
        <f>ROUND(D132*E132*(1-F132),2)</f>
        <v/>
      </c>
      <c r="H132" s="39">
        <f>ROUND(G132*'Parameters'!$B$3,2)</f>
        <v/>
      </c>
      <c r="I132" s="39">
        <f>G132+H132</f>
        <v/>
      </c>
      <c r="J132" s="39">
        <f>IF(D132=0,0,ROUND(G132/D132,2))</f>
        <v/>
      </c>
    </row>
    <row r="133">
      <c r="A133" s="23" t="inlineStr">
        <is>
          <t>SO-0131</t>
        </is>
      </c>
      <c r="B133" s="38" t="n">
        <v>46210</v>
      </c>
      <c r="C133" s="23" t="inlineStr">
        <is>
          <t>North</t>
        </is>
      </c>
      <c r="D133" s="23" t="n">
        <v>10</v>
      </c>
      <c r="E133" s="39" t="n">
        <v>219.52</v>
      </c>
      <c r="F133" s="40" t="n">
        <v>0.05</v>
      </c>
      <c r="G133" s="39">
        <f>ROUND(D133*E133*(1-F133),2)</f>
        <v/>
      </c>
      <c r="H133" s="39">
        <f>ROUND(G133*'Parameters'!$B$3,2)</f>
        <v/>
      </c>
      <c r="I133" s="39">
        <f>G133+H133</f>
        <v/>
      </c>
      <c r="J133" s="39">
        <f>IF(D133=0,0,ROUND(G133/D133,2))</f>
        <v/>
      </c>
    </row>
    <row r="134">
      <c r="A134" s="23" t="inlineStr">
        <is>
          <t>SO-0132</t>
        </is>
      </c>
      <c r="B134" s="38" t="n">
        <v>46255</v>
      </c>
      <c r="C134" s="23" t="inlineStr">
        <is>
          <t>East</t>
        </is>
      </c>
      <c r="D134" s="23" t="n">
        <v>6</v>
      </c>
      <c r="E134" s="39" t="n">
        <v>30.84</v>
      </c>
      <c r="F134" s="40" t="n">
        <v>0.15</v>
      </c>
      <c r="G134" s="39">
        <f>ROUND(D134*E134*(1-F134),2)</f>
        <v/>
      </c>
      <c r="H134" s="39">
        <f>ROUND(G134*'Parameters'!$B$3,2)</f>
        <v/>
      </c>
      <c r="I134" s="39">
        <f>G134+H134</f>
        <v/>
      </c>
      <c r="J134" s="39">
        <f>IF(D134=0,0,ROUND(G134/D134,2))</f>
        <v/>
      </c>
    </row>
    <row r="135">
      <c r="A135" s="23" t="inlineStr">
        <is>
          <t>SO-0133</t>
        </is>
      </c>
      <c r="B135" s="38" t="n">
        <v>46335</v>
      </c>
      <c r="C135" s="23" t="inlineStr">
        <is>
          <t>West</t>
        </is>
      </c>
      <c r="D135" s="23" t="n">
        <v>6</v>
      </c>
      <c r="E135" s="39" t="n">
        <v>68.19</v>
      </c>
      <c r="F135" s="40" t="n">
        <v>0.15</v>
      </c>
      <c r="G135" s="39">
        <f>ROUND(D135*E135*(1-F135),2)</f>
        <v/>
      </c>
      <c r="H135" s="39">
        <f>ROUND(G135*'Parameters'!$B$3,2)</f>
        <v/>
      </c>
      <c r="I135" s="39">
        <f>G135+H135</f>
        <v/>
      </c>
      <c r="J135" s="39">
        <f>IF(D135=0,0,ROUND(G135/D135,2))</f>
        <v/>
      </c>
    </row>
    <row r="136">
      <c r="A136" s="23" t="inlineStr">
        <is>
          <t>SO-0134</t>
        </is>
      </c>
      <c r="B136" s="38" t="n">
        <v>46076</v>
      </c>
      <c r="C136" s="23" t="inlineStr">
        <is>
          <t>East</t>
        </is>
      </c>
      <c r="D136" s="23" t="n">
        <v>5</v>
      </c>
      <c r="E136" s="39" t="n">
        <v>201.16</v>
      </c>
      <c r="F136" s="40" t="n">
        <v>0.15</v>
      </c>
      <c r="G136" s="39">
        <f>ROUND(D136*E136*(1-F136),2)</f>
        <v/>
      </c>
      <c r="H136" s="39">
        <f>ROUND(G136*'Parameters'!$B$3,2)</f>
        <v/>
      </c>
      <c r="I136" s="39">
        <f>G136+H136</f>
        <v/>
      </c>
      <c r="J136" s="39">
        <f>IF(D136=0,0,ROUND(G136/D136,2))</f>
        <v/>
      </c>
    </row>
    <row r="137">
      <c r="A137" s="23" t="inlineStr">
        <is>
          <t>SO-0135</t>
        </is>
      </c>
      <c r="B137" s="38" t="n">
        <v>46164</v>
      </c>
      <c r="C137" s="23" t="inlineStr">
        <is>
          <t>East</t>
        </is>
      </c>
      <c r="D137" s="23" t="n">
        <v>4</v>
      </c>
      <c r="E137" s="39" t="n">
        <v>53.2</v>
      </c>
      <c r="F137" s="40" t="n">
        <v>0</v>
      </c>
      <c r="G137" s="39">
        <f>ROUND(D137*E137*(1-F137),2)</f>
        <v/>
      </c>
      <c r="H137" s="39">
        <f>ROUND(G137*'Parameters'!$B$3,2)</f>
        <v/>
      </c>
      <c r="I137" s="39">
        <f>G137+H137</f>
        <v/>
      </c>
      <c r="J137" s="39">
        <f>IF(D137=0,0,ROUND(G137/D137,2))</f>
        <v/>
      </c>
    </row>
    <row r="138">
      <c r="A138" s="23" t="inlineStr">
        <is>
          <t>SO-0136</t>
        </is>
      </c>
      <c r="B138" s="38" t="n">
        <v>46060</v>
      </c>
      <c r="C138" s="23" t="inlineStr">
        <is>
          <t>South</t>
        </is>
      </c>
      <c r="D138" s="23" t="n">
        <v>6</v>
      </c>
      <c r="E138" s="39" t="n">
        <v>63.95</v>
      </c>
      <c r="F138" s="40" t="n">
        <v>0.15</v>
      </c>
      <c r="G138" s="39">
        <f>ROUND(D138*E138*(1-F138),2)</f>
        <v/>
      </c>
      <c r="H138" s="39">
        <f>ROUND(G138*'Parameters'!$B$3,2)</f>
        <v/>
      </c>
      <c r="I138" s="39">
        <f>G138+H138</f>
        <v/>
      </c>
      <c r="J138" s="39">
        <f>IF(D138=0,0,ROUND(G138/D138,2))</f>
        <v/>
      </c>
    </row>
    <row r="139">
      <c r="A139" s="23" t="inlineStr">
        <is>
          <t>SO-0137</t>
        </is>
      </c>
      <c r="B139" s="38" t="n">
        <v>46026</v>
      </c>
      <c r="C139" s="23" t="inlineStr">
        <is>
          <t>North</t>
        </is>
      </c>
      <c r="D139" s="23" t="n">
        <v>13</v>
      </c>
      <c r="E139" s="39" t="n">
        <v>30.84</v>
      </c>
      <c r="F139" s="40" t="n">
        <v>0</v>
      </c>
      <c r="G139" s="39">
        <f>ROUND(D139*E139*(1-F139),2)</f>
        <v/>
      </c>
      <c r="H139" s="39">
        <f>ROUND(G139*'Parameters'!$B$3,2)</f>
        <v/>
      </c>
      <c r="I139" s="39">
        <f>G139+H139</f>
        <v/>
      </c>
      <c r="J139" s="39">
        <f>IF(D139=0,0,ROUND(G139/D139,2))</f>
        <v/>
      </c>
    </row>
    <row r="140">
      <c r="A140" s="23" t="inlineStr">
        <is>
          <t>SO-0138</t>
        </is>
      </c>
      <c r="B140" s="38" t="n">
        <v>46131</v>
      </c>
      <c r="C140" s="23" t="inlineStr">
        <is>
          <t>South</t>
        </is>
      </c>
      <c r="D140" s="23" t="n">
        <v>2</v>
      </c>
      <c r="E140" s="39" t="n">
        <v>142.28</v>
      </c>
      <c r="F140" s="40" t="n">
        <v>0</v>
      </c>
      <c r="G140" s="39">
        <f>ROUND(D140*E140*(1-F140),2)</f>
        <v/>
      </c>
      <c r="H140" s="39">
        <f>ROUND(G140*'Parameters'!$B$3,2)</f>
        <v/>
      </c>
      <c r="I140" s="39">
        <f>G140+H140</f>
        <v/>
      </c>
      <c r="J140" s="39">
        <f>IF(D140=0,0,ROUND(G140/D140,2))</f>
        <v/>
      </c>
    </row>
    <row r="141">
      <c r="A141" s="23" t="inlineStr">
        <is>
          <t>SO-0139</t>
        </is>
      </c>
      <c r="B141" s="38" t="n">
        <v>46288</v>
      </c>
      <c r="C141" s="23" t="inlineStr">
        <is>
          <t>East</t>
        </is>
      </c>
      <c r="D141" s="23" t="n">
        <v>3</v>
      </c>
      <c r="E141" s="39" t="n">
        <v>240.59</v>
      </c>
      <c r="F141" s="40" t="n">
        <v>0.05</v>
      </c>
      <c r="G141" s="39">
        <f>ROUND(D141*E141*(1-F141),2)</f>
        <v/>
      </c>
      <c r="H141" s="39">
        <f>ROUND(G141*'Parameters'!$B$3,2)</f>
        <v/>
      </c>
      <c r="I141" s="39">
        <f>G141+H141</f>
        <v/>
      </c>
      <c r="J141" s="39">
        <f>IF(D141=0,0,ROUND(G141/D141,2))</f>
        <v/>
      </c>
    </row>
    <row r="142">
      <c r="A142" s="23" t="inlineStr">
        <is>
          <t>SO-0140</t>
        </is>
      </c>
      <c r="B142" s="38" t="n">
        <v>46214</v>
      </c>
      <c r="C142" s="23" t="inlineStr">
        <is>
          <t>North</t>
        </is>
      </c>
      <c r="D142" s="23" t="n">
        <v>12</v>
      </c>
      <c r="E142" s="39" t="n">
        <v>179.75</v>
      </c>
      <c r="F142" s="40" t="n">
        <v>0.15</v>
      </c>
      <c r="G142" s="39">
        <f>ROUND(D142*E142*(1-F142),2)</f>
        <v/>
      </c>
      <c r="H142" s="39">
        <f>ROUND(G142*'Parameters'!$B$3,2)</f>
        <v/>
      </c>
      <c r="I142" s="39">
        <f>G142+H142</f>
        <v/>
      </c>
      <c r="J142" s="39">
        <f>IF(D142=0,0,ROUND(G142/D142,2))</f>
        <v/>
      </c>
    </row>
    <row r="143">
      <c r="A143" s="23" t="inlineStr">
        <is>
          <t>SO-0141</t>
        </is>
      </c>
      <c r="B143" s="38" t="n">
        <v>46062</v>
      </c>
      <c r="C143" s="23" t="inlineStr">
        <is>
          <t>North</t>
        </is>
      </c>
      <c r="D143" s="23" t="n">
        <v>7</v>
      </c>
      <c r="E143" s="39" t="n">
        <v>66.97</v>
      </c>
      <c r="F143" s="40" t="n">
        <v>0</v>
      </c>
      <c r="G143" s="39">
        <f>ROUND(D143*E143*(1-F143),2)</f>
        <v/>
      </c>
      <c r="H143" s="39">
        <f>ROUND(G143*'Parameters'!$B$3,2)</f>
        <v/>
      </c>
      <c r="I143" s="39">
        <f>G143+H143</f>
        <v/>
      </c>
      <c r="J143" s="39">
        <f>IF(D143=0,0,ROUND(G143/D143,2))</f>
        <v/>
      </c>
    </row>
    <row r="144">
      <c r="A144" s="23" t="inlineStr">
        <is>
          <t>SO-0142</t>
        </is>
      </c>
      <c r="B144" s="38" t="n">
        <v>46080</v>
      </c>
      <c r="C144" s="23" t="inlineStr">
        <is>
          <t>West</t>
        </is>
      </c>
      <c r="D144" s="23" t="n">
        <v>11</v>
      </c>
      <c r="E144" s="39" t="n">
        <v>43.7</v>
      </c>
      <c r="F144" s="40" t="n">
        <v>0.05</v>
      </c>
      <c r="G144" s="39">
        <f>ROUND(D144*E144*(1-F144),2)</f>
        <v/>
      </c>
      <c r="H144" s="39">
        <f>ROUND(G144*'Parameters'!$B$3,2)</f>
        <v/>
      </c>
      <c r="I144" s="39">
        <f>G144+H144</f>
        <v/>
      </c>
      <c r="J144" s="39">
        <f>IF(D144=0,0,ROUND(G144/D144,2))</f>
        <v/>
      </c>
    </row>
    <row r="145">
      <c r="A145" s="23" t="inlineStr">
        <is>
          <t>SO-0143</t>
        </is>
      </c>
      <c r="B145" s="38" t="n">
        <v>46029</v>
      </c>
      <c r="C145" s="23" t="inlineStr">
        <is>
          <t>North</t>
        </is>
      </c>
      <c r="D145" s="23" t="n">
        <v>19</v>
      </c>
      <c r="E145" s="39" t="n">
        <v>16.52</v>
      </c>
      <c r="F145" s="40" t="n">
        <v>0.05</v>
      </c>
      <c r="G145" s="39">
        <f>ROUND(D145*E145*(1-F145),2)</f>
        <v/>
      </c>
      <c r="H145" s="39">
        <f>ROUND(G145*'Parameters'!$B$3,2)</f>
        <v/>
      </c>
      <c r="I145" s="39">
        <f>G145+H145</f>
        <v/>
      </c>
      <c r="J145" s="39">
        <f>IF(D145=0,0,ROUND(G145/D145,2))</f>
        <v/>
      </c>
    </row>
    <row r="146">
      <c r="A146" s="23" t="inlineStr">
        <is>
          <t>SO-0144</t>
        </is>
      </c>
      <c r="B146" s="38" t="n">
        <v>46242</v>
      </c>
      <c r="C146" s="23" t="inlineStr">
        <is>
          <t>South</t>
        </is>
      </c>
      <c r="D146" s="23" t="n">
        <v>9</v>
      </c>
      <c r="E146" s="39" t="n">
        <v>28.13</v>
      </c>
      <c r="F146" s="40" t="n">
        <v>0.1</v>
      </c>
      <c r="G146" s="39">
        <f>ROUND(D146*E146*(1-F146),2)</f>
        <v/>
      </c>
      <c r="H146" s="39">
        <f>ROUND(G146*'Parameters'!$B$3,2)</f>
        <v/>
      </c>
      <c r="I146" s="39">
        <f>G146+H146</f>
        <v/>
      </c>
      <c r="J146" s="39">
        <f>IF(D146=0,0,ROUND(G146/D146,2))</f>
        <v/>
      </c>
    </row>
    <row r="147">
      <c r="A147" s="23" t="inlineStr">
        <is>
          <t>SO-0145</t>
        </is>
      </c>
      <c r="B147" s="38" t="n">
        <v>46058</v>
      </c>
      <c r="C147" s="23" t="inlineStr">
        <is>
          <t>North</t>
        </is>
      </c>
      <c r="D147" s="23" t="n">
        <v>14</v>
      </c>
      <c r="E147" s="39" t="n">
        <v>123.22</v>
      </c>
      <c r="F147" s="40" t="n">
        <v>0.1</v>
      </c>
      <c r="G147" s="39">
        <f>ROUND(D147*E147*(1-F147),2)</f>
        <v/>
      </c>
      <c r="H147" s="39">
        <f>ROUND(G147*'Parameters'!$B$3,2)</f>
        <v/>
      </c>
      <c r="I147" s="39">
        <f>G147+H147</f>
        <v/>
      </c>
      <c r="J147" s="39">
        <f>IF(D147=0,0,ROUND(G147/D147,2))</f>
        <v/>
      </c>
    </row>
    <row r="148">
      <c r="A148" s="23" t="inlineStr">
        <is>
          <t>SO-0146</t>
        </is>
      </c>
      <c r="B148" s="38" t="n">
        <v>46083</v>
      </c>
      <c r="C148" s="23" t="inlineStr">
        <is>
          <t>South</t>
        </is>
      </c>
      <c r="D148" s="23" t="n">
        <v>15</v>
      </c>
      <c r="E148" s="39" t="n">
        <v>211.02</v>
      </c>
      <c r="F148" s="40" t="n">
        <v>0.15</v>
      </c>
      <c r="G148" s="39">
        <f>ROUND(D148*E148*(1-F148),2)</f>
        <v/>
      </c>
      <c r="H148" s="39">
        <f>ROUND(G148*'Parameters'!$B$3,2)</f>
        <v/>
      </c>
      <c r="I148" s="39">
        <f>G148+H148</f>
        <v/>
      </c>
      <c r="J148" s="39">
        <f>IF(D148=0,0,ROUND(G148/D148,2))</f>
        <v/>
      </c>
    </row>
    <row r="149">
      <c r="A149" s="23" t="inlineStr">
        <is>
          <t>SO-0147</t>
        </is>
      </c>
      <c r="B149" s="38" t="n">
        <v>46222</v>
      </c>
      <c r="C149" s="23" t="inlineStr">
        <is>
          <t>South</t>
        </is>
      </c>
      <c r="D149" s="23" t="n">
        <v>4</v>
      </c>
      <c r="E149" s="39" t="n">
        <v>127.46</v>
      </c>
      <c r="F149" s="40" t="n">
        <v>0</v>
      </c>
      <c r="G149" s="39">
        <f>ROUND(D149*E149*(1-F149),2)</f>
        <v/>
      </c>
      <c r="H149" s="39">
        <f>ROUND(G149*'Parameters'!$B$3,2)</f>
        <v/>
      </c>
      <c r="I149" s="39">
        <f>G149+H149</f>
        <v/>
      </c>
      <c r="J149" s="39">
        <f>IF(D149=0,0,ROUND(G149/D149,2))</f>
        <v/>
      </c>
    </row>
    <row r="150">
      <c r="A150" s="23" t="inlineStr">
        <is>
          <t>SO-0148</t>
        </is>
      </c>
      <c r="B150" s="38" t="n">
        <v>46333</v>
      </c>
      <c r="C150" s="23" t="inlineStr">
        <is>
          <t>East</t>
        </is>
      </c>
      <c r="D150" s="23" t="n">
        <v>16</v>
      </c>
      <c r="E150" s="39" t="n">
        <v>244.81</v>
      </c>
      <c r="F150" s="40" t="n">
        <v>0.05</v>
      </c>
      <c r="G150" s="39">
        <f>ROUND(D150*E150*(1-F150),2)</f>
        <v/>
      </c>
      <c r="H150" s="39">
        <f>ROUND(G150*'Parameters'!$B$3,2)</f>
        <v/>
      </c>
      <c r="I150" s="39">
        <f>G150+H150</f>
        <v/>
      </c>
      <c r="J150" s="39">
        <f>IF(D150=0,0,ROUND(G150/D150,2))</f>
        <v/>
      </c>
    </row>
    <row r="151">
      <c r="A151" s="23" t="inlineStr">
        <is>
          <t>SO-0149</t>
        </is>
      </c>
      <c r="B151" s="38" t="n">
        <v>46243</v>
      </c>
      <c r="C151" s="23" t="inlineStr">
        <is>
          <t>West</t>
        </is>
      </c>
      <c r="D151" s="23" t="n">
        <v>16</v>
      </c>
      <c r="E151" s="39" t="n">
        <v>204.42</v>
      </c>
      <c r="F151" s="40" t="n">
        <v>0.15</v>
      </c>
      <c r="G151" s="39">
        <f>ROUND(D151*E151*(1-F151),2)</f>
        <v/>
      </c>
      <c r="H151" s="39">
        <f>ROUND(G151*'Parameters'!$B$3,2)</f>
        <v/>
      </c>
      <c r="I151" s="39">
        <f>G151+H151</f>
        <v/>
      </c>
      <c r="J151" s="39">
        <f>IF(D151=0,0,ROUND(G151/D151,2))</f>
        <v/>
      </c>
    </row>
    <row r="152">
      <c r="A152" s="23" t="inlineStr">
        <is>
          <t>SO-0150</t>
        </is>
      </c>
      <c r="B152" s="38" t="n">
        <v>46213</v>
      </c>
      <c r="C152" s="23" t="inlineStr">
        <is>
          <t>South</t>
        </is>
      </c>
      <c r="D152" s="23" t="n">
        <v>15</v>
      </c>
      <c r="E152" s="39" t="n">
        <v>162.67</v>
      </c>
      <c r="F152" s="40" t="n">
        <v>0.05</v>
      </c>
      <c r="G152" s="39">
        <f>ROUND(D152*E152*(1-F152),2)</f>
        <v/>
      </c>
      <c r="H152" s="39">
        <f>ROUND(G152*'Parameters'!$B$3,2)</f>
        <v/>
      </c>
      <c r="I152" s="39">
        <f>G152+H152</f>
        <v/>
      </c>
      <c r="J152" s="39">
        <f>IF(D152=0,0,ROUND(G152/D152,2))</f>
        <v/>
      </c>
    </row>
    <row r="153">
      <c r="A153" s="23" t="inlineStr">
        <is>
          <t>SO-0151</t>
        </is>
      </c>
      <c r="B153" s="38" t="n">
        <v>46340</v>
      </c>
      <c r="C153" s="23" t="inlineStr">
        <is>
          <t>East</t>
        </is>
      </c>
      <c r="D153" s="23" t="n">
        <v>18</v>
      </c>
      <c r="E153" s="39" t="n">
        <v>149.94</v>
      </c>
      <c r="F153" s="40" t="n">
        <v>0</v>
      </c>
      <c r="G153" s="39">
        <f>ROUND(D153*E153*(1-F153),2)</f>
        <v/>
      </c>
      <c r="H153" s="39">
        <f>ROUND(G153*'Parameters'!$B$3,2)</f>
        <v/>
      </c>
      <c r="I153" s="39">
        <f>G153+H153</f>
        <v/>
      </c>
      <c r="J153" s="39">
        <f>IF(D153=0,0,ROUND(G153/D153,2))</f>
        <v/>
      </c>
    </row>
    <row r="154">
      <c r="A154" s="23" t="inlineStr">
        <is>
          <t>SO-0152</t>
        </is>
      </c>
      <c r="B154" s="38" t="n">
        <v>46274</v>
      </c>
      <c r="C154" s="23" t="inlineStr">
        <is>
          <t>East</t>
        </is>
      </c>
      <c r="D154" s="23" t="n">
        <v>16</v>
      </c>
      <c r="E154" s="39" t="n">
        <v>100.02</v>
      </c>
      <c r="F154" s="40" t="n">
        <v>0.15</v>
      </c>
      <c r="G154" s="39">
        <f>ROUND(D154*E154*(1-F154),2)</f>
        <v/>
      </c>
      <c r="H154" s="39">
        <f>ROUND(G154*'Parameters'!$B$3,2)</f>
        <v/>
      </c>
      <c r="I154" s="39">
        <f>G154+H154</f>
        <v/>
      </c>
      <c r="J154" s="39">
        <f>IF(D154=0,0,ROUND(G154/D154,2))</f>
        <v/>
      </c>
    </row>
    <row r="155">
      <c r="A155" s="23" t="inlineStr">
        <is>
          <t>SO-0153</t>
        </is>
      </c>
      <c r="B155" s="38" t="n">
        <v>46182</v>
      </c>
      <c r="C155" s="23" t="inlineStr">
        <is>
          <t>North</t>
        </is>
      </c>
      <c r="D155" s="23" t="n">
        <v>7</v>
      </c>
      <c r="E155" s="39" t="n">
        <v>77.67</v>
      </c>
      <c r="F155" s="40" t="n">
        <v>0</v>
      </c>
      <c r="G155" s="39">
        <f>ROUND(D155*E155*(1-F155),2)</f>
        <v/>
      </c>
      <c r="H155" s="39">
        <f>ROUND(G155*'Parameters'!$B$3,2)</f>
        <v/>
      </c>
      <c r="I155" s="39">
        <f>G155+H155</f>
        <v/>
      </c>
      <c r="J155" s="39">
        <f>IF(D155=0,0,ROUND(G155/D155,2))</f>
        <v/>
      </c>
    </row>
    <row r="156">
      <c r="A156" s="23" t="inlineStr">
        <is>
          <t>SO-0154</t>
        </is>
      </c>
      <c r="B156" s="38" t="n">
        <v>46063</v>
      </c>
      <c r="C156" s="23" t="inlineStr">
        <is>
          <t>North</t>
        </is>
      </c>
      <c r="D156" s="23" t="n">
        <v>15</v>
      </c>
      <c r="E156" s="39" t="n">
        <v>65.13</v>
      </c>
      <c r="F156" s="40" t="n">
        <v>0.15</v>
      </c>
      <c r="G156" s="39">
        <f>ROUND(D156*E156*(1-F156),2)</f>
        <v/>
      </c>
      <c r="H156" s="39">
        <f>ROUND(G156*'Parameters'!$B$3,2)</f>
        <v/>
      </c>
      <c r="I156" s="39">
        <f>G156+H156</f>
        <v/>
      </c>
      <c r="J156" s="39">
        <f>IF(D156=0,0,ROUND(G156/D156,2))</f>
        <v/>
      </c>
    </row>
    <row r="157">
      <c r="A157" s="23" t="inlineStr">
        <is>
          <t>SO-0155</t>
        </is>
      </c>
      <c r="B157" s="38" t="n">
        <v>46250</v>
      </c>
      <c r="C157" s="23" t="inlineStr">
        <is>
          <t>North</t>
        </is>
      </c>
      <c r="D157" s="23" t="n">
        <v>11</v>
      </c>
      <c r="E157" s="39" t="n">
        <v>218.51</v>
      </c>
      <c r="F157" s="40" t="n">
        <v>0.1</v>
      </c>
      <c r="G157" s="39">
        <f>ROUND(D157*E157*(1-F157),2)</f>
        <v/>
      </c>
      <c r="H157" s="39">
        <f>ROUND(G157*'Parameters'!$B$3,2)</f>
        <v/>
      </c>
      <c r="I157" s="39">
        <f>G157+H157</f>
        <v/>
      </c>
      <c r="J157" s="39">
        <f>IF(D157=0,0,ROUND(G157/D157,2))</f>
        <v/>
      </c>
    </row>
    <row r="158">
      <c r="A158" s="23" t="inlineStr">
        <is>
          <t>SO-0156</t>
        </is>
      </c>
      <c r="B158" s="38" t="n">
        <v>46252</v>
      </c>
      <c r="C158" s="23" t="inlineStr">
        <is>
          <t>North</t>
        </is>
      </c>
      <c r="D158" s="23" t="n">
        <v>12</v>
      </c>
      <c r="E158" s="39" t="n">
        <v>81.66</v>
      </c>
      <c r="F158" s="40" t="n">
        <v>0.1</v>
      </c>
      <c r="G158" s="39">
        <f>ROUND(D158*E158*(1-F158),2)</f>
        <v/>
      </c>
      <c r="H158" s="39">
        <f>ROUND(G158*'Parameters'!$B$3,2)</f>
        <v/>
      </c>
      <c r="I158" s="39">
        <f>G158+H158</f>
        <v/>
      </c>
      <c r="J158" s="39">
        <f>IF(D158=0,0,ROUND(G158/D158,2))</f>
        <v/>
      </c>
    </row>
    <row r="159">
      <c r="A159" s="23" t="inlineStr">
        <is>
          <t>SO-0157</t>
        </is>
      </c>
      <c r="B159" s="38" t="n">
        <v>46363</v>
      </c>
      <c r="C159" s="23" t="inlineStr">
        <is>
          <t>South</t>
        </is>
      </c>
      <c r="D159" s="23" t="n">
        <v>14</v>
      </c>
      <c r="E159" s="39" t="n">
        <v>157.57</v>
      </c>
      <c r="F159" s="40" t="n">
        <v>0</v>
      </c>
      <c r="G159" s="39">
        <f>ROUND(D159*E159*(1-F159),2)</f>
        <v/>
      </c>
      <c r="H159" s="39">
        <f>ROUND(G159*'Parameters'!$B$3,2)</f>
        <v/>
      </c>
      <c r="I159" s="39">
        <f>G159+H159</f>
        <v/>
      </c>
      <c r="J159" s="39">
        <f>IF(D159=0,0,ROUND(G159/D159,2))</f>
        <v/>
      </c>
    </row>
    <row r="160">
      <c r="A160" s="23" t="inlineStr">
        <is>
          <t>SO-0158</t>
        </is>
      </c>
      <c r="B160" s="38" t="n">
        <v>46248</v>
      </c>
      <c r="C160" s="23" t="inlineStr">
        <is>
          <t>South</t>
        </is>
      </c>
      <c r="D160" s="23" t="n">
        <v>15</v>
      </c>
      <c r="E160" s="39" t="n">
        <v>200.03</v>
      </c>
      <c r="F160" s="40" t="n">
        <v>0.05</v>
      </c>
      <c r="G160" s="39">
        <f>ROUND(D160*E160*(1-F160),2)</f>
        <v/>
      </c>
      <c r="H160" s="39">
        <f>ROUND(G160*'Parameters'!$B$3,2)</f>
        <v/>
      </c>
      <c r="I160" s="39">
        <f>G160+H160</f>
        <v/>
      </c>
      <c r="J160" s="39">
        <f>IF(D160=0,0,ROUND(G160/D160,2))</f>
        <v/>
      </c>
    </row>
    <row r="161">
      <c r="A161" s="23" t="inlineStr">
        <is>
          <t>SO-0159</t>
        </is>
      </c>
      <c r="B161" s="38" t="n">
        <v>46055</v>
      </c>
      <c r="C161" s="23" t="inlineStr">
        <is>
          <t>South</t>
        </is>
      </c>
      <c r="D161" s="23" t="n">
        <v>4</v>
      </c>
      <c r="E161" s="39" t="n">
        <v>29.09</v>
      </c>
      <c r="F161" s="40" t="n">
        <v>0.1</v>
      </c>
      <c r="G161" s="39">
        <f>ROUND(D161*E161*(1-F161),2)</f>
        <v/>
      </c>
      <c r="H161" s="39">
        <f>ROUND(G161*'Parameters'!$B$3,2)</f>
        <v/>
      </c>
      <c r="I161" s="39">
        <f>G161+H161</f>
        <v/>
      </c>
      <c r="J161" s="39">
        <f>IF(D161=0,0,ROUND(G161/D161,2))</f>
        <v/>
      </c>
    </row>
    <row r="162">
      <c r="A162" s="23" t="inlineStr">
        <is>
          <t>SO-0160</t>
        </is>
      </c>
      <c r="B162" s="38" t="n">
        <v>46054</v>
      </c>
      <c r="C162" s="23" t="inlineStr">
        <is>
          <t>West</t>
        </is>
      </c>
      <c r="D162" s="23" t="n">
        <v>10</v>
      </c>
      <c r="E162" s="39" t="n">
        <v>42.31</v>
      </c>
      <c r="F162" s="40" t="n">
        <v>0.05</v>
      </c>
      <c r="G162" s="39">
        <f>ROUND(D162*E162*(1-F162),2)</f>
        <v/>
      </c>
      <c r="H162" s="39">
        <f>ROUND(G162*'Parameters'!$B$3,2)</f>
        <v/>
      </c>
      <c r="I162" s="39">
        <f>G162+H162</f>
        <v/>
      </c>
      <c r="J162" s="39">
        <f>IF(D162=0,0,ROUND(G162/D162,2))</f>
        <v/>
      </c>
    </row>
    <row r="163">
      <c r="A163" s="23" t="inlineStr">
        <is>
          <t>SO-0161</t>
        </is>
      </c>
      <c r="B163" s="38" t="n">
        <v>46207</v>
      </c>
      <c r="C163" s="23" t="inlineStr">
        <is>
          <t>North</t>
        </is>
      </c>
      <c r="D163" s="23" t="n">
        <v>13</v>
      </c>
      <c r="E163" s="39" t="n">
        <v>24.08</v>
      </c>
      <c r="F163" s="40" t="n">
        <v>0.15</v>
      </c>
      <c r="G163" s="39">
        <f>ROUND(D163*E163*(1-F163),2)</f>
        <v/>
      </c>
      <c r="H163" s="39">
        <f>ROUND(G163*'Parameters'!$B$3,2)</f>
        <v/>
      </c>
      <c r="I163" s="39">
        <f>G163+H163</f>
        <v/>
      </c>
      <c r="J163" s="39">
        <f>IF(D163=0,0,ROUND(G163/D163,2))</f>
        <v/>
      </c>
    </row>
    <row r="164">
      <c r="A164" s="23" t="inlineStr">
        <is>
          <t>SO-0162</t>
        </is>
      </c>
      <c r="B164" s="38" t="n">
        <v>46198</v>
      </c>
      <c r="C164" s="23" t="inlineStr">
        <is>
          <t>West</t>
        </is>
      </c>
      <c r="D164" s="23" t="n">
        <v>1</v>
      </c>
      <c r="E164" s="39" t="n">
        <v>217.21</v>
      </c>
      <c r="F164" s="40" t="n">
        <v>0</v>
      </c>
      <c r="G164" s="39">
        <f>ROUND(D164*E164*(1-F164),2)</f>
        <v/>
      </c>
      <c r="H164" s="39">
        <f>ROUND(G164*'Parameters'!$B$3,2)</f>
        <v/>
      </c>
      <c r="I164" s="39">
        <f>G164+H164</f>
        <v/>
      </c>
      <c r="J164" s="39">
        <f>IF(D164=0,0,ROUND(G164/D164,2))</f>
        <v/>
      </c>
    </row>
    <row r="165">
      <c r="A165" s="23" t="inlineStr">
        <is>
          <t>SO-0163</t>
        </is>
      </c>
      <c r="B165" s="38" t="n">
        <v>46099</v>
      </c>
      <c r="C165" s="23" t="inlineStr">
        <is>
          <t>South</t>
        </is>
      </c>
      <c r="D165" s="23" t="n">
        <v>18</v>
      </c>
      <c r="E165" s="39" t="n">
        <v>90.94</v>
      </c>
      <c r="F165" s="40" t="n">
        <v>0.1</v>
      </c>
      <c r="G165" s="39">
        <f>ROUND(D165*E165*(1-F165),2)</f>
        <v/>
      </c>
      <c r="H165" s="39">
        <f>ROUND(G165*'Parameters'!$B$3,2)</f>
        <v/>
      </c>
      <c r="I165" s="39">
        <f>G165+H165</f>
        <v/>
      </c>
      <c r="J165" s="39">
        <f>IF(D165=0,0,ROUND(G165/D165,2))</f>
        <v/>
      </c>
    </row>
    <row r="166">
      <c r="A166" s="23" t="inlineStr">
        <is>
          <t>SO-0164</t>
        </is>
      </c>
      <c r="B166" s="38" t="n">
        <v>46383</v>
      </c>
      <c r="C166" s="23" t="inlineStr">
        <is>
          <t>South</t>
        </is>
      </c>
      <c r="D166" s="23" t="n">
        <v>3</v>
      </c>
      <c r="E166" s="39" t="n">
        <v>175.16</v>
      </c>
      <c r="F166" s="40" t="n">
        <v>0.05</v>
      </c>
      <c r="G166" s="39">
        <f>ROUND(D166*E166*(1-F166),2)</f>
        <v/>
      </c>
      <c r="H166" s="39">
        <f>ROUND(G166*'Parameters'!$B$3,2)</f>
        <v/>
      </c>
      <c r="I166" s="39">
        <f>G166+H166</f>
        <v/>
      </c>
      <c r="J166" s="39">
        <f>IF(D166=0,0,ROUND(G166/D166,2))</f>
        <v/>
      </c>
    </row>
    <row r="167">
      <c r="A167" s="23" t="inlineStr">
        <is>
          <t>SO-0165</t>
        </is>
      </c>
      <c r="B167" s="38" t="n">
        <v>46180</v>
      </c>
      <c r="C167" s="23" t="inlineStr">
        <is>
          <t>South</t>
        </is>
      </c>
      <c r="D167" s="23" t="n">
        <v>12</v>
      </c>
      <c r="E167" s="39" t="n">
        <v>52.34</v>
      </c>
      <c r="F167" s="40" t="n">
        <v>0.1</v>
      </c>
      <c r="G167" s="39">
        <f>ROUND(D167*E167*(1-F167),2)</f>
        <v/>
      </c>
      <c r="H167" s="39">
        <f>ROUND(G167*'Parameters'!$B$3,2)</f>
        <v/>
      </c>
      <c r="I167" s="39">
        <f>G167+H167</f>
        <v/>
      </c>
      <c r="J167" s="39">
        <f>IF(D167=0,0,ROUND(G167/D167,2))</f>
        <v/>
      </c>
    </row>
    <row r="168">
      <c r="A168" s="23" t="inlineStr">
        <is>
          <t>SO-0166</t>
        </is>
      </c>
      <c r="B168" s="38" t="n">
        <v>46037</v>
      </c>
      <c r="C168" s="23" t="inlineStr">
        <is>
          <t>North</t>
        </is>
      </c>
      <c r="D168" s="23" t="n">
        <v>5</v>
      </c>
      <c r="E168" s="39" t="n">
        <v>189.46</v>
      </c>
      <c r="F168" s="40" t="n">
        <v>0.05</v>
      </c>
      <c r="G168" s="39">
        <f>ROUND(D168*E168*(1-F168),2)</f>
        <v/>
      </c>
      <c r="H168" s="39">
        <f>ROUND(G168*'Parameters'!$B$3,2)</f>
        <v/>
      </c>
      <c r="I168" s="39">
        <f>G168+H168</f>
        <v/>
      </c>
      <c r="J168" s="39">
        <f>IF(D168=0,0,ROUND(G168/D168,2))</f>
        <v/>
      </c>
    </row>
    <row r="169">
      <c r="A169" s="23" t="inlineStr">
        <is>
          <t>SO-0167</t>
        </is>
      </c>
      <c r="B169" s="38" t="n">
        <v>46370</v>
      </c>
      <c r="C169" s="23" t="inlineStr">
        <is>
          <t>North</t>
        </is>
      </c>
      <c r="D169" s="23" t="n">
        <v>5</v>
      </c>
      <c r="E169" s="39" t="n">
        <v>78.65000000000001</v>
      </c>
      <c r="F169" s="40" t="n">
        <v>0</v>
      </c>
      <c r="G169" s="39">
        <f>ROUND(D169*E169*(1-F169),2)</f>
        <v/>
      </c>
      <c r="H169" s="39">
        <f>ROUND(G169*'Parameters'!$B$3,2)</f>
        <v/>
      </c>
      <c r="I169" s="39">
        <f>G169+H169</f>
        <v/>
      </c>
      <c r="J169" s="39">
        <f>IF(D169=0,0,ROUND(G169/D169,2))</f>
        <v/>
      </c>
    </row>
    <row r="170">
      <c r="A170" s="23" t="inlineStr">
        <is>
          <t>SO-0168</t>
        </is>
      </c>
      <c r="B170" s="38" t="n">
        <v>46320</v>
      </c>
      <c r="C170" s="23" t="inlineStr">
        <is>
          <t>West</t>
        </is>
      </c>
      <c r="D170" s="23" t="n">
        <v>18</v>
      </c>
      <c r="E170" s="39" t="n">
        <v>139.05</v>
      </c>
      <c r="F170" s="40" t="n">
        <v>0.05</v>
      </c>
      <c r="G170" s="39">
        <f>ROUND(D170*E170*(1-F170),2)</f>
        <v/>
      </c>
      <c r="H170" s="39">
        <f>ROUND(G170*'Parameters'!$B$3,2)</f>
        <v/>
      </c>
      <c r="I170" s="39">
        <f>G170+H170</f>
        <v/>
      </c>
      <c r="J170" s="39">
        <f>IF(D170=0,0,ROUND(G170/D170,2))</f>
        <v/>
      </c>
    </row>
    <row r="171">
      <c r="A171" s="23" t="inlineStr">
        <is>
          <t>SO-0169</t>
        </is>
      </c>
      <c r="B171" s="38" t="n">
        <v>46042</v>
      </c>
      <c r="C171" s="23" t="inlineStr">
        <is>
          <t>South</t>
        </is>
      </c>
      <c r="D171" s="23" t="n">
        <v>19</v>
      </c>
      <c r="E171" s="39" t="n">
        <v>63.45</v>
      </c>
      <c r="F171" s="40" t="n">
        <v>0.1</v>
      </c>
      <c r="G171" s="39">
        <f>ROUND(D171*E171*(1-F171),2)</f>
        <v/>
      </c>
      <c r="H171" s="39">
        <f>ROUND(G171*'Parameters'!$B$3,2)</f>
        <v/>
      </c>
      <c r="I171" s="39">
        <f>G171+H171</f>
        <v/>
      </c>
      <c r="J171" s="39">
        <f>IF(D171=0,0,ROUND(G171/D171,2))</f>
        <v/>
      </c>
    </row>
    <row r="172">
      <c r="A172" s="23" t="inlineStr">
        <is>
          <t>SO-0170</t>
        </is>
      </c>
      <c r="B172" s="38" t="n">
        <v>46221</v>
      </c>
      <c r="C172" s="23" t="inlineStr">
        <is>
          <t>South</t>
        </is>
      </c>
      <c r="D172" s="23" t="n">
        <v>8</v>
      </c>
      <c r="E172" s="39" t="n">
        <v>168.32</v>
      </c>
      <c r="F172" s="40" t="n">
        <v>0</v>
      </c>
      <c r="G172" s="39">
        <f>ROUND(D172*E172*(1-F172),2)</f>
        <v/>
      </c>
      <c r="H172" s="39">
        <f>ROUND(G172*'Parameters'!$B$3,2)</f>
        <v/>
      </c>
      <c r="I172" s="39">
        <f>G172+H172</f>
        <v/>
      </c>
      <c r="J172" s="39">
        <f>IF(D172=0,0,ROUND(G172/D172,2))</f>
        <v/>
      </c>
    </row>
    <row r="173">
      <c r="A173" s="23" t="inlineStr">
        <is>
          <t>SO-0171</t>
        </is>
      </c>
      <c r="B173" s="38" t="n">
        <v>46261</v>
      </c>
      <c r="C173" s="23" t="inlineStr">
        <is>
          <t>East</t>
        </is>
      </c>
      <c r="D173" s="23" t="n">
        <v>15</v>
      </c>
      <c r="E173" s="39" t="n">
        <v>200.02</v>
      </c>
      <c r="F173" s="40" t="n">
        <v>0.15</v>
      </c>
      <c r="G173" s="39">
        <f>ROUND(D173*E173*(1-F173),2)</f>
        <v/>
      </c>
      <c r="H173" s="39">
        <f>ROUND(G173*'Parameters'!$B$3,2)</f>
        <v/>
      </c>
      <c r="I173" s="39">
        <f>G173+H173</f>
        <v/>
      </c>
      <c r="J173" s="39">
        <f>IF(D173=0,0,ROUND(G173/D173,2))</f>
        <v/>
      </c>
    </row>
    <row r="174">
      <c r="A174" s="23" t="inlineStr">
        <is>
          <t>SO-0172</t>
        </is>
      </c>
      <c r="B174" s="38" t="n">
        <v>46095</v>
      </c>
      <c r="C174" s="23" t="inlineStr">
        <is>
          <t>East</t>
        </is>
      </c>
      <c r="D174" s="23" t="n">
        <v>18</v>
      </c>
      <c r="E174" s="39" t="n">
        <v>222.57</v>
      </c>
      <c r="F174" s="40" t="n">
        <v>0</v>
      </c>
      <c r="G174" s="39">
        <f>ROUND(D174*E174*(1-F174),2)</f>
        <v/>
      </c>
      <c r="H174" s="39">
        <f>ROUND(G174*'Parameters'!$B$3,2)</f>
        <v/>
      </c>
      <c r="I174" s="39">
        <f>G174+H174</f>
        <v/>
      </c>
      <c r="J174" s="39">
        <f>IF(D174=0,0,ROUND(G174/D174,2))</f>
        <v/>
      </c>
    </row>
    <row r="175">
      <c r="A175" s="23" t="inlineStr">
        <is>
          <t>SO-0173</t>
        </is>
      </c>
      <c r="B175" s="38" t="n">
        <v>46145</v>
      </c>
      <c r="C175" s="23" t="inlineStr">
        <is>
          <t>East</t>
        </is>
      </c>
      <c r="D175" s="23" t="n">
        <v>3</v>
      </c>
      <c r="E175" s="39" t="n">
        <v>91.2</v>
      </c>
      <c r="F175" s="40" t="n">
        <v>0</v>
      </c>
      <c r="G175" s="39">
        <f>ROUND(D175*E175*(1-F175),2)</f>
        <v/>
      </c>
      <c r="H175" s="39">
        <f>ROUND(G175*'Parameters'!$B$3,2)</f>
        <v/>
      </c>
      <c r="I175" s="39">
        <f>G175+H175</f>
        <v/>
      </c>
      <c r="J175" s="39">
        <f>IF(D175=0,0,ROUND(G175/D175,2))</f>
        <v/>
      </c>
    </row>
    <row r="176">
      <c r="A176" s="23" t="inlineStr">
        <is>
          <t>SO-0174</t>
        </is>
      </c>
      <c r="B176" s="38" t="n">
        <v>46107</v>
      </c>
      <c r="C176" s="23" t="inlineStr">
        <is>
          <t>South</t>
        </is>
      </c>
      <c r="D176" s="23" t="n">
        <v>20</v>
      </c>
      <c r="E176" s="39" t="n">
        <v>128.03</v>
      </c>
      <c r="F176" s="40" t="n">
        <v>0.05</v>
      </c>
      <c r="G176" s="39">
        <f>ROUND(D176*E176*(1-F176),2)</f>
        <v/>
      </c>
      <c r="H176" s="39">
        <f>ROUND(G176*'Parameters'!$B$3,2)</f>
        <v/>
      </c>
      <c r="I176" s="39">
        <f>G176+H176</f>
        <v/>
      </c>
      <c r="J176" s="39">
        <f>IF(D176=0,0,ROUND(G176/D176,2))</f>
        <v/>
      </c>
    </row>
    <row r="177">
      <c r="A177" s="23" t="inlineStr">
        <is>
          <t>SO-0175</t>
        </is>
      </c>
      <c r="B177" s="38" t="n">
        <v>46318</v>
      </c>
      <c r="C177" s="23" t="inlineStr">
        <is>
          <t>East</t>
        </is>
      </c>
      <c r="D177" s="23" t="n">
        <v>14</v>
      </c>
      <c r="E177" s="39" t="n">
        <v>160.05</v>
      </c>
      <c r="F177" s="40" t="n">
        <v>0</v>
      </c>
      <c r="G177" s="39">
        <f>ROUND(D177*E177*(1-F177),2)</f>
        <v/>
      </c>
      <c r="H177" s="39">
        <f>ROUND(G177*'Parameters'!$B$3,2)</f>
        <v/>
      </c>
      <c r="I177" s="39">
        <f>G177+H177</f>
        <v/>
      </c>
      <c r="J177" s="39">
        <f>IF(D177=0,0,ROUND(G177/D177,2))</f>
        <v/>
      </c>
    </row>
    <row r="178">
      <c r="A178" s="23" t="inlineStr">
        <is>
          <t>SO-0176</t>
        </is>
      </c>
      <c r="B178" s="38" t="n">
        <v>46125</v>
      </c>
      <c r="C178" s="23" t="inlineStr">
        <is>
          <t>South</t>
        </is>
      </c>
      <c r="D178" s="23" t="n">
        <v>19</v>
      </c>
      <c r="E178" s="39" t="n">
        <v>218.18</v>
      </c>
      <c r="F178" s="40" t="n">
        <v>0.05</v>
      </c>
      <c r="G178" s="39">
        <f>ROUND(D178*E178*(1-F178),2)</f>
        <v/>
      </c>
      <c r="H178" s="39">
        <f>ROUND(G178*'Parameters'!$B$3,2)</f>
        <v/>
      </c>
      <c r="I178" s="39">
        <f>G178+H178</f>
        <v/>
      </c>
      <c r="J178" s="39">
        <f>IF(D178=0,0,ROUND(G178/D178,2))</f>
        <v/>
      </c>
    </row>
    <row r="179">
      <c r="A179" s="23" t="inlineStr">
        <is>
          <t>SO-0177</t>
        </is>
      </c>
      <c r="B179" s="38" t="n">
        <v>46367</v>
      </c>
      <c r="C179" s="23" t="inlineStr">
        <is>
          <t>East</t>
        </is>
      </c>
      <c r="D179" s="23" t="n">
        <v>2</v>
      </c>
      <c r="E179" s="39" t="n">
        <v>77.26000000000001</v>
      </c>
      <c r="F179" s="40" t="n">
        <v>0</v>
      </c>
      <c r="G179" s="39">
        <f>ROUND(D179*E179*(1-F179),2)</f>
        <v/>
      </c>
      <c r="H179" s="39">
        <f>ROUND(G179*'Parameters'!$B$3,2)</f>
        <v/>
      </c>
      <c r="I179" s="39">
        <f>G179+H179</f>
        <v/>
      </c>
      <c r="J179" s="39">
        <f>IF(D179=0,0,ROUND(G179/D179,2))</f>
        <v/>
      </c>
    </row>
    <row r="180">
      <c r="A180" s="23" t="inlineStr">
        <is>
          <t>SO-0178</t>
        </is>
      </c>
      <c r="B180" s="38" t="n">
        <v>46360</v>
      </c>
      <c r="C180" s="23" t="inlineStr">
        <is>
          <t>South</t>
        </is>
      </c>
      <c r="D180" s="23" t="n">
        <v>8</v>
      </c>
      <c r="E180" s="39" t="n">
        <v>108.81</v>
      </c>
      <c r="F180" s="40" t="n">
        <v>0</v>
      </c>
      <c r="G180" s="39">
        <f>ROUND(D180*E180*(1-F180),2)</f>
        <v/>
      </c>
      <c r="H180" s="39">
        <f>ROUND(G180*'Parameters'!$B$3,2)</f>
        <v/>
      </c>
      <c r="I180" s="39">
        <f>G180+H180</f>
        <v/>
      </c>
      <c r="J180" s="39">
        <f>IF(D180=0,0,ROUND(G180/D180,2))</f>
        <v/>
      </c>
    </row>
    <row r="181">
      <c r="A181" s="23" t="inlineStr">
        <is>
          <t>SO-0179</t>
        </is>
      </c>
      <c r="B181" s="38" t="n">
        <v>46226</v>
      </c>
      <c r="C181" s="23" t="inlineStr">
        <is>
          <t>East</t>
        </is>
      </c>
      <c r="D181" s="23" t="n">
        <v>9</v>
      </c>
      <c r="E181" s="39" t="n">
        <v>66.03</v>
      </c>
      <c r="F181" s="40" t="n">
        <v>0.15</v>
      </c>
      <c r="G181" s="39">
        <f>ROUND(D181*E181*(1-F181),2)</f>
        <v/>
      </c>
      <c r="H181" s="39">
        <f>ROUND(G181*'Parameters'!$B$3,2)</f>
        <v/>
      </c>
      <c r="I181" s="39">
        <f>G181+H181</f>
        <v/>
      </c>
      <c r="J181" s="39">
        <f>IF(D181=0,0,ROUND(G181/D181,2))</f>
        <v/>
      </c>
    </row>
    <row r="182">
      <c r="A182" s="23" t="inlineStr">
        <is>
          <t>SO-0180</t>
        </is>
      </c>
      <c r="B182" s="38" t="n">
        <v>46328</v>
      </c>
      <c r="C182" s="23" t="inlineStr">
        <is>
          <t>North</t>
        </is>
      </c>
      <c r="D182" s="23" t="n">
        <v>1</v>
      </c>
      <c r="E182" s="39" t="n">
        <v>235.83</v>
      </c>
      <c r="F182" s="40" t="n">
        <v>0</v>
      </c>
      <c r="G182" s="39">
        <f>ROUND(D182*E182*(1-F182),2)</f>
        <v/>
      </c>
      <c r="H182" s="39">
        <f>ROUND(G182*'Parameters'!$B$3,2)</f>
        <v/>
      </c>
      <c r="I182" s="39">
        <f>G182+H182</f>
        <v/>
      </c>
      <c r="J182" s="39">
        <f>IF(D182=0,0,ROUND(G182/D182,2))</f>
        <v/>
      </c>
    </row>
    <row r="183">
      <c r="A183" s="23" t="inlineStr">
        <is>
          <t>SO-0181</t>
        </is>
      </c>
      <c r="B183" s="38" t="n">
        <v>46213</v>
      </c>
      <c r="C183" s="23" t="inlineStr">
        <is>
          <t>North</t>
        </is>
      </c>
      <c r="D183" s="23" t="n">
        <v>5</v>
      </c>
      <c r="E183" s="39" t="n">
        <v>235.48</v>
      </c>
      <c r="F183" s="40" t="n">
        <v>0</v>
      </c>
      <c r="G183" s="39">
        <f>ROUND(D183*E183*(1-F183),2)</f>
        <v/>
      </c>
      <c r="H183" s="39">
        <f>ROUND(G183*'Parameters'!$B$3,2)</f>
        <v/>
      </c>
      <c r="I183" s="39">
        <f>G183+H183</f>
        <v/>
      </c>
      <c r="J183" s="39">
        <f>IF(D183=0,0,ROUND(G183/D183,2))</f>
        <v/>
      </c>
    </row>
    <row r="184">
      <c r="A184" s="23" t="inlineStr">
        <is>
          <t>SO-0182</t>
        </is>
      </c>
      <c r="B184" s="38" t="n">
        <v>46279</v>
      </c>
      <c r="C184" s="23" t="inlineStr">
        <is>
          <t>West</t>
        </is>
      </c>
      <c r="D184" s="23" t="n">
        <v>1</v>
      </c>
      <c r="E184" s="39" t="n">
        <v>86.94</v>
      </c>
      <c r="F184" s="40" t="n">
        <v>0.1</v>
      </c>
      <c r="G184" s="39">
        <f>ROUND(D184*E184*(1-F184),2)</f>
        <v/>
      </c>
      <c r="H184" s="39">
        <f>ROUND(G184*'Parameters'!$B$3,2)</f>
        <v/>
      </c>
      <c r="I184" s="39">
        <f>G184+H184</f>
        <v/>
      </c>
      <c r="J184" s="39">
        <f>IF(D184=0,0,ROUND(G184/D184,2))</f>
        <v/>
      </c>
    </row>
    <row r="185">
      <c r="A185" s="23" t="inlineStr">
        <is>
          <t>SO-0183</t>
        </is>
      </c>
      <c r="B185" s="38" t="n">
        <v>46069</v>
      </c>
      <c r="C185" s="23" t="inlineStr">
        <is>
          <t>West</t>
        </is>
      </c>
      <c r="D185" s="23" t="n">
        <v>20</v>
      </c>
      <c r="E185" s="39" t="n">
        <v>218.37</v>
      </c>
      <c r="F185" s="40" t="n">
        <v>0.15</v>
      </c>
      <c r="G185" s="39">
        <f>ROUND(D185*E185*(1-F185),2)</f>
        <v/>
      </c>
      <c r="H185" s="39">
        <f>ROUND(G185*'Parameters'!$B$3,2)</f>
        <v/>
      </c>
      <c r="I185" s="39">
        <f>G185+H185</f>
        <v/>
      </c>
      <c r="J185" s="39">
        <f>IF(D185=0,0,ROUND(G185/D185,2))</f>
        <v/>
      </c>
    </row>
    <row r="186">
      <c r="A186" s="23" t="inlineStr">
        <is>
          <t>SO-0184</t>
        </is>
      </c>
      <c r="B186" s="38" t="n">
        <v>46117</v>
      </c>
      <c r="C186" s="23" t="inlineStr">
        <is>
          <t>East</t>
        </is>
      </c>
      <c r="D186" s="23" t="n">
        <v>14</v>
      </c>
      <c r="E186" s="39" t="n">
        <v>220.36</v>
      </c>
      <c r="F186" s="40" t="n">
        <v>0.1</v>
      </c>
      <c r="G186" s="39">
        <f>ROUND(D186*E186*(1-F186),2)</f>
        <v/>
      </c>
      <c r="H186" s="39">
        <f>ROUND(G186*'Parameters'!$B$3,2)</f>
        <v/>
      </c>
      <c r="I186" s="39">
        <f>G186+H186</f>
        <v/>
      </c>
      <c r="J186" s="39">
        <f>IF(D186=0,0,ROUND(G186/D186,2))</f>
        <v/>
      </c>
    </row>
    <row r="187">
      <c r="A187" s="23" t="inlineStr">
        <is>
          <t>SO-0185</t>
        </is>
      </c>
      <c r="B187" s="38" t="n">
        <v>46242</v>
      </c>
      <c r="C187" s="23" t="inlineStr">
        <is>
          <t>South</t>
        </is>
      </c>
      <c r="D187" s="23" t="n">
        <v>1</v>
      </c>
      <c r="E187" s="39" t="n">
        <v>148.13</v>
      </c>
      <c r="F187" s="40" t="n">
        <v>0.05</v>
      </c>
      <c r="G187" s="39">
        <f>ROUND(D187*E187*(1-F187),2)</f>
        <v/>
      </c>
      <c r="H187" s="39">
        <f>ROUND(G187*'Parameters'!$B$3,2)</f>
        <v/>
      </c>
      <c r="I187" s="39">
        <f>G187+H187</f>
        <v/>
      </c>
      <c r="J187" s="39">
        <f>IF(D187=0,0,ROUND(G187/D187,2))</f>
        <v/>
      </c>
    </row>
    <row r="188">
      <c r="A188" s="23" t="inlineStr">
        <is>
          <t>SO-0186</t>
        </is>
      </c>
      <c r="B188" s="38" t="n">
        <v>46298</v>
      </c>
      <c r="C188" s="23" t="inlineStr">
        <is>
          <t>East</t>
        </is>
      </c>
      <c r="D188" s="23" t="n">
        <v>4</v>
      </c>
      <c r="E188" s="39" t="n">
        <v>248.81</v>
      </c>
      <c r="F188" s="40" t="n">
        <v>0.05</v>
      </c>
      <c r="G188" s="39">
        <f>ROUND(D188*E188*(1-F188),2)</f>
        <v/>
      </c>
      <c r="H188" s="39">
        <f>ROUND(G188*'Parameters'!$B$3,2)</f>
        <v/>
      </c>
      <c r="I188" s="39">
        <f>G188+H188</f>
        <v/>
      </c>
      <c r="J188" s="39">
        <f>IF(D188=0,0,ROUND(G188/D188,2))</f>
        <v/>
      </c>
    </row>
    <row r="189">
      <c r="A189" s="23" t="inlineStr">
        <is>
          <t>SO-0187</t>
        </is>
      </c>
      <c r="B189" s="38" t="n">
        <v>46043</v>
      </c>
      <c r="C189" s="23" t="inlineStr">
        <is>
          <t>South</t>
        </is>
      </c>
      <c r="D189" s="23" t="n">
        <v>2</v>
      </c>
      <c r="E189" s="39" t="n">
        <v>110.28</v>
      </c>
      <c r="F189" s="40" t="n">
        <v>0.15</v>
      </c>
      <c r="G189" s="39">
        <f>ROUND(D189*E189*(1-F189),2)</f>
        <v/>
      </c>
      <c r="H189" s="39">
        <f>ROUND(G189*'Parameters'!$B$3,2)</f>
        <v/>
      </c>
      <c r="I189" s="39">
        <f>G189+H189</f>
        <v/>
      </c>
      <c r="J189" s="39">
        <f>IF(D189=0,0,ROUND(G189/D189,2))</f>
        <v/>
      </c>
    </row>
    <row r="190">
      <c r="A190" s="23" t="inlineStr">
        <is>
          <t>SO-0188</t>
        </is>
      </c>
      <c r="B190" s="38" t="n">
        <v>46049</v>
      </c>
      <c r="C190" s="23" t="inlineStr">
        <is>
          <t>East</t>
        </is>
      </c>
      <c r="D190" s="23" t="n">
        <v>1</v>
      </c>
      <c r="E190" s="39" t="n">
        <v>118.86</v>
      </c>
      <c r="F190" s="40" t="n">
        <v>0</v>
      </c>
      <c r="G190" s="39">
        <f>ROUND(D190*E190*(1-F190),2)</f>
        <v/>
      </c>
      <c r="H190" s="39">
        <f>ROUND(G190*'Parameters'!$B$3,2)</f>
        <v/>
      </c>
      <c r="I190" s="39">
        <f>G190+H190</f>
        <v/>
      </c>
      <c r="J190" s="39">
        <f>IF(D190=0,0,ROUND(G190/D190,2))</f>
        <v/>
      </c>
    </row>
    <row r="191">
      <c r="A191" s="23" t="inlineStr">
        <is>
          <t>SO-0189</t>
        </is>
      </c>
      <c r="B191" s="38" t="n">
        <v>46079</v>
      </c>
      <c r="C191" s="23" t="inlineStr">
        <is>
          <t>West</t>
        </is>
      </c>
      <c r="D191" s="23" t="n">
        <v>13</v>
      </c>
      <c r="E191" s="39" t="n">
        <v>16.82</v>
      </c>
      <c r="F191" s="40" t="n">
        <v>0</v>
      </c>
      <c r="G191" s="39">
        <f>ROUND(D191*E191*(1-F191),2)</f>
        <v/>
      </c>
      <c r="H191" s="39">
        <f>ROUND(G191*'Parameters'!$B$3,2)</f>
        <v/>
      </c>
      <c r="I191" s="39">
        <f>G191+H191</f>
        <v/>
      </c>
      <c r="J191" s="39">
        <f>IF(D191=0,0,ROUND(G191/D191,2))</f>
        <v/>
      </c>
    </row>
    <row r="192">
      <c r="A192" s="23" t="inlineStr">
        <is>
          <t>SO-0190</t>
        </is>
      </c>
      <c r="B192" s="38" t="n">
        <v>46275</v>
      </c>
      <c r="C192" s="23" t="inlineStr">
        <is>
          <t>South</t>
        </is>
      </c>
      <c r="D192" s="23" t="n">
        <v>14</v>
      </c>
      <c r="E192" s="39" t="n">
        <v>20.67</v>
      </c>
      <c r="F192" s="40" t="n">
        <v>0.1</v>
      </c>
      <c r="G192" s="39">
        <f>ROUND(D192*E192*(1-F192),2)</f>
        <v/>
      </c>
      <c r="H192" s="39">
        <f>ROUND(G192*'Parameters'!$B$3,2)</f>
        <v/>
      </c>
      <c r="I192" s="39">
        <f>G192+H192</f>
        <v/>
      </c>
      <c r="J192" s="39">
        <f>IF(D192=0,0,ROUND(G192/D192,2))</f>
        <v/>
      </c>
    </row>
    <row r="193">
      <c r="A193" s="23" t="inlineStr">
        <is>
          <t>SO-0191</t>
        </is>
      </c>
      <c r="B193" s="38" t="n">
        <v>46164</v>
      </c>
      <c r="C193" s="23" t="inlineStr">
        <is>
          <t>South</t>
        </is>
      </c>
      <c r="D193" s="23" t="n">
        <v>16</v>
      </c>
      <c r="E193" s="39" t="n">
        <v>152.34</v>
      </c>
      <c r="F193" s="40" t="n">
        <v>0</v>
      </c>
      <c r="G193" s="39">
        <f>ROUND(D193*E193*(1-F193),2)</f>
        <v/>
      </c>
      <c r="H193" s="39">
        <f>ROUND(G193*'Parameters'!$B$3,2)</f>
        <v/>
      </c>
      <c r="I193" s="39">
        <f>G193+H193</f>
        <v/>
      </c>
      <c r="J193" s="39">
        <f>IF(D193=0,0,ROUND(G193/D193,2))</f>
        <v/>
      </c>
    </row>
    <row r="194">
      <c r="A194" s="23" t="inlineStr">
        <is>
          <t>SO-0192</t>
        </is>
      </c>
      <c r="B194" s="38" t="n">
        <v>46156</v>
      </c>
      <c r="C194" s="23" t="inlineStr">
        <is>
          <t>East</t>
        </is>
      </c>
      <c r="D194" s="23" t="n">
        <v>16</v>
      </c>
      <c r="E194" s="39" t="n">
        <v>56.56</v>
      </c>
      <c r="F194" s="40" t="n">
        <v>0.15</v>
      </c>
      <c r="G194" s="39">
        <f>ROUND(D194*E194*(1-F194),2)</f>
        <v/>
      </c>
      <c r="H194" s="39">
        <f>ROUND(G194*'Parameters'!$B$3,2)</f>
        <v/>
      </c>
      <c r="I194" s="39">
        <f>G194+H194</f>
        <v/>
      </c>
      <c r="J194" s="39">
        <f>IF(D194=0,0,ROUND(G194/D194,2))</f>
        <v/>
      </c>
    </row>
    <row r="195">
      <c r="A195" s="23" t="inlineStr">
        <is>
          <t>SO-0193</t>
        </is>
      </c>
      <c r="B195" s="38" t="n">
        <v>46247</v>
      </c>
      <c r="C195" s="23" t="inlineStr">
        <is>
          <t>North</t>
        </is>
      </c>
      <c r="D195" s="23" t="n">
        <v>1</v>
      </c>
      <c r="E195" s="39" t="n">
        <v>140.29</v>
      </c>
      <c r="F195" s="40" t="n">
        <v>0.1</v>
      </c>
      <c r="G195" s="39">
        <f>ROUND(D195*E195*(1-F195),2)</f>
        <v/>
      </c>
      <c r="H195" s="39">
        <f>ROUND(G195*'Parameters'!$B$3,2)</f>
        <v/>
      </c>
      <c r="I195" s="39">
        <f>G195+H195</f>
        <v/>
      </c>
      <c r="J195" s="39">
        <f>IF(D195=0,0,ROUND(G195/D195,2))</f>
        <v/>
      </c>
    </row>
    <row r="196">
      <c r="A196" s="23" t="inlineStr">
        <is>
          <t>SO-0194</t>
        </is>
      </c>
      <c r="B196" s="38" t="n">
        <v>46316</v>
      </c>
      <c r="C196" s="23" t="inlineStr">
        <is>
          <t>South</t>
        </is>
      </c>
      <c r="D196" s="23" t="n">
        <v>4</v>
      </c>
      <c r="E196" s="39" t="n">
        <v>129.04</v>
      </c>
      <c r="F196" s="40" t="n">
        <v>0</v>
      </c>
      <c r="G196" s="39">
        <f>ROUND(D196*E196*(1-F196),2)</f>
        <v/>
      </c>
      <c r="H196" s="39">
        <f>ROUND(G196*'Parameters'!$B$3,2)</f>
        <v/>
      </c>
      <c r="I196" s="39">
        <f>G196+H196</f>
        <v/>
      </c>
      <c r="J196" s="39">
        <f>IF(D196=0,0,ROUND(G196/D196,2))</f>
        <v/>
      </c>
    </row>
    <row r="197">
      <c r="A197" s="23" t="inlineStr">
        <is>
          <t>SO-0195</t>
        </is>
      </c>
      <c r="B197" s="38" t="n">
        <v>46373</v>
      </c>
      <c r="C197" s="23" t="inlineStr">
        <is>
          <t>South</t>
        </is>
      </c>
      <c r="D197" s="23" t="n">
        <v>10</v>
      </c>
      <c r="E197" s="39" t="n">
        <v>227.36</v>
      </c>
      <c r="F197" s="40" t="n">
        <v>0</v>
      </c>
      <c r="G197" s="39">
        <f>ROUND(D197*E197*(1-F197),2)</f>
        <v/>
      </c>
      <c r="H197" s="39">
        <f>ROUND(G197*'Parameters'!$B$3,2)</f>
        <v/>
      </c>
      <c r="I197" s="39">
        <f>G197+H197</f>
        <v/>
      </c>
      <c r="J197" s="39">
        <f>IF(D197=0,0,ROUND(G197/D197,2))</f>
        <v/>
      </c>
    </row>
    <row r="198">
      <c r="A198" s="23" t="inlineStr">
        <is>
          <t>SO-0196</t>
        </is>
      </c>
      <c r="B198" s="38" t="n">
        <v>46055</v>
      </c>
      <c r="C198" s="23" t="inlineStr">
        <is>
          <t>East</t>
        </is>
      </c>
      <c r="D198" s="23" t="n">
        <v>18</v>
      </c>
      <c r="E198" s="39" t="n">
        <v>113.62</v>
      </c>
      <c r="F198" s="40" t="n">
        <v>0</v>
      </c>
      <c r="G198" s="39">
        <f>ROUND(D198*E198*(1-F198),2)</f>
        <v/>
      </c>
      <c r="H198" s="39">
        <f>ROUND(G198*'Parameters'!$B$3,2)</f>
        <v/>
      </c>
      <c r="I198" s="39">
        <f>G198+H198</f>
        <v/>
      </c>
      <c r="J198" s="39">
        <f>IF(D198=0,0,ROUND(G198/D198,2))</f>
        <v/>
      </c>
    </row>
    <row r="199">
      <c r="A199" s="23" t="inlineStr">
        <is>
          <t>SO-0197</t>
        </is>
      </c>
      <c r="B199" s="38" t="n">
        <v>46328</v>
      </c>
      <c r="C199" s="23" t="inlineStr">
        <is>
          <t>North</t>
        </is>
      </c>
      <c r="D199" s="23" t="n">
        <v>13</v>
      </c>
      <c r="E199" s="39" t="n">
        <v>199.56</v>
      </c>
      <c r="F199" s="40" t="n">
        <v>0.1</v>
      </c>
      <c r="G199" s="39">
        <f>ROUND(D199*E199*(1-F199),2)</f>
        <v/>
      </c>
      <c r="H199" s="39">
        <f>ROUND(G199*'Parameters'!$B$3,2)</f>
        <v/>
      </c>
      <c r="I199" s="39">
        <f>G199+H199</f>
        <v/>
      </c>
      <c r="J199" s="39">
        <f>IF(D199=0,0,ROUND(G199/D199,2))</f>
        <v/>
      </c>
    </row>
    <row r="200">
      <c r="A200" s="23" t="inlineStr">
        <is>
          <t>SO-0198</t>
        </is>
      </c>
      <c r="B200" s="38" t="n">
        <v>46242</v>
      </c>
      <c r="C200" s="23" t="inlineStr">
        <is>
          <t>East</t>
        </is>
      </c>
      <c r="D200" s="23" t="n">
        <v>14</v>
      </c>
      <c r="E200" s="39" t="n">
        <v>27.61</v>
      </c>
      <c r="F200" s="40" t="n">
        <v>0.05</v>
      </c>
      <c r="G200" s="39">
        <f>ROUND(D200*E200*(1-F200),2)</f>
        <v/>
      </c>
      <c r="H200" s="39">
        <f>ROUND(G200*'Parameters'!$B$3,2)</f>
        <v/>
      </c>
      <c r="I200" s="39">
        <f>G200+H200</f>
        <v/>
      </c>
      <c r="J200" s="39">
        <f>IF(D200=0,0,ROUND(G200/D200,2))</f>
        <v/>
      </c>
    </row>
    <row r="201">
      <c r="A201" s="23" t="inlineStr">
        <is>
          <t>SO-0199</t>
        </is>
      </c>
      <c r="B201" s="38" t="n">
        <v>46298</v>
      </c>
      <c r="C201" s="23" t="inlineStr">
        <is>
          <t>South</t>
        </is>
      </c>
      <c r="D201" s="23" t="n">
        <v>3</v>
      </c>
      <c r="E201" s="39" t="n">
        <v>14.64</v>
      </c>
      <c r="F201" s="40" t="n">
        <v>0.15</v>
      </c>
      <c r="G201" s="39">
        <f>ROUND(D201*E201*(1-F201),2)</f>
        <v/>
      </c>
      <c r="H201" s="39">
        <f>ROUND(G201*'Parameters'!$B$3,2)</f>
        <v/>
      </c>
      <c r="I201" s="39">
        <f>G201+H201</f>
        <v/>
      </c>
      <c r="J201" s="39">
        <f>IF(D201=0,0,ROUND(G201/D201,2))</f>
        <v/>
      </c>
    </row>
    <row r="202">
      <c r="A202" s="23" t="inlineStr">
        <is>
          <t>SO-0200</t>
        </is>
      </c>
      <c r="B202" s="38" t="n">
        <v>46360</v>
      </c>
      <c r="C202" s="23" t="inlineStr">
        <is>
          <t>South</t>
        </is>
      </c>
      <c r="D202" s="23" t="n">
        <v>4</v>
      </c>
      <c r="E202" s="39" t="n">
        <v>231.3</v>
      </c>
      <c r="F202" s="40" t="n">
        <v>0.05</v>
      </c>
      <c r="G202" s="39">
        <f>ROUND(D202*E202*(1-F202),2)</f>
        <v/>
      </c>
      <c r="H202" s="39">
        <f>ROUND(G202*'Parameters'!$B$3,2)</f>
        <v/>
      </c>
      <c r="I202" s="39">
        <f>G202+H202</f>
        <v/>
      </c>
      <c r="J202" s="39">
        <f>IF(D202=0,0,ROUND(G202/D202,2))</f>
        <v/>
      </c>
    </row>
    <row r="203">
      <c r="A203" s="23" t="inlineStr">
        <is>
          <t>SO-0201</t>
        </is>
      </c>
      <c r="B203" s="38" t="n">
        <v>46327</v>
      </c>
      <c r="C203" s="23" t="inlineStr">
        <is>
          <t>East</t>
        </is>
      </c>
      <c r="D203" s="23" t="n">
        <v>18</v>
      </c>
      <c r="E203" s="39" t="n">
        <v>149.41</v>
      </c>
      <c r="F203" s="40" t="n">
        <v>0.05</v>
      </c>
      <c r="G203" s="39">
        <f>ROUND(D203*E203*(1-F203),2)</f>
        <v/>
      </c>
      <c r="H203" s="39">
        <f>ROUND(G203*'Parameters'!$B$3,2)</f>
        <v/>
      </c>
      <c r="I203" s="39">
        <f>G203+H203</f>
        <v/>
      </c>
      <c r="J203" s="39">
        <f>IF(D203=0,0,ROUND(G203/D203,2))</f>
        <v/>
      </c>
    </row>
    <row r="204">
      <c r="A204" s="23" t="inlineStr">
        <is>
          <t>SO-0202</t>
        </is>
      </c>
      <c r="B204" s="38" t="n">
        <v>46288</v>
      </c>
      <c r="C204" s="23" t="inlineStr">
        <is>
          <t>West</t>
        </is>
      </c>
      <c r="D204" s="23" t="n">
        <v>13</v>
      </c>
      <c r="E204" s="39" t="n">
        <v>113.28</v>
      </c>
      <c r="F204" s="40" t="n">
        <v>0.15</v>
      </c>
      <c r="G204" s="39">
        <f>ROUND(D204*E204*(1-F204),2)</f>
        <v/>
      </c>
      <c r="H204" s="39">
        <f>ROUND(G204*'Parameters'!$B$3,2)</f>
        <v/>
      </c>
      <c r="I204" s="39">
        <f>G204+H204</f>
        <v/>
      </c>
      <c r="J204" s="39">
        <f>IF(D204=0,0,ROUND(G204/D204,2))</f>
        <v/>
      </c>
    </row>
    <row r="205">
      <c r="A205" s="23" t="inlineStr">
        <is>
          <t>SO-0203</t>
        </is>
      </c>
      <c r="B205" s="38" t="n">
        <v>46195</v>
      </c>
      <c r="C205" s="23" t="inlineStr">
        <is>
          <t>East</t>
        </is>
      </c>
      <c r="D205" s="23" t="n">
        <v>15</v>
      </c>
      <c r="E205" s="39" t="n">
        <v>89.31999999999999</v>
      </c>
      <c r="F205" s="40" t="n">
        <v>0.1</v>
      </c>
      <c r="G205" s="39">
        <f>ROUND(D205*E205*(1-F205),2)</f>
        <v/>
      </c>
      <c r="H205" s="39">
        <f>ROUND(G205*'Parameters'!$B$3,2)</f>
        <v/>
      </c>
      <c r="I205" s="39">
        <f>G205+H205</f>
        <v/>
      </c>
      <c r="J205" s="39">
        <f>IF(D205=0,0,ROUND(G205/D205,2))</f>
        <v/>
      </c>
    </row>
    <row r="206">
      <c r="A206" s="23" t="inlineStr">
        <is>
          <t>SO-0204</t>
        </is>
      </c>
      <c r="B206" s="38" t="n">
        <v>46166</v>
      </c>
      <c r="C206" s="23" t="inlineStr">
        <is>
          <t>South</t>
        </is>
      </c>
      <c r="D206" s="23" t="n">
        <v>18</v>
      </c>
      <c r="E206" s="39" t="n">
        <v>245.8</v>
      </c>
      <c r="F206" s="40" t="n">
        <v>0.05</v>
      </c>
      <c r="G206" s="39">
        <f>ROUND(D206*E206*(1-F206),2)</f>
        <v/>
      </c>
      <c r="H206" s="39">
        <f>ROUND(G206*'Parameters'!$B$3,2)</f>
        <v/>
      </c>
      <c r="I206" s="39">
        <f>G206+H206</f>
        <v/>
      </c>
      <c r="J206" s="39">
        <f>IF(D206=0,0,ROUND(G206/D206,2))</f>
        <v/>
      </c>
    </row>
    <row r="207">
      <c r="A207" s="23" t="inlineStr">
        <is>
          <t>SO-0205</t>
        </is>
      </c>
      <c r="B207" s="38" t="n">
        <v>46069</v>
      </c>
      <c r="C207" s="23" t="inlineStr">
        <is>
          <t>North</t>
        </is>
      </c>
      <c r="D207" s="23" t="n">
        <v>18</v>
      </c>
      <c r="E207" s="39" t="n">
        <v>62.28</v>
      </c>
      <c r="F207" s="40" t="n">
        <v>0.05</v>
      </c>
      <c r="G207" s="39">
        <f>ROUND(D207*E207*(1-F207),2)</f>
        <v/>
      </c>
      <c r="H207" s="39">
        <f>ROUND(G207*'Parameters'!$B$3,2)</f>
        <v/>
      </c>
      <c r="I207" s="39">
        <f>G207+H207</f>
        <v/>
      </c>
      <c r="J207" s="39">
        <f>IF(D207=0,0,ROUND(G207/D207,2))</f>
        <v/>
      </c>
    </row>
    <row r="208">
      <c r="A208" s="23" t="inlineStr">
        <is>
          <t>SO-0206</t>
        </is>
      </c>
      <c r="B208" s="38" t="n">
        <v>46037</v>
      </c>
      <c r="C208" s="23" t="inlineStr">
        <is>
          <t>East</t>
        </is>
      </c>
      <c r="D208" s="23" t="n">
        <v>10</v>
      </c>
      <c r="E208" s="39" t="n">
        <v>88.15000000000001</v>
      </c>
      <c r="F208" s="40" t="n">
        <v>0.15</v>
      </c>
      <c r="G208" s="39">
        <f>ROUND(D208*E208*(1-F208),2)</f>
        <v/>
      </c>
      <c r="H208" s="39">
        <f>ROUND(G208*'Parameters'!$B$3,2)</f>
        <v/>
      </c>
      <c r="I208" s="39">
        <f>G208+H208</f>
        <v/>
      </c>
      <c r="J208" s="39">
        <f>IF(D208=0,0,ROUND(G208/D208,2))</f>
        <v/>
      </c>
    </row>
    <row r="209">
      <c r="A209" s="23" t="inlineStr">
        <is>
          <t>SO-0207</t>
        </is>
      </c>
      <c r="B209" s="38" t="n">
        <v>46131</v>
      </c>
      <c r="C209" s="23" t="inlineStr">
        <is>
          <t>North</t>
        </is>
      </c>
      <c r="D209" s="23" t="n">
        <v>8</v>
      </c>
      <c r="E209" s="39" t="n">
        <v>138.71</v>
      </c>
      <c r="F209" s="40" t="n">
        <v>0</v>
      </c>
      <c r="G209" s="39">
        <f>ROUND(D209*E209*(1-F209),2)</f>
        <v/>
      </c>
      <c r="H209" s="39">
        <f>ROUND(G209*'Parameters'!$B$3,2)</f>
        <v/>
      </c>
      <c r="I209" s="39">
        <f>G209+H209</f>
        <v/>
      </c>
      <c r="J209" s="39">
        <f>IF(D209=0,0,ROUND(G209/D209,2))</f>
        <v/>
      </c>
    </row>
    <row r="210">
      <c r="A210" s="23" t="inlineStr">
        <is>
          <t>SO-0208</t>
        </is>
      </c>
      <c r="B210" s="38" t="n">
        <v>46362</v>
      </c>
      <c r="C210" s="23" t="inlineStr">
        <is>
          <t>West</t>
        </is>
      </c>
      <c r="D210" s="23" t="n">
        <v>9</v>
      </c>
      <c r="E210" s="39" t="n">
        <v>27.84</v>
      </c>
      <c r="F210" s="40" t="n">
        <v>0.05</v>
      </c>
      <c r="G210" s="39">
        <f>ROUND(D210*E210*(1-F210),2)</f>
        <v/>
      </c>
      <c r="H210" s="39">
        <f>ROUND(G210*'Parameters'!$B$3,2)</f>
        <v/>
      </c>
      <c r="I210" s="39">
        <f>G210+H210</f>
        <v/>
      </c>
      <c r="J210" s="39">
        <f>IF(D210=0,0,ROUND(G210/D210,2))</f>
        <v/>
      </c>
    </row>
    <row r="211">
      <c r="A211" s="23" t="inlineStr">
        <is>
          <t>SO-0209</t>
        </is>
      </c>
      <c r="B211" s="38" t="n">
        <v>46114</v>
      </c>
      <c r="C211" s="23" t="inlineStr">
        <is>
          <t>West</t>
        </is>
      </c>
      <c r="D211" s="23" t="n">
        <v>20</v>
      </c>
      <c r="E211" s="39" t="n">
        <v>169.47</v>
      </c>
      <c r="F211" s="40" t="n">
        <v>0.1</v>
      </c>
      <c r="G211" s="39">
        <f>ROUND(D211*E211*(1-F211),2)</f>
        <v/>
      </c>
      <c r="H211" s="39">
        <f>ROUND(G211*'Parameters'!$B$3,2)</f>
        <v/>
      </c>
      <c r="I211" s="39">
        <f>G211+H211</f>
        <v/>
      </c>
      <c r="J211" s="39">
        <f>IF(D211=0,0,ROUND(G211/D211,2))</f>
        <v/>
      </c>
    </row>
    <row r="212">
      <c r="A212" s="23" t="inlineStr">
        <is>
          <t>SO-0210</t>
        </is>
      </c>
      <c r="B212" s="38" t="n">
        <v>46187</v>
      </c>
      <c r="C212" s="23" t="inlineStr">
        <is>
          <t>North</t>
        </is>
      </c>
      <c r="D212" s="23" t="n">
        <v>11</v>
      </c>
      <c r="E212" s="39" t="n">
        <v>52.68</v>
      </c>
      <c r="F212" s="40" t="n">
        <v>0.1</v>
      </c>
      <c r="G212" s="39">
        <f>ROUND(D212*E212*(1-F212),2)</f>
        <v/>
      </c>
      <c r="H212" s="39">
        <f>ROUND(G212*'Parameters'!$B$3,2)</f>
        <v/>
      </c>
      <c r="I212" s="39">
        <f>G212+H212</f>
        <v/>
      </c>
      <c r="J212" s="39">
        <f>IF(D212=0,0,ROUND(G212/D212,2))</f>
        <v/>
      </c>
    </row>
    <row r="213">
      <c r="A213" s="23" t="inlineStr">
        <is>
          <t>SO-0211</t>
        </is>
      </c>
      <c r="B213" s="38" t="n">
        <v>46085</v>
      </c>
      <c r="C213" s="23" t="inlineStr">
        <is>
          <t>South</t>
        </is>
      </c>
      <c r="D213" s="23" t="n">
        <v>11</v>
      </c>
      <c r="E213" s="39" t="n">
        <v>211.88</v>
      </c>
      <c r="F213" s="40" t="n">
        <v>0</v>
      </c>
      <c r="G213" s="39">
        <f>ROUND(D213*E213*(1-F213),2)</f>
        <v/>
      </c>
      <c r="H213" s="39">
        <f>ROUND(G213*'Parameters'!$B$3,2)</f>
        <v/>
      </c>
      <c r="I213" s="39">
        <f>G213+H213</f>
        <v/>
      </c>
      <c r="J213" s="39">
        <f>IF(D213=0,0,ROUND(G213/D213,2))</f>
        <v/>
      </c>
    </row>
    <row r="214">
      <c r="A214" s="23" t="inlineStr">
        <is>
          <t>SO-0212</t>
        </is>
      </c>
      <c r="B214" s="38" t="n">
        <v>46118</v>
      </c>
      <c r="C214" s="23" t="inlineStr">
        <is>
          <t>West</t>
        </is>
      </c>
      <c r="D214" s="23" t="n">
        <v>3</v>
      </c>
      <c r="E214" s="39" t="n">
        <v>143.03</v>
      </c>
      <c r="F214" s="40" t="n">
        <v>0.1</v>
      </c>
      <c r="G214" s="39">
        <f>ROUND(D214*E214*(1-F214),2)</f>
        <v/>
      </c>
      <c r="H214" s="39">
        <f>ROUND(G214*'Parameters'!$B$3,2)</f>
        <v/>
      </c>
      <c r="I214" s="39">
        <f>G214+H214</f>
        <v/>
      </c>
      <c r="J214" s="39">
        <f>IF(D214=0,0,ROUND(G214/D214,2))</f>
        <v/>
      </c>
    </row>
    <row r="215">
      <c r="A215" s="23" t="inlineStr">
        <is>
          <t>SO-0213</t>
        </is>
      </c>
      <c r="B215" s="38" t="n">
        <v>46366</v>
      </c>
      <c r="C215" s="23" t="inlineStr">
        <is>
          <t>West</t>
        </is>
      </c>
      <c r="D215" s="23" t="n">
        <v>20</v>
      </c>
      <c r="E215" s="39" t="n">
        <v>232.53</v>
      </c>
      <c r="F215" s="40" t="n">
        <v>0.05</v>
      </c>
      <c r="G215" s="39">
        <f>ROUND(D215*E215*(1-F215),2)</f>
        <v/>
      </c>
      <c r="H215" s="39">
        <f>ROUND(G215*'Parameters'!$B$3,2)</f>
        <v/>
      </c>
      <c r="I215" s="39">
        <f>G215+H215</f>
        <v/>
      </c>
      <c r="J215" s="39">
        <f>IF(D215=0,0,ROUND(G215/D215,2))</f>
        <v/>
      </c>
    </row>
    <row r="216">
      <c r="A216" s="23" t="inlineStr">
        <is>
          <t>SO-0214</t>
        </is>
      </c>
      <c r="B216" s="38" t="n">
        <v>46091</v>
      </c>
      <c r="C216" s="23" t="inlineStr">
        <is>
          <t>South</t>
        </is>
      </c>
      <c r="D216" s="23" t="n">
        <v>11</v>
      </c>
      <c r="E216" s="39" t="n">
        <v>121.72</v>
      </c>
      <c r="F216" s="40" t="n">
        <v>0.1</v>
      </c>
      <c r="G216" s="39">
        <f>ROUND(D216*E216*(1-F216),2)</f>
        <v/>
      </c>
      <c r="H216" s="39">
        <f>ROUND(G216*'Parameters'!$B$3,2)</f>
        <v/>
      </c>
      <c r="I216" s="39">
        <f>G216+H216</f>
        <v/>
      </c>
      <c r="J216" s="39">
        <f>IF(D216=0,0,ROUND(G216/D216,2))</f>
        <v/>
      </c>
    </row>
    <row r="217">
      <c r="A217" s="23" t="inlineStr">
        <is>
          <t>SO-0215</t>
        </is>
      </c>
      <c r="B217" s="38" t="n">
        <v>46217</v>
      </c>
      <c r="C217" s="23" t="inlineStr">
        <is>
          <t>South</t>
        </is>
      </c>
      <c r="D217" s="23" t="n">
        <v>19</v>
      </c>
      <c r="E217" s="39" t="n">
        <v>27.69</v>
      </c>
      <c r="F217" s="40" t="n">
        <v>0.15</v>
      </c>
      <c r="G217" s="39">
        <f>ROUND(D217*E217*(1-F217),2)</f>
        <v/>
      </c>
      <c r="H217" s="39">
        <f>ROUND(G217*'Parameters'!$B$3,2)</f>
        <v/>
      </c>
      <c r="I217" s="39">
        <f>G217+H217</f>
        <v/>
      </c>
      <c r="J217" s="39">
        <f>IF(D217=0,0,ROUND(G217/D217,2))</f>
        <v/>
      </c>
    </row>
    <row r="218">
      <c r="A218" s="23" t="inlineStr">
        <is>
          <t>SO-0216</t>
        </is>
      </c>
      <c r="B218" s="38" t="n">
        <v>46291</v>
      </c>
      <c r="C218" s="23" t="inlineStr">
        <is>
          <t>West</t>
        </is>
      </c>
      <c r="D218" s="23" t="n">
        <v>4</v>
      </c>
      <c r="E218" s="39" t="n">
        <v>66.27</v>
      </c>
      <c r="F218" s="40" t="n">
        <v>0.05</v>
      </c>
      <c r="G218" s="39">
        <f>ROUND(D218*E218*(1-F218),2)</f>
        <v/>
      </c>
      <c r="H218" s="39">
        <f>ROUND(G218*'Parameters'!$B$3,2)</f>
        <v/>
      </c>
      <c r="I218" s="39">
        <f>G218+H218</f>
        <v/>
      </c>
      <c r="J218" s="39">
        <f>IF(D218=0,0,ROUND(G218/D218,2))</f>
        <v/>
      </c>
    </row>
    <row r="219">
      <c r="A219" s="23" t="inlineStr">
        <is>
          <t>SO-0217</t>
        </is>
      </c>
      <c r="B219" s="38" t="n">
        <v>46182</v>
      </c>
      <c r="C219" s="23" t="inlineStr">
        <is>
          <t>East</t>
        </is>
      </c>
      <c r="D219" s="23" t="n">
        <v>10</v>
      </c>
      <c r="E219" s="39" t="n">
        <v>176.82</v>
      </c>
      <c r="F219" s="40" t="n">
        <v>0.05</v>
      </c>
      <c r="G219" s="39">
        <f>ROUND(D219*E219*(1-F219),2)</f>
        <v/>
      </c>
      <c r="H219" s="39">
        <f>ROUND(G219*'Parameters'!$B$3,2)</f>
        <v/>
      </c>
      <c r="I219" s="39">
        <f>G219+H219</f>
        <v/>
      </c>
      <c r="J219" s="39">
        <f>IF(D219=0,0,ROUND(G219/D219,2))</f>
        <v/>
      </c>
    </row>
    <row r="220">
      <c r="A220" s="23" t="inlineStr">
        <is>
          <t>SO-0218</t>
        </is>
      </c>
      <c r="B220" s="38" t="n">
        <v>46275</v>
      </c>
      <c r="C220" s="23" t="inlineStr">
        <is>
          <t>North</t>
        </is>
      </c>
      <c r="D220" s="23" t="n">
        <v>14</v>
      </c>
      <c r="E220" s="39" t="n">
        <v>28.01</v>
      </c>
      <c r="F220" s="40" t="n">
        <v>0.1</v>
      </c>
      <c r="G220" s="39">
        <f>ROUND(D220*E220*(1-F220),2)</f>
        <v/>
      </c>
      <c r="H220" s="39">
        <f>ROUND(G220*'Parameters'!$B$3,2)</f>
        <v/>
      </c>
      <c r="I220" s="39">
        <f>G220+H220</f>
        <v/>
      </c>
      <c r="J220" s="39">
        <f>IF(D220=0,0,ROUND(G220/D220,2))</f>
        <v/>
      </c>
    </row>
    <row r="221">
      <c r="A221" s="23" t="inlineStr">
        <is>
          <t>SO-0219</t>
        </is>
      </c>
      <c r="B221" s="38" t="n">
        <v>46311</v>
      </c>
      <c r="C221" s="23" t="inlineStr">
        <is>
          <t>South</t>
        </is>
      </c>
      <c r="D221" s="23" t="n">
        <v>8</v>
      </c>
      <c r="E221" s="39" t="n">
        <v>31.56</v>
      </c>
      <c r="F221" s="40" t="n">
        <v>0.1</v>
      </c>
      <c r="G221" s="39">
        <f>ROUND(D221*E221*(1-F221),2)</f>
        <v/>
      </c>
      <c r="H221" s="39">
        <f>ROUND(G221*'Parameters'!$B$3,2)</f>
        <v/>
      </c>
      <c r="I221" s="39">
        <f>G221+H221</f>
        <v/>
      </c>
      <c r="J221" s="39">
        <f>IF(D221=0,0,ROUND(G221/D221,2))</f>
        <v/>
      </c>
    </row>
    <row r="222">
      <c r="A222" s="24" t="inlineStr">
        <is>
          <t>SO-0220</t>
        </is>
      </c>
      <c r="B222" s="41" t="n">
        <v>46099</v>
      </c>
      <c r="C222" s="24" t="inlineStr">
        <is>
          <t>West</t>
        </is>
      </c>
      <c r="D222" s="24" t="n">
        <v>6</v>
      </c>
      <c r="E222" s="42" t="n">
        <v>184.25</v>
      </c>
      <c r="F222" s="43" t="n">
        <v>0</v>
      </c>
      <c r="G222" s="42">
        <f>ROUND(D222*E222*(1-F222),2)</f>
        <v/>
      </c>
      <c r="H222" s="42">
        <f>ROUND(G222*'Parameters'!$B$3,2)</f>
        <v/>
      </c>
      <c r="I222" s="42">
        <f>G222+H222</f>
        <v/>
      </c>
      <c r="J222" s="42">
        <f>IF(D222=0,0,ROUND(G222/D222,2))</f>
        <v/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