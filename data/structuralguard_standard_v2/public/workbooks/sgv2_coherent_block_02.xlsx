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Settings" sheetId="2" state="visible" r:id="rId2"/>
    <sheet name="Movements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" fontId="0" fillId="5" borderId="0" pivotButton="0" quotePrefix="0" xfId="0"/>
    <xf numFmtId="164" fontId="0" fillId="0" borderId="4" pivotButton="0" quotePrefix="0" xfId="0"/>
    <xf numFmtId="165" fontId="0" fillId="0" borderId="4" pivotButton="0" quotePrefix="0" xfId="0"/>
    <xf numFmtId="164" fontId="0" fillId="0" borderId="5" pivotButton="0" quotePrefix="0" xfId="0"/>
    <xf numFmtId="165" fontId="0" fillId="0" borderId="5" pivotButton="0" quotePrefix="0" xfId="0"/>
    <xf numFmtId="164" fontId="0" fillId="0" borderId="6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Warehouse inventory movements</t>
        </is>
      </c>
    </row>
    <row r="4">
      <c r="A4" s="5" t="inlineStr">
        <is>
          <t>Random seed</t>
        </is>
      </c>
      <c r="B4" t="n">
        <v>22047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Reorder point</t>
        </is>
      </c>
      <c r="B3" s="31" t="n">
        <v>25</v>
      </c>
    </row>
    <row r="4">
      <c r="A4" t="inlineStr">
        <is>
          <t>Critical point</t>
        </is>
      </c>
      <c r="B4" s="31" t="n">
        <v>10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 ht="30" customHeight="1">
      <c r="A1" s="3" t="inlineStr">
        <is>
          <t>Warehouse Inventory Movements</t>
        </is>
      </c>
    </row>
    <row r="2" ht="28" customHeight="1">
      <c r="A2" s="14" t="inlineStr">
        <is>
          <t>Date</t>
        </is>
      </c>
      <c r="B2" s="21" t="inlineStr">
        <is>
          <t>SKU</t>
        </is>
      </c>
      <c r="C2" s="21" t="inlineStr">
        <is>
          <t>Opening</t>
        </is>
      </c>
      <c r="D2" s="21" t="inlineStr">
        <is>
          <t>Received</t>
        </is>
      </c>
      <c r="E2" s="21" t="inlineStr">
        <is>
          <t>Shipped</t>
        </is>
      </c>
      <c r="F2" s="21" t="inlineStr">
        <is>
          <t>Closing</t>
        </is>
      </c>
      <c r="G2" s="21" t="inlineStr">
        <is>
          <t>Balance Check</t>
        </is>
      </c>
      <c r="H2" s="21" t="inlineStr">
        <is>
          <t>Stock Status</t>
        </is>
      </c>
      <c r="I2" s="21" t="inlineStr">
        <is>
          <t>Inventory Value</t>
        </is>
      </c>
      <c r="J2" s="15" t="inlineStr">
        <is>
          <t>Unit Cost</t>
        </is>
      </c>
    </row>
    <row r="3">
      <c r="A3" s="32" t="n">
        <v>46245</v>
      </c>
      <c r="B3" s="22" t="inlineStr">
        <is>
          <t>SKU-253</t>
        </is>
      </c>
      <c r="C3" s="22" t="n">
        <v>43</v>
      </c>
      <c r="D3" s="22" t="n">
        <v>31</v>
      </c>
      <c r="E3" s="22" t="n">
        <v>36</v>
      </c>
      <c r="F3" s="22">
        <f>C3+D3-E3</f>
        <v/>
      </c>
      <c r="G3" s="22">
        <f>F3-C3-D3+E3</f>
        <v/>
      </c>
      <c r="H3" s="22">
        <f>IF(F3&lt;'Settings'!$B$3,"REORDER","OK")</f>
        <v/>
      </c>
      <c r="I3" s="33">
        <f>ROUND(F3*J3,2)</f>
        <v/>
      </c>
      <c r="J3" s="33" t="n">
        <v>44.07</v>
      </c>
    </row>
    <row r="4">
      <c r="A4" s="34" t="n">
        <v>46314</v>
      </c>
      <c r="B4" s="23" t="inlineStr">
        <is>
          <t>SKU-334</t>
        </is>
      </c>
      <c r="C4" s="23" t="n">
        <v>145</v>
      </c>
      <c r="D4" s="23" t="n">
        <v>71</v>
      </c>
      <c r="E4" s="23" t="n">
        <v>70</v>
      </c>
      <c r="F4" s="23">
        <f>C4+D4-E4</f>
        <v/>
      </c>
      <c r="G4" s="23">
        <f>F4-C4-D4+E4</f>
        <v/>
      </c>
      <c r="H4" s="23">
        <f>IF(F4&lt;'Settings'!$B$3,"REORDER","OK")</f>
        <v/>
      </c>
      <c r="I4" s="35">
        <f>ROUND(F4*J4,2)</f>
        <v/>
      </c>
      <c r="J4" s="35" t="n">
        <v>61.8</v>
      </c>
    </row>
    <row r="5">
      <c r="A5" s="34" t="n">
        <v>46087</v>
      </c>
      <c r="B5" s="23" t="inlineStr">
        <is>
          <t>SKU-359</t>
        </is>
      </c>
      <c r="C5" s="23" t="n">
        <v>132</v>
      </c>
      <c r="D5" s="23" t="n">
        <v>49</v>
      </c>
      <c r="E5" s="23" t="n">
        <v>28</v>
      </c>
      <c r="F5" s="23">
        <f>C5+D5-E5</f>
        <v/>
      </c>
      <c r="G5" s="23">
        <f>F5-C5-D5+E5</f>
        <v/>
      </c>
      <c r="H5" s="23">
        <f>IF(F5&lt;'Settings'!$B$3,"REORDER","OK")</f>
        <v/>
      </c>
      <c r="I5" s="35">
        <f>ROUND(F5*J5,2)</f>
        <v/>
      </c>
      <c r="J5" s="35" t="n">
        <v>87.90000000000001</v>
      </c>
    </row>
    <row r="6">
      <c r="A6" s="34" t="n">
        <v>46104</v>
      </c>
      <c r="B6" s="23" t="inlineStr">
        <is>
          <t>SKU-348</t>
        </is>
      </c>
      <c r="C6" s="23" t="n">
        <v>99</v>
      </c>
      <c r="D6" s="23" t="n">
        <v>68</v>
      </c>
      <c r="E6" s="23" t="n">
        <v>37</v>
      </c>
      <c r="F6" s="23">
        <f>C6+D6-E6</f>
        <v/>
      </c>
      <c r="G6" s="23">
        <f>F6-C6-D6+E6</f>
        <v/>
      </c>
      <c r="H6" s="23">
        <f>IF(F6&lt;'Settings'!$B$3,"REORDER","OK")</f>
        <v/>
      </c>
      <c r="I6" s="35">
        <f>ROUND(F6*J6,2)</f>
        <v/>
      </c>
      <c r="J6" s="35" t="n">
        <v>30.2</v>
      </c>
    </row>
    <row r="7">
      <c r="A7" s="34" t="n">
        <v>46151</v>
      </c>
      <c r="B7" s="23" t="inlineStr">
        <is>
          <t>SKU-953</t>
        </is>
      </c>
      <c r="C7" s="23" t="n">
        <v>48</v>
      </c>
      <c r="D7" s="23" t="n">
        <v>23</v>
      </c>
      <c r="E7" s="23" t="n">
        <v>10</v>
      </c>
      <c r="F7" s="23">
        <f>C7+D7-E7</f>
        <v/>
      </c>
      <c r="G7" s="23">
        <f>F7-C7-D7+E7</f>
        <v/>
      </c>
      <c r="H7" s="23">
        <f>IF(F7&lt;'Settings'!$B$3,"REORDER","OK")</f>
        <v/>
      </c>
      <c r="I7" s="35">
        <f>ROUND(F7*J7,2)</f>
        <v/>
      </c>
      <c r="J7" s="35" t="n">
        <v>37.19</v>
      </c>
    </row>
    <row r="8">
      <c r="A8" s="34" t="n">
        <v>46134</v>
      </c>
      <c r="B8" s="23" t="inlineStr">
        <is>
          <t>SKU-217</t>
        </is>
      </c>
      <c r="C8" s="23" t="n">
        <v>29</v>
      </c>
      <c r="D8" s="23" t="n">
        <v>14</v>
      </c>
      <c r="E8" s="23" t="n">
        <v>28</v>
      </c>
      <c r="F8" s="23">
        <f>C8+D8-E8</f>
        <v/>
      </c>
      <c r="G8" s="23">
        <f>F8-C8-D8+E8</f>
        <v/>
      </c>
      <c r="H8" s="23">
        <f>IF(F8&lt;'Settings'!$B$3,"REORDER","OK")</f>
        <v/>
      </c>
      <c r="I8" s="35">
        <f>ROUND(F8*J8,2)</f>
        <v/>
      </c>
      <c r="J8" s="35" t="n">
        <v>60.53</v>
      </c>
    </row>
    <row r="9">
      <c r="A9" s="34" t="n">
        <v>46226</v>
      </c>
      <c r="B9" s="23" t="inlineStr">
        <is>
          <t>SKU-123</t>
        </is>
      </c>
      <c r="C9" s="23" t="n">
        <v>142</v>
      </c>
      <c r="D9" s="23" t="n">
        <v>12</v>
      </c>
      <c r="E9" s="23" t="n">
        <v>14</v>
      </c>
      <c r="F9" s="23">
        <f>C9+D9-E9</f>
        <v/>
      </c>
      <c r="G9" s="23">
        <f>F9-C9-D9+E9</f>
        <v/>
      </c>
      <c r="H9" s="23">
        <f>IF(F9&lt;'Settings'!$B$3,"REORDER","OK")</f>
        <v/>
      </c>
      <c r="I9" s="35">
        <f>ROUND(F9*J9,2)</f>
        <v/>
      </c>
      <c r="J9" s="35" t="n">
        <v>18.42</v>
      </c>
    </row>
    <row r="10">
      <c r="A10" s="34" t="n">
        <v>46030</v>
      </c>
      <c r="B10" s="23" t="inlineStr">
        <is>
          <t>SKU-871</t>
        </is>
      </c>
      <c r="C10" s="23" t="n">
        <v>90</v>
      </c>
      <c r="D10" s="23" t="n">
        <v>68</v>
      </c>
      <c r="E10" s="23" t="n">
        <v>23</v>
      </c>
      <c r="F10" s="23">
        <f>C10+D10-E10</f>
        <v/>
      </c>
      <c r="G10" s="23">
        <f>F10-C10-D10+E10</f>
        <v/>
      </c>
      <c r="H10" s="23">
        <f>IF(F10&lt;'Settings'!$B$3,"REORDER","OK")</f>
        <v/>
      </c>
      <c r="I10" s="35">
        <f>ROUND(F10*J10,2)</f>
        <v/>
      </c>
      <c r="J10" s="35" t="n">
        <v>23.03</v>
      </c>
    </row>
    <row r="11">
      <c r="A11" s="34" t="n">
        <v>46361</v>
      </c>
      <c r="B11" s="23" t="inlineStr">
        <is>
          <t>SKU-535</t>
        </is>
      </c>
      <c r="C11" s="23" t="n">
        <v>20</v>
      </c>
      <c r="D11" s="23" t="n">
        <v>44</v>
      </c>
      <c r="E11" s="23" t="n">
        <v>27</v>
      </c>
      <c r="F11" s="23">
        <f>C11+D11-E11</f>
        <v/>
      </c>
      <c r="G11" s="23">
        <f>F11-C11-D11+E11</f>
        <v/>
      </c>
      <c r="H11" s="23">
        <f>IF(F11&lt;'Settings'!$B$3,"REORDER","OK")</f>
        <v/>
      </c>
      <c r="I11" s="35">
        <f>ROUND(F11*J11,2)</f>
        <v/>
      </c>
      <c r="J11" s="35" t="n">
        <v>80.68000000000001</v>
      </c>
    </row>
    <row r="12">
      <c r="A12" s="34" t="n">
        <v>46026</v>
      </c>
      <c r="B12" s="23" t="inlineStr">
        <is>
          <t>SKU-518</t>
        </is>
      </c>
      <c r="C12" s="23" t="n">
        <v>128</v>
      </c>
      <c r="D12" s="23" t="n">
        <v>53</v>
      </c>
      <c r="E12" s="23" t="n">
        <v>44</v>
      </c>
      <c r="F12" s="23">
        <f>C12+D12-E12</f>
        <v/>
      </c>
      <c r="G12" s="23">
        <f>F12-C12-D12+E12</f>
        <v/>
      </c>
      <c r="H12" s="23">
        <f>IF(F12&lt;'Settings'!$B$3,"REORDER","OK")</f>
        <v/>
      </c>
      <c r="I12" s="35">
        <f>ROUND(F12*J12,2)</f>
        <v/>
      </c>
      <c r="J12" s="35" t="n">
        <v>68.78</v>
      </c>
    </row>
    <row r="13">
      <c r="A13" s="34" t="n">
        <v>46343</v>
      </c>
      <c r="B13" s="23" t="inlineStr">
        <is>
          <t>SKU-301</t>
        </is>
      </c>
      <c r="C13" s="23" t="n">
        <v>90</v>
      </c>
      <c r="D13" s="23" t="n">
        <v>72</v>
      </c>
      <c r="E13" s="23" t="n">
        <v>45</v>
      </c>
      <c r="F13" s="23">
        <f>C13+D13-E13</f>
        <v/>
      </c>
      <c r="G13" s="23">
        <f>F13-C13-D13+E13</f>
        <v/>
      </c>
      <c r="H13" s="23">
        <f>IF(F13&lt;'Settings'!$B$3,"REORDER","OK")</f>
        <v/>
      </c>
      <c r="I13" s="35">
        <f>ROUND(F13*J13,2)</f>
        <v/>
      </c>
      <c r="J13" s="35" t="n">
        <v>8.26</v>
      </c>
    </row>
    <row r="14">
      <c r="A14" s="34" t="n">
        <v>46321</v>
      </c>
      <c r="B14" s="23" t="inlineStr">
        <is>
          <t>SKU-436</t>
        </is>
      </c>
      <c r="C14" s="23" t="n">
        <v>124</v>
      </c>
      <c r="D14" s="23" t="n">
        <v>11</v>
      </c>
      <c r="E14" s="23" t="n">
        <v>24</v>
      </c>
      <c r="F14" s="23">
        <f>C14+D14-E14</f>
        <v/>
      </c>
      <c r="G14" s="23">
        <f>F14-C14-D14+E14</f>
        <v/>
      </c>
      <c r="H14" s="23">
        <f>IF(F14&lt;'Settings'!$B$3,"REORDER","OK")</f>
        <v/>
      </c>
      <c r="I14" s="35">
        <f>ROUND(F14*J14,2)</f>
        <v/>
      </c>
      <c r="J14" s="35" t="n">
        <v>87.61</v>
      </c>
    </row>
    <row r="15">
      <c r="A15" s="34" t="n">
        <v>46349</v>
      </c>
      <c r="B15" s="23" t="inlineStr">
        <is>
          <t>SKU-352</t>
        </is>
      </c>
      <c r="C15" s="23" t="n">
        <v>83</v>
      </c>
      <c r="D15" s="23" t="n">
        <v>52</v>
      </c>
      <c r="E15" s="23" t="n">
        <v>1</v>
      </c>
      <c r="F15" s="23">
        <f>C15+D15-E15</f>
        <v/>
      </c>
      <c r="G15" s="23">
        <f>F15-C15-D15+E15</f>
        <v/>
      </c>
      <c r="H15" s="23">
        <f>IF(F15&lt;'Settings'!$B$3,"REORDER","OK")</f>
        <v/>
      </c>
      <c r="I15" s="35">
        <f>ROUND(F15*J15,2)</f>
        <v/>
      </c>
      <c r="J15" s="35" t="n">
        <v>19.15</v>
      </c>
    </row>
    <row r="16">
      <c r="A16" s="34" t="n">
        <v>46167</v>
      </c>
      <c r="B16" s="23" t="inlineStr">
        <is>
          <t>SKU-217</t>
        </is>
      </c>
      <c r="C16" s="23" t="n">
        <v>46</v>
      </c>
      <c r="D16" s="23" t="n">
        <v>60</v>
      </c>
      <c r="E16" s="23" t="n">
        <v>61</v>
      </c>
      <c r="F16" s="23">
        <f>C16+D16-E16</f>
        <v/>
      </c>
      <c r="G16" s="23">
        <f>F16-C16-D16+E16</f>
        <v/>
      </c>
      <c r="H16" s="23">
        <f>IF(F16&lt;'Settings'!$B$3,"REORDER","OK")</f>
        <v/>
      </c>
      <c r="I16" s="35">
        <f>ROUND(F16*J16,2)</f>
        <v/>
      </c>
      <c r="J16" s="35" t="n">
        <v>14.47</v>
      </c>
    </row>
    <row r="17">
      <c r="A17" s="34" t="n">
        <v>46133</v>
      </c>
      <c r="B17" s="23" t="inlineStr">
        <is>
          <t>SKU-768</t>
        </is>
      </c>
      <c r="C17" s="23" t="n">
        <v>30</v>
      </c>
      <c r="D17" s="23" t="n">
        <v>27</v>
      </c>
      <c r="E17" s="23" t="n">
        <v>22</v>
      </c>
      <c r="F17" s="23">
        <f>C17+D17-E17</f>
        <v/>
      </c>
      <c r="G17" s="23">
        <f>F17-C17-D17+E17</f>
        <v/>
      </c>
      <c r="H17" s="23">
        <f>IF(F17&lt;'Settings'!$B$3,"REORDER","OK")</f>
        <v/>
      </c>
      <c r="I17" s="35">
        <f>ROUND(F17*J17,2)</f>
        <v/>
      </c>
      <c r="J17" s="35" t="n">
        <v>32.23</v>
      </c>
    </row>
    <row r="18">
      <c r="A18" s="34" t="n">
        <v>46103</v>
      </c>
      <c r="B18" s="23" t="inlineStr">
        <is>
          <t>SKU-612</t>
        </is>
      </c>
      <c r="C18" s="23" t="n">
        <v>59</v>
      </c>
      <c r="D18" s="23" t="n">
        <v>22</v>
      </c>
      <c r="E18" s="23" t="n">
        <v>14</v>
      </c>
      <c r="F18" s="23">
        <f>C18+D18-E18</f>
        <v/>
      </c>
      <c r="G18" s="23">
        <f>F18-C18-D18+E18</f>
        <v/>
      </c>
      <c r="H18" s="23">
        <f>IF(F18&lt;'Settings'!$B$3,"REORDER","OK")</f>
        <v/>
      </c>
      <c r="I18" s="35">
        <f>ROUND(F18*J18,2)</f>
        <v/>
      </c>
      <c r="J18" s="35" t="n">
        <v>6.12</v>
      </c>
    </row>
    <row r="19">
      <c r="A19" s="34" t="n">
        <v>46373</v>
      </c>
      <c r="B19" s="23" t="inlineStr">
        <is>
          <t>SKU-144</t>
        </is>
      </c>
      <c r="C19" s="23" t="n">
        <v>167</v>
      </c>
      <c r="D19" s="23" t="n">
        <v>5</v>
      </c>
      <c r="E19" s="23" t="n">
        <v>49</v>
      </c>
      <c r="F19" s="23">
        <f>C19+D19-E19</f>
        <v/>
      </c>
      <c r="G19" s="23">
        <f>F19-C19-D19+E19</f>
        <v/>
      </c>
      <c r="H19" s="23">
        <f>IF(F19&lt;'Settings'!$B$3,"REORDER","OK")</f>
        <v/>
      </c>
      <c r="I19" s="35">
        <f>ROUND(F19*J19,2)</f>
        <v/>
      </c>
      <c r="J19" s="35" t="n">
        <v>37.95</v>
      </c>
    </row>
    <row r="20">
      <c r="A20" s="34" t="n">
        <v>46290</v>
      </c>
      <c r="B20" s="23" t="inlineStr">
        <is>
          <t>SKU-436</t>
        </is>
      </c>
      <c r="C20" s="23" t="n">
        <v>113</v>
      </c>
      <c r="D20" s="23" t="n">
        <v>15</v>
      </c>
      <c r="E20" s="23" t="n">
        <v>56</v>
      </c>
      <c r="F20" s="23">
        <f>C20+D20-E20</f>
        <v/>
      </c>
      <c r="G20" s="23">
        <f>F20-C20-D20+E20</f>
        <v/>
      </c>
      <c r="H20" s="23">
        <f>IF(F20&lt;'Settings'!$B$3,"REORDER","OK")</f>
        <v/>
      </c>
      <c r="I20" s="35">
        <f>ROUND(F20*J20,2)</f>
        <v/>
      </c>
      <c r="J20" s="35" t="n">
        <v>22.59</v>
      </c>
    </row>
    <row r="21">
      <c r="A21" s="34" t="n">
        <v>46176</v>
      </c>
      <c r="B21" s="23" t="inlineStr">
        <is>
          <t>SKU-845</t>
        </is>
      </c>
      <c r="C21" s="23" t="n">
        <v>108</v>
      </c>
      <c r="D21" s="23" t="n">
        <v>48</v>
      </c>
      <c r="E21" s="23" t="n">
        <v>13</v>
      </c>
      <c r="F21" s="23">
        <f>C21+D21-E21</f>
        <v/>
      </c>
      <c r="G21" s="23">
        <f>F21-C21-D21+E21</f>
        <v/>
      </c>
      <c r="H21" s="23">
        <f>IF(F21&lt;'Settings'!$B$3,"REORDER","OK")</f>
        <v/>
      </c>
      <c r="I21" s="35">
        <f>ROUND(F21*J21,2)</f>
        <v/>
      </c>
      <c r="J21" s="35" t="n">
        <v>8.67</v>
      </c>
    </row>
    <row r="22">
      <c r="A22" s="34" t="n">
        <v>46198</v>
      </c>
      <c r="B22" s="23" t="inlineStr">
        <is>
          <t>SKU-501</t>
        </is>
      </c>
      <c r="C22" s="23" t="n">
        <v>131</v>
      </c>
      <c r="D22" s="23" t="n">
        <v>57</v>
      </c>
      <c r="E22" s="23" t="n">
        <v>31</v>
      </c>
      <c r="F22" s="23">
        <f>C22+D22-E22</f>
        <v/>
      </c>
      <c r="G22" s="23">
        <f>F22-C22-D22+E22</f>
        <v/>
      </c>
      <c r="H22" s="23">
        <f>IF(F22&lt;'Settings'!$B$3,"REORDER","OK")</f>
        <v/>
      </c>
      <c r="I22" s="35">
        <f>ROUND(F22*J22,2)</f>
        <v/>
      </c>
      <c r="J22" s="35" t="n">
        <v>87.29000000000001</v>
      </c>
    </row>
    <row r="23">
      <c r="A23" s="34" t="n">
        <v>46152</v>
      </c>
      <c r="B23" s="23" t="inlineStr">
        <is>
          <t>SKU-878</t>
        </is>
      </c>
      <c r="C23" s="23" t="n">
        <v>77</v>
      </c>
      <c r="D23" s="23" t="n">
        <v>28</v>
      </c>
      <c r="E23" s="23" t="n">
        <v>19</v>
      </c>
      <c r="F23" s="23">
        <f>C23+D23-E23</f>
        <v/>
      </c>
      <c r="G23" s="23">
        <f>F23-C23-D23+E23</f>
        <v/>
      </c>
      <c r="H23" s="23">
        <f>IF(F23&lt;'Settings'!$B$3,"REORDER","OK")</f>
        <v/>
      </c>
      <c r="I23" s="35">
        <f>ROUND(F23*J23,2)</f>
        <v/>
      </c>
      <c r="J23" s="35" t="n">
        <v>84.87</v>
      </c>
    </row>
    <row r="24">
      <c r="A24" s="34" t="n">
        <v>46318</v>
      </c>
      <c r="B24" s="23" t="inlineStr">
        <is>
          <t>SKU-826</t>
        </is>
      </c>
      <c r="C24" s="23" t="n">
        <v>34</v>
      </c>
      <c r="D24" s="23" t="n">
        <v>1</v>
      </c>
      <c r="E24" s="23" t="n">
        <v>26</v>
      </c>
      <c r="F24" s="23">
        <f>C24+D24-E24</f>
        <v/>
      </c>
      <c r="G24" s="23">
        <f>F24-C24-D24+E24</f>
        <v/>
      </c>
      <c r="H24" s="23">
        <f>IF(F24&lt;'Settings'!$B$3,"REORDER","OK")</f>
        <v/>
      </c>
      <c r="I24" s="35">
        <f>ROUND(F24*J24,2)</f>
        <v/>
      </c>
      <c r="J24" s="35" t="n">
        <v>5.36</v>
      </c>
    </row>
    <row r="25">
      <c r="A25" s="34" t="n">
        <v>46311</v>
      </c>
      <c r="B25" s="23" t="inlineStr">
        <is>
          <t>SKU-611</t>
        </is>
      </c>
      <c r="C25" s="23" t="n">
        <v>110</v>
      </c>
      <c r="D25" s="23" t="n">
        <v>73</v>
      </c>
      <c r="E25" s="23" t="n">
        <v>46</v>
      </c>
      <c r="F25" s="23">
        <f>C25+D25-E25</f>
        <v/>
      </c>
      <c r="G25" s="23">
        <f>F25-C25-D25+E25</f>
        <v/>
      </c>
      <c r="H25" s="23">
        <f>IF(F25&lt;'Settings'!$B$3,"REORDER","OK")</f>
        <v/>
      </c>
      <c r="I25" s="35">
        <f>ROUND(F25*J25,2)</f>
        <v/>
      </c>
      <c r="J25" s="35" t="n">
        <v>16.08</v>
      </c>
    </row>
    <row r="26">
      <c r="A26" s="34" t="n">
        <v>46037</v>
      </c>
      <c r="B26" s="23" t="inlineStr">
        <is>
          <t>SKU-908</t>
        </is>
      </c>
      <c r="C26" s="23" t="n">
        <v>159</v>
      </c>
      <c r="D26" s="23" t="n">
        <v>3</v>
      </c>
      <c r="E26" s="23" t="n">
        <v>28</v>
      </c>
      <c r="F26" s="23">
        <f>C26+D26-E26</f>
        <v/>
      </c>
      <c r="G26" s="23">
        <f>F26-C26-D26+E26</f>
        <v/>
      </c>
      <c r="H26" s="23">
        <f>IF(F26&lt;'Settings'!$B$3,"REORDER","OK")</f>
        <v/>
      </c>
      <c r="I26" s="35">
        <f>ROUND(F26*J26,2)</f>
        <v/>
      </c>
      <c r="J26" s="35" t="n">
        <v>4.96</v>
      </c>
    </row>
    <row r="27">
      <c r="A27" s="34" t="n">
        <v>46297</v>
      </c>
      <c r="B27" s="23" t="inlineStr">
        <is>
          <t>SKU-675</t>
        </is>
      </c>
      <c r="C27" s="23" t="n">
        <v>60</v>
      </c>
      <c r="D27" s="23" t="n">
        <v>50</v>
      </c>
      <c r="E27" s="23" t="n">
        <v>62</v>
      </c>
      <c r="F27" s="23">
        <f>C27+D27-E27</f>
        <v/>
      </c>
      <c r="G27" s="23">
        <f>F27-C27-D27+E27</f>
        <v/>
      </c>
      <c r="H27" s="23">
        <f>IF(F27&lt;'Settings'!$B$3,"REORDER","OK")</f>
        <v/>
      </c>
      <c r="I27" s="35">
        <f>ROUND(F27*J27,2)</f>
        <v/>
      </c>
      <c r="J27" s="35" t="n">
        <v>84.66</v>
      </c>
    </row>
    <row r="28">
      <c r="A28" s="34" t="n">
        <v>46107</v>
      </c>
      <c r="B28" s="23" t="inlineStr">
        <is>
          <t>SKU-606</t>
        </is>
      </c>
      <c r="C28" s="23" t="n">
        <v>104</v>
      </c>
      <c r="D28" s="23" t="n">
        <v>33</v>
      </c>
      <c r="E28" s="23" t="n">
        <v>69</v>
      </c>
      <c r="F28" s="23">
        <f>C28+D28-E28</f>
        <v/>
      </c>
      <c r="G28" s="23">
        <f>F28-C28-D28+E28</f>
        <v/>
      </c>
      <c r="H28" s="23">
        <f>IF(F28&lt;'Settings'!$B$3,"REORDER","OK")</f>
        <v/>
      </c>
      <c r="I28" s="35">
        <f>ROUND(F28*J28,2)</f>
        <v/>
      </c>
      <c r="J28" s="35" t="n">
        <v>62.74</v>
      </c>
    </row>
    <row r="29">
      <c r="A29" s="34" t="n">
        <v>46258</v>
      </c>
      <c r="B29" s="23" t="inlineStr">
        <is>
          <t>SKU-464</t>
        </is>
      </c>
      <c r="C29" s="23" t="n">
        <v>23</v>
      </c>
      <c r="D29" s="23" t="n">
        <v>49</v>
      </c>
      <c r="E29" s="23" t="n">
        <v>44</v>
      </c>
      <c r="F29" s="23">
        <f>C29+D29-E29</f>
        <v/>
      </c>
      <c r="G29" s="23">
        <f>F29-C29-D29+E29</f>
        <v/>
      </c>
      <c r="H29" s="23">
        <f>IF(F29&lt;'Settings'!$B$3,"REORDER","OK")</f>
        <v/>
      </c>
      <c r="I29" s="35">
        <f>ROUND(F29*J29,2)</f>
        <v/>
      </c>
      <c r="J29" s="35" t="n">
        <v>34.1</v>
      </c>
    </row>
    <row r="30">
      <c r="A30" s="34" t="n">
        <v>46345</v>
      </c>
      <c r="B30" s="23" t="inlineStr">
        <is>
          <t>SKU-760</t>
        </is>
      </c>
      <c r="C30" s="23" t="n">
        <v>159</v>
      </c>
      <c r="D30" s="23" t="n">
        <v>77</v>
      </c>
      <c r="E30" s="23" t="n">
        <v>2</v>
      </c>
      <c r="F30" s="23">
        <f>C30+D30-E30</f>
        <v/>
      </c>
      <c r="G30" s="23">
        <f>F30-C30-D30+E30</f>
        <v/>
      </c>
      <c r="H30" s="23">
        <f>IF(F30&lt;'Settings'!$B$3,"REORDER","OK")</f>
        <v/>
      </c>
      <c r="I30" s="35">
        <f>ROUND(F30*J30,2)</f>
        <v/>
      </c>
      <c r="J30" s="35" t="n">
        <v>89.29000000000001</v>
      </c>
    </row>
    <row r="31">
      <c r="A31" s="34" t="n">
        <v>46344</v>
      </c>
      <c r="B31" s="23" t="inlineStr">
        <is>
          <t>SKU-815</t>
        </is>
      </c>
      <c r="C31" s="23" t="n">
        <v>71</v>
      </c>
      <c r="D31" s="23" t="n">
        <v>13</v>
      </c>
      <c r="E31" s="23" t="n">
        <v>63</v>
      </c>
      <c r="F31" s="23">
        <f>C31-E31</f>
        <v/>
      </c>
      <c r="G31" s="23">
        <f>F31-C31-D31+E31</f>
        <v/>
      </c>
      <c r="H31" s="23">
        <f>IF(F31&lt;'Settings'!$B$3,"REORDER","OK")</f>
        <v/>
      </c>
      <c r="I31" s="35">
        <f>ROUND(F31*J31,2)</f>
        <v/>
      </c>
      <c r="J31" s="35" t="n">
        <v>32.73</v>
      </c>
    </row>
    <row r="32">
      <c r="A32" s="34" t="n">
        <v>46343</v>
      </c>
      <c r="B32" s="23" t="inlineStr">
        <is>
          <t>SKU-472</t>
        </is>
      </c>
      <c r="C32" s="23" t="n">
        <v>42</v>
      </c>
      <c r="D32" s="23" t="n">
        <v>39</v>
      </c>
      <c r="E32" s="23" t="n">
        <v>36</v>
      </c>
      <c r="F32" s="23">
        <f>C32-E32</f>
        <v/>
      </c>
      <c r="G32" s="23">
        <f>F32-C32-D32+E32</f>
        <v/>
      </c>
      <c r="H32" s="23">
        <f>IF(F32&lt;'Settings'!$B$3,"REORDER","OK")</f>
        <v/>
      </c>
      <c r="I32" s="35">
        <f>ROUND(F32*J32,2)</f>
        <v/>
      </c>
      <c r="J32" s="35" t="n">
        <v>35.91</v>
      </c>
    </row>
    <row r="33">
      <c r="A33" s="34" t="n">
        <v>46136</v>
      </c>
      <c r="B33" s="23" t="inlineStr">
        <is>
          <t>SKU-647</t>
        </is>
      </c>
      <c r="C33" s="23" t="n">
        <v>168</v>
      </c>
      <c r="D33" s="23" t="n">
        <v>35</v>
      </c>
      <c r="E33" s="23" t="n">
        <v>55</v>
      </c>
      <c r="F33" s="23">
        <f>C33-E33</f>
        <v/>
      </c>
      <c r="G33" s="23">
        <f>F33-C33-D33+E33</f>
        <v/>
      </c>
      <c r="H33" s="23">
        <f>IF(F33&lt;'Settings'!$B$3,"REORDER","OK")</f>
        <v/>
      </c>
      <c r="I33" s="35">
        <f>ROUND(F33*J33,2)</f>
        <v/>
      </c>
      <c r="J33" s="35" t="n">
        <v>66.39</v>
      </c>
    </row>
    <row r="34">
      <c r="A34" s="34" t="n">
        <v>46288</v>
      </c>
      <c r="B34" s="23" t="inlineStr">
        <is>
          <t>SKU-474</t>
        </is>
      </c>
      <c r="C34" s="23" t="n">
        <v>75</v>
      </c>
      <c r="D34" s="23" t="n">
        <v>13</v>
      </c>
      <c r="E34" s="23" t="n">
        <v>57</v>
      </c>
      <c r="F34" s="23">
        <f>C34-E34</f>
        <v/>
      </c>
      <c r="G34" s="23">
        <f>F34-C34-D34+E34</f>
        <v/>
      </c>
      <c r="H34" s="23">
        <f>IF(F34&lt;'Settings'!$B$3,"REORDER","OK")</f>
        <v/>
      </c>
      <c r="I34" s="35">
        <f>ROUND(F34*J34,2)</f>
        <v/>
      </c>
      <c r="J34" s="35" t="n">
        <v>83.14</v>
      </c>
    </row>
    <row r="35">
      <c r="A35" s="34" t="n">
        <v>46190</v>
      </c>
      <c r="B35" s="23" t="inlineStr">
        <is>
          <t>SKU-522</t>
        </is>
      </c>
      <c r="C35" s="23" t="n">
        <v>103</v>
      </c>
      <c r="D35" s="23" t="n">
        <v>24</v>
      </c>
      <c r="E35" s="23" t="n">
        <v>23</v>
      </c>
      <c r="F35" s="23">
        <f>C35-E35</f>
        <v/>
      </c>
      <c r="G35" s="23">
        <f>F35-C35-D35+E35</f>
        <v/>
      </c>
      <c r="H35" s="23">
        <f>IF(F35&lt;'Settings'!$B$3,"REORDER","OK")</f>
        <v/>
      </c>
      <c r="I35" s="35">
        <f>ROUND(F35*J35,2)</f>
        <v/>
      </c>
      <c r="J35" s="35" t="n">
        <v>44.89</v>
      </c>
    </row>
    <row r="36">
      <c r="A36" s="34" t="n">
        <v>46379</v>
      </c>
      <c r="B36" s="23" t="inlineStr">
        <is>
          <t>SKU-479</t>
        </is>
      </c>
      <c r="C36" s="23" t="n">
        <v>56</v>
      </c>
      <c r="D36" s="23" t="n">
        <v>58</v>
      </c>
      <c r="E36" s="23" t="n">
        <v>24</v>
      </c>
      <c r="F36" s="23">
        <f>C36-E36</f>
        <v/>
      </c>
      <c r="G36" s="23">
        <f>F36-C36-D36+E36</f>
        <v/>
      </c>
      <c r="H36" s="23">
        <f>IF(F36&lt;'Settings'!$B$3,"REORDER","OK")</f>
        <v/>
      </c>
      <c r="I36" s="35">
        <f>ROUND(F36*J36,2)</f>
        <v/>
      </c>
      <c r="J36" s="35" t="n">
        <v>41.46</v>
      </c>
    </row>
    <row r="37">
      <c r="A37" s="34" t="n">
        <v>46149</v>
      </c>
      <c r="B37" s="23" t="inlineStr">
        <is>
          <t>SKU-753</t>
        </is>
      </c>
      <c r="C37" s="23" t="n">
        <v>106</v>
      </c>
      <c r="D37" s="23" t="n">
        <v>31</v>
      </c>
      <c r="E37" s="23" t="n">
        <v>31</v>
      </c>
      <c r="F37" s="23">
        <f>C37-E37</f>
        <v/>
      </c>
      <c r="G37" s="23">
        <f>F37-C37-D37+E37</f>
        <v/>
      </c>
      <c r="H37" s="23">
        <f>IF(F37&lt;'Settings'!$B$3,"REORDER","OK")</f>
        <v/>
      </c>
      <c r="I37" s="35">
        <f>ROUND(F37*J37,2)</f>
        <v/>
      </c>
      <c r="J37" s="35" t="n">
        <v>54</v>
      </c>
    </row>
    <row r="38">
      <c r="A38" s="34" t="n">
        <v>46143</v>
      </c>
      <c r="B38" s="23" t="inlineStr">
        <is>
          <t>SKU-420</t>
        </is>
      </c>
      <c r="C38" s="23" t="n">
        <v>148</v>
      </c>
      <c r="D38" s="23" t="n">
        <v>75</v>
      </c>
      <c r="E38" s="23" t="n">
        <v>16</v>
      </c>
      <c r="F38" s="23">
        <f>C38-E38</f>
        <v/>
      </c>
      <c r="G38" s="23">
        <f>F38-C38-D38+E38</f>
        <v/>
      </c>
      <c r="H38" s="23">
        <f>IF(F38&lt;'Settings'!$B$3,"REORDER","OK")</f>
        <v/>
      </c>
      <c r="I38" s="35">
        <f>ROUND(F38*J38,2)</f>
        <v/>
      </c>
      <c r="J38" s="35" t="n">
        <v>48.29</v>
      </c>
    </row>
    <row r="39">
      <c r="A39" s="34" t="n">
        <v>46307</v>
      </c>
      <c r="B39" s="23" t="inlineStr">
        <is>
          <t>SKU-154</t>
        </is>
      </c>
      <c r="C39" s="23" t="n">
        <v>148</v>
      </c>
      <c r="D39" s="23" t="n">
        <v>60</v>
      </c>
      <c r="E39" s="23" t="n">
        <v>53</v>
      </c>
      <c r="F39" s="23">
        <f>C39-E39</f>
        <v/>
      </c>
      <c r="G39" s="23">
        <f>F39-C39-D39+E39</f>
        <v/>
      </c>
      <c r="H39" s="23">
        <f>IF(F39&lt;'Settings'!$B$3,"REORDER","OK")</f>
        <v/>
      </c>
      <c r="I39" s="35">
        <f>ROUND(F39*J39,2)</f>
        <v/>
      </c>
      <c r="J39" s="35" t="n">
        <v>41.35</v>
      </c>
    </row>
    <row r="40">
      <c r="A40" s="34" t="n">
        <v>46204</v>
      </c>
      <c r="B40" s="23" t="inlineStr">
        <is>
          <t>SKU-455</t>
        </is>
      </c>
      <c r="C40" s="23" t="n">
        <v>112</v>
      </c>
      <c r="D40" s="23" t="n">
        <v>54</v>
      </c>
      <c r="E40" s="23" t="n">
        <v>44</v>
      </c>
      <c r="F40" s="23">
        <f>C40-E40</f>
        <v/>
      </c>
      <c r="G40" s="23">
        <f>F40-C40-D40+E40</f>
        <v/>
      </c>
      <c r="H40" s="23">
        <f>IF(F40&lt;'Settings'!$B$3,"REORDER","OK")</f>
        <v/>
      </c>
      <c r="I40" s="35">
        <f>ROUND(F40*J40,2)</f>
        <v/>
      </c>
      <c r="J40" s="35" t="n">
        <v>37.58</v>
      </c>
    </row>
    <row r="41">
      <c r="A41" s="34" t="n">
        <v>46057</v>
      </c>
      <c r="B41" s="23" t="inlineStr">
        <is>
          <t>SKU-156</t>
        </is>
      </c>
      <c r="C41" s="23" t="n">
        <v>65</v>
      </c>
      <c r="D41" s="23" t="n">
        <v>10</v>
      </c>
      <c r="E41" s="23" t="n">
        <v>29</v>
      </c>
      <c r="F41" s="23">
        <f>C41-E41</f>
        <v/>
      </c>
      <c r="G41" s="23">
        <f>F41-C41-D41+E41</f>
        <v/>
      </c>
      <c r="H41" s="23">
        <f>IF(F41&lt;'Settings'!$B$3,"REORDER","OK")</f>
        <v/>
      </c>
      <c r="I41" s="35">
        <f>ROUND(F41*J41,2)</f>
        <v/>
      </c>
      <c r="J41" s="35" t="n">
        <v>55.15</v>
      </c>
    </row>
    <row r="42">
      <c r="A42" s="34" t="n">
        <v>46351</v>
      </c>
      <c r="B42" s="23" t="inlineStr">
        <is>
          <t>SKU-734</t>
        </is>
      </c>
      <c r="C42" s="23" t="n">
        <v>115</v>
      </c>
      <c r="D42" s="23" t="n">
        <v>51</v>
      </c>
      <c r="E42" s="23" t="n">
        <v>9</v>
      </c>
      <c r="F42" s="23">
        <f>C42-E42</f>
        <v/>
      </c>
      <c r="G42" s="23">
        <f>F42-C42-D42+E42</f>
        <v/>
      </c>
      <c r="H42" s="23">
        <f>IF(F42&lt;'Settings'!$B$3,"REORDER","OK")</f>
        <v/>
      </c>
      <c r="I42" s="35">
        <f>ROUND(F42*J42,2)</f>
        <v/>
      </c>
      <c r="J42" s="35" t="n">
        <v>28.08</v>
      </c>
    </row>
    <row r="43">
      <c r="A43" s="34" t="n">
        <v>46252</v>
      </c>
      <c r="B43" s="23" t="inlineStr">
        <is>
          <t>SKU-717</t>
        </is>
      </c>
      <c r="C43" s="23" t="n">
        <v>135</v>
      </c>
      <c r="D43" s="23" t="n">
        <v>79</v>
      </c>
      <c r="E43" s="23" t="n">
        <v>32</v>
      </c>
      <c r="F43" s="23">
        <f>C43-E43</f>
        <v/>
      </c>
      <c r="G43" s="23">
        <f>F43-C43-D43+E43</f>
        <v/>
      </c>
      <c r="H43" s="23">
        <f>IF(F43&lt;'Settings'!$B$3,"REORDER","OK")</f>
        <v/>
      </c>
      <c r="I43" s="35">
        <f>ROUND(F43*J43,2)</f>
        <v/>
      </c>
      <c r="J43" s="35" t="n">
        <v>12.63</v>
      </c>
    </row>
    <row r="44">
      <c r="A44" s="34" t="n">
        <v>46377</v>
      </c>
      <c r="B44" s="23" t="inlineStr">
        <is>
          <t>SKU-449</t>
        </is>
      </c>
      <c r="C44" s="23" t="n">
        <v>63</v>
      </c>
      <c r="D44" s="23" t="n">
        <v>49</v>
      </c>
      <c r="E44" s="23" t="n">
        <v>32</v>
      </c>
      <c r="F44" s="23">
        <f>C44-E44</f>
        <v/>
      </c>
      <c r="G44" s="23">
        <f>F44-C44-D44+E44</f>
        <v/>
      </c>
      <c r="H44" s="23">
        <f>IF(F44&lt;'Settings'!$B$3,"REORDER","OK")</f>
        <v/>
      </c>
      <c r="I44" s="35">
        <f>ROUND(F44*J44,2)</f>
        <v/>
      </c>
      <c r="J44" s="35" t="n">
        <v>88.15000000000001</v>
      </c>
    </row>
    <row r="45">
      <c r="A45" s="34" t="n">
        <v>46151</v>
      </c>
      <c r="B45" s="23" t="inlineStr">
        <is>
          <t>SKU-722</t>
        </is>
      </c>
      <c r="C45" s="23" t="n">
        <v>102</v>
      </c>
      <c r="D45" s="23" t="n">
        <v>30</v>
      </c>
      <c r="E45" s="23" t="n">
        <v>42</v>
      </c>
      <c r="F45" s="23">
        <f>C45-E45</f>
        <v/>
      </c>
      <c r="G45" s="23">
        <f>F45-C45-D45+E45</f>
        <v/>
      </c>
      <c r="H45" s="23">
        <f>IF(F45&lt;'Settings'!$B$3,"REORDER","OK")</f>
        <v/>
      </c>
      <c r="I45" s="35">
        <f>ROUND(F45*J45,2)</f>
        <v/>
      </c>
      <c r="J45" s="35" t="n">
        <v>81.59999999999999</v>
      </c>
    </row>
    <row r="46">
      <c r="A46" s="34" t="n">
        <v>46092</v>
      </c>
      <c r="B46" s="23" t="inlineStr">
        <is>
          <t>SKU-959</t>
        </is>
      </c>
      <c r="C46" s="23" t="n">
        <v>167</v>
      </c>
      <c r="D46" s="23" t="n">
        <v>69</v>
      </c>
      <c r="E46" s="23" t="n">
        <v>36</v>
      </c>
      <c r="F46" s="23">
        <f>C46-E46</f>
        <v/>
      </c>
      <c r="G46" s="23">
        <f>F46-C46-D46+E46</f>
        <v/>
      </c>
      <c r="H46" s="23">
        <f>IF(F46&lt;'Settings'!$B$3,"REORDER","OK")</f>
        <v/>
      </c>
      <c r="I46" s="35">
        <f>ROUND(F46*J46,2)</f>
        <v/>
      </c>
      <c r="J46" s="35" t="n">
        <v>67.64</v>
      </c>
    </row>
    <row r="47">
      <c r="A47" s="34" t="n">
        <v>46272</v>
      </c>
      <c r="B47" s="23" t="inlineStr">
        <is>
          <t>SKU-556</t>
        </is>
      </c>
      <c r="C47" s="23" t="n">
        <v>99</v>
      </c>
      <c r="D47" s="23" t="n">
        <v>54</v>
      </c>
      <c r="E47" s="23" t="n">
        <v>50</v>
      </c>
      <c r="F47" s="23">
        <f>C47-E47</f>
        <v/>
      </c>
      <c r="G47" s="23">
        <f>F47-C47-D47+E47</f>
        <v/>
      </c>
      <c r="H47" s="23">
        <f>IF(F47&lt;'Settings'!$B$3,"REORDER","OK")</f>
        <v/>
      </c>
      <c r="I47" s="35">
        <f>ROUND(F47*J47,2)</f>
        <v/>
      </c>
      <c r="J47" s="35" t="n">
        <v>24.37</v>
      </c>
    </row>
    <row r="48">
      <c r="A48" s="34" t="n">
        <v>46120</v>
      </c>
      <c r="B48" s="23" t="inlineStr">
        <is>
          <t>SKU-386</t>
        </is>
      </c>
      <c r="C48" s="23" t="n">
        <v>163</v>
      </c>
      <c r="D48" s="23" t="n">
        <v>38</v>
      </c>
      <c r="E48" s="23" t="n">
        <v>55</v>
      </c>
      <c r="F48" s="23">
        <f>C48-E48</f>
        <v/>
      </c>
      <c r="G48" s="23">
        <f>F48-C48-D48+E48</f>
        <v/>
      </c>
      <c r="H48" s="23">
        <f>IF(F48&lt;'Settings'!$B$3,"REORDER","OK")</f>
        <v/>
      </c>
      <c r="I48" s="35">
        <f>ROUND(F48*J48,2)</f>
        <v/>
      </c>
      <c r="J48" s="35" t="n">
        <v>25.85</v>
      </c>
    </row>
    <row r="49">
      <c r="A49" s="34" t="n">
        <v>46175</v>
      </c>
      <c r="B49" s="23" t="inlineStr">
        <is>
          <t>SKU-392</t>
        </is>
      </c>
      <c r="C49" s="23" t="n">
        <v>101</v>
      </c>
      <c r="D49" s="23" t="n">
        <v>1</v>
      </c>
      <c r="E49" s="23" t="n">
        <v>14</v>
      </c>
      <c r="F49" s="23">
        <f>C49-E49</f>
        <v/>
      </c>
      <c r="G49" s="23">
        <f>F49-C49-D49+E49</f>
        <v/>
      </c>
      <c r="H49" s="23">
        <f>IF(F49&lt;'Settings'!$B$3,"REORDER","OK")</f>
        <v/>
      </c>
      <c r="I49" s="35">
        <f>ROUND(F49*J49,2)</f>
        <v/>
      </c>
      <c r="J49" s="35" t="n">
        <v>79.42</v>
      </c>
    </row>
    <row r="50">
      <c r="A50" s="34" t="n">
        <v>46363</v>
      </c>
      <c r="B50" s="23" t="inlineStr">
        <is>
          <t>SKU-937</t>
        </is>
      </c>
      <c r="C50" s="23" t="n">
        <v>103</v>
      </c>
      <c r="D50" s="23" t="n">
        <v>24</v>
      </c>
      <c r="E50" s="23" t="n">
        <v>4</v>
      </c>
      <c r="F50" s="23">
        <f>C50-E50</f>
        <v/>
      </c>
      <c r="G50" s="23">
        <f>F50-C50-D50+E50</f>
        <v/>
      </c>
      <c r="H50" s="23">
        <f>IF(F50&lt;'Settings'!$B$3,"REORDER","OK")</f>
        <v/>
      </c>
      <c r="I50" s="35">
        <f>ROUND(F50*J50,2)</f>
        <v/>
      </c>
      <c r="J50" s="35" t="n">
        <v>30.58</v>
      </c>
    </row>
    <row r="51">
      <c r="A51" s="34" t="n">
        <v>46120</v>
      </c>
      <c r="B51" s="23" t="inlineStr">
        <is>
          <t>SKU-416</t>
        </is>
      </c>
      <c r="C51" s="23" t="n">
        <v>171</v>
      </c>
      <c r="D51" s="23" t="n">
        <v>28</v>
      </c>
      <c r="E51" s="23" t="n">
        <v>25</v>
      </c>
      <c r="F51" s="23">
        <f>C51+D51-E51</f>
        <v/>
      </c>
      <c r="G51" s="23">
        <f>F51-C51-D51+E51</f>
        <v/>
      </c>
      <c r="H51" s="23">
        <f>IF(F51&lt;'Settings'!$B$3,"REORDER","OK")</f>
        <v/>
      </c>
      <c r="I51" s="35">
        <f>ROUND(F51*J51,2)</f>
        <v/>
      </c>
      <c r="J51" s="35" t="n">
        <v>85.17</v>
      </c>
    </row>
    <row r="52">
      <c r="A52" s="34" t="n">
        <v>46122</v>
      </c>
      <c r="B52" s="23" t="inlineStr">
        <is>
          <t>SKU-277</t>
        </is>
      </c>
      <c r="C52" s="23" t="n">
        <v>127</v>
      </c>
      <c r="D52" s="23" t="n">
        <v>0</v>
      </c>
      <c r="E52" s="23" t="n">
        <v>45</v>
      </c>
      <c r="F52" s="23">
        <f>C52+D52-E52</f>
        <v/>
      </c>
      <c r="G52" s="23">
        <f>F52-C52-D52+E52</f>
        <v/>
      </c>
      <c r="H52" s="23">
        <f>IF(F52&lt;'Settings'!$B$3,"REORDER","OK")</f>
        <v/>
      </c>
      <c r="I52" s="35">
        <f>ROUND(F52*J52,2)</f>
        <v/>
      </c>
      <c r="J52" s="35" t="n">
        <v>82.90000000000001</v>
      </c>
    </row>
    <row r="53">
      <c r="A53" s="34" t="n">
        <v>46278</v>
      </c>
      <c r="B53" s="23" t="inlineStr">
        <is>
          <t>SKU-801</t>
        </is>
      </c>
      <c r="C53" s="23" t="n">
        <v>92</v>
      </c>
      <c r="D53" s="23" t="n">
        <v>69</v>
      </c>
      <c r="E53" s="23" t="n">
        <v>58</v>
      </c>
      <c r="F53" s="23">
        <f>C53+D53-E53</f>
        <v/>
      </c>
      <c r="G53" s="23">
        <f>F53-C53-D53+E53</f>
        <v/>
      </c>
      <c r="H53" s="23">
        <f>IF(F53&lt;'Settings'!$B$3,"REORDER","OK")</f>
        <v/>
      </c>
      <c r="I53" s="35">
        <f>ROUND(F53*J53,2)</f>
        <v/>
      </c>
      <c r="J53" s="35" t="n">
        <v>37.05</v>
      </c>
    </row>
    <row r="54">
      <c r="A54" s="34" t="n">
        <v>46374</v>
      </c>
      <c r="B54" s="23" t="inlineStr">
        <is>
          <t>SKU-155</t>
        </is>
      </c>
      <c r="C54" s="23" t="n">
        <v>95</v>
      </c>
      <c r="D54" s="23" t="n">
        <v>45</v>
      </c>
      <c r="E54" s="23" t="n">
        <v>69</v>
      </c>
      <c r="F54" s="23">
        <f>C54+D54-E54</f>
        <v/>
      </c>
      <c r="G54" s="23">
        <f>F54-C54-D54+E54</f>
        <v/>
      </c>
      <c r="H54" s="23">
        <f>IF(F54&lt;'Settings'!$B$3,"REORDER","OK")</f>
        <v/>
      </c>
      <c r="I54" s="35">
        <f>ROUND(F54*J54,2)</f>
        <v/>
      </c>
      <c r="J54" s="35" t="n">
        <v>10.47</v>
      </c>
    </row>
    <row r="55">
      <c r="A55" s="34" t="n">
        <v>46338</v>
      </c>
      <c r="B55" s="23" t="inlineStr">
        <is>
          <t>SKU-379</t>
        </is>
      </c>
      <c r="C55" s="23" t="n">
        <v>162</v>
      </c>
      <c r="D55" s="23" t="n">
        <v>10</v>
      </c>
      <c r="E55" s="23" t="n">
        <v>49</v>
      </c>
      <c r="F55" s="23">
        <f>C55+D55-E55</f>
        <v/>
      </c>
      <c r="G55" s="23">
        <f>F55-C55-D55+E55</f>
        <v/>
      </c>
      <c r="H55" s="23">
        <f>IF(F55&lt;'Settings'!$B$3,"REORDER","OK")</f>
        <v/>
      </c>
      <c r="I55" s="35">
        <f>ROUND(F55*J55,2)</f>
        <v/>
      </c>
      <c r="J55" s="35" t="n">
        <v>42.96</v>
      </c>
    </row>
    <row r="56">
      <c r="A56" s="34" t="n">
        <v>46273</v>
      </c>
      <c r="B56" s="23" t="inlineStr">
        <is>
          <t>SKU-591</t>
        </is>
      </c>
      <c r="C56" s="23" t="n">
        <v>69</v>
      </c>
      <c r="D56" s="23" t="n">
        <v>44</v>
      </c>
      <c r="E56" s="23" t="n">
        <v>14</v>
      </c>
      <c r="F56" s="23">
        <f>C56+D56-E56</f>
        <v/>
      </c>
      <c r="G56" s="23">
        <f>F56-C56-D56+E56</f>
        <v/>
      </c>
      <c r="H56" s="23">
        <f>IF(F56&lt;'Settings'!$B$3,"REORDER","OK")</f>
        <v/>
      </c>
      <c r="I56" s="35">
        <f>ROUND(F56*J56,2)</f>
        <v/>
      </c>
      <c r="J56" s="35" t="n">
        <v>14.31</v>
      </c>
    </row>
    <row r="57">
      <c r="A57" s="34" t="n">
        <v>46312</v>
      </c>
      <c r="B57" s="23" t="inlineStr">
        <is>
          <t>SKU-364</t>
        </is>
      </c>
      <c r="C57" s="23" t="n">
        <v>51</v>
      </c>
      <c r="D57" s="23" t="n">
        <v>50</v>
      </c>
      <c r="E57" s="23" t="n">
        <v>47</v>
      </c>
      <c r="F57" s="23">
        <f>C57+D57-E57</f>
        <v/>
      </c>
      <c r="G57" s="23">
        <f>F57-C57-D57+E57</f>
        <v/>
      </c>
      <c r="H57" s="23">
        <f>IF(F57&lt;'Settings'!$B$3,"REORDER","OK")</f>
        <v/>
      </c>
      <c r="I57" s="35">
        <f>ROUND(F57*J57,2)</f>
        <v/>
      </c>
      <c r="J57" s="35" t="n">
        <v>26.69</v>
      </c>
    </row>
    <row r="58">
      <c r="A58" s="34" t="n">
        <v>46260</v>
      </c>
      <c r="B58" s="23" t="inlineStr">
        <is>
          <t>SKU-420</t>
        </is>
      </c>
      <c r="C58" s="23" t="n">
        <v>127</v>
      </c>
      <c r="D58" s="23" t="n">
        <v>52</v>
      </c>
      <c r="E58" s="23" t="n">
        <v>2</v>
      </c>
      <c r="F58" s="23">
        <f>C58+D58-E58</f>
        <v/>
      </c>
      <c r="G58" s="23">
        <f>F58-C58-D58+E58</f>
        <v/>
      </c>
      <c r="H58" s="23">
        <f>IF(F58&lt;'Settings'!$B$3,"REORDER","OK")</f>
        <v/>
      </c>
      <c r="I58" s="35">
        <f>ROUND(F58*J58,2)</f>
        <v/>
      </c>
      <c r="J58" s="35" t="n">
        <v>46.43</v>
      </c>
    </row>
    <row r="59">
      <c r="A59" s="34" t="n">
        <v>46101</v>
      </c>
      <c r="B59" s="23" t="inlineStr">
        <is>
          <t>SKU-264</t>
        </is>
      </c>
      <c r="C59" s="23" t="n">
        <v>129</v>
      </c>
      <c r="D59" s="23" t="n">
        <v>30</v>
      </c>
      <c r="E59" s="23" t="n">
        <v>42</v>
      </c>
      <c r="F59" s="23">
        <f>C59+D59-E59</f>
        <v/>
      </c>
      <c r="G59" s="23">
        <f>F59-C59-D59+E59</f>
        <v/>
      </c>
      <c r="H59" s="23">
        <f>IF(F59&lt;'Settings'!$B$3,"REORDER","OK")</f>
        <v/>
      </c>
      <c r="I59" s="35">
        <f>ROUND(F59*J59,2)</f>
        <v/>
      </c>
      <c r="J59" s="35" t="n">
        <v>28.19</v>
      </c>
    </row>
    <row r="60">
      <c r="A60" s="34" t="n">
        <v>46024</v>
      </c>
      <c r="B60" s="23" t="inlineStr">
        <is>
          <t>SKU-563</t>
        </is>
      </c>
      <c r="C60" s="23" t="n">
        <v>141</v>
      </c>
      <c r="D60" s="23" t="n">
        <v>52</v>
      </c>
      <c r="E60" s="23" t="n">
        <v>22</v>
      </c>
      <c r="F60" s="23">
        <f>C60+D60-E60</f>
        <v/>
      </c>
      <c r="G60" s="23">
        <f>F60-C60-D60+E60</f>
        <v/>
      </c>
      <c r="H60" s="23">
        <f>IF(F60&lt;'Settings'!$B$3,"REORDER","OK")</f>
        <v/>
      </c>
      <c r="I60" s="35">
        <f>ROUND(F60*J60,2)</f>
        <v/>
      </c>
      <c r="J60" s="35" t="n">
        <v>75.73999999999999</v>
      </c>
    </row>
    <row r="61">
      <c r="A61" s="34" t="n">
        <v>46286</v>
      </c>
      <c r="B61" s="23" t="inlineStr">
        <is>
          <t>SKU-811</t>
        </is>
      </c>
      <c r="C61" s="23" t="n">
        <v>99</v>
      </c>
      <c r="D61" s="23" t="n">
        <v>24</v>
      </c>
      <c r="E61" s="23" t="n">
        <v>4</v>
      </c>
      <c r="F61" s="23">
        <f>C61+D61-E61</f>
        <v/>
      </c>
      <c r="G61" s="23">
        <f>F61-C61-D61+E61</f>
        <v/>
      </c>
      <c r="H61" s="23">
        <f>IF(F61&lt;'Settings'!$B$3,"REORDER","OK")</f>
        <v/>
      </c>
      <c r="I61" s="35">
        <f>ROUND(F61*J61,2)</f>
        <v/>
      </c>
      <c r="J61" s="35" t="n">
        <v>44.86</v>
      </c>
    </row>
    <row r="62">
      <c r="A62" s="34" t="n">
        <v>46083</v>
      </c>
      <c r="B62" s="23" t="inlineStr">
        <is>
          <t>SKU-677</t>
        </is>
      </c>
      <c r="C62" s="23" t="n">
        <v>48</v>
      </c>
      <c r="D62" s="23" t="n">
        <v>18</v>
      </c>
      <c r="E62" s="23" t="n">
        <v>2</v>
      </c>
      <c r="F62" s="23">
        <f>C62+D62-E62</f>
        <v/>
      </c>
      <c r="G62" s="23">
        <f>F62-C62-D62+E62</f>
        <v/>
      </c>
      <c r="H62" s="23">
        <f>IF(F62&lt;'Settings'!$B$3,"REORDER","OK")</f>
        <v/>
      </c>
      <c r="I62" s="35">
        <f>ROUND(F62*J62,2)</f>
        <v/>
      </c>
      <c r="J62" s="35" t="n">
        <v>49.41</v>
      </c>
    </row>
    <row r="63">
      <c r="A63" s="34" t="n">
        <v>46047</v>
      </c>
      <c r="B63" s="23" t="inlineStr">
        <is>
          <t>SKU-284</t>
        </is>
      </c>
      <c r="C63" s="23" t="n">
        <v>37</v>
      </c>
      <c r="D63" s="23" t="n">
        <v>67</v>
      </c>
      <c r="E63" s="23" t="n">
        <v>58</v>
      </c>
      <c r="F63" s="23">
        <f>C63+D63-E63</f>
        <v/>
      </c>
      <c r="G63" s="23">
        <f>F63-C63-D63+E63</f>
        <v/>
      </c>
      <c r="H63" s="23">
        <f>IF(F63&lt;'Settings'!$B$3,"REORDER","OK")</f>
        <v/>
      </c>
      <c r="I63" s="35">
        <f>ROUND(F63*J63,2)</f>
        <v/>
      </c>
      <c r="J63" s="35" t="n">
        <v>45.68</v>
      </c>
    </row>
    <row r="64">
      <c r="A64" s="34" t="n">
        <v>46167</v>
      </c>
      <c r="B64" s="23" t="inlineStr">
        <is>
          <t>SKU-188</t>
        </is>
      </c>
      <c r="C64" s="23" t="n">
        <v>98</v>
      </c>
      <c r="D64" s="23" t="n">
        <v>16</v>
      </c>
      <c r="E64" s="23" t="n">
        <v>28</v>
      </c>
      <c r="F64" s="23">
        <f>C64+D64-E64</f>
        <v/>
      </c>
      <c r="G64" s="23">
        <f>F64-C64-D64+E64</f>
        <v/>
      </c>
      <c r="H64" s="23">
        <f>IF(F64&lt;'Settings'!$B$3,"REORDER","OK")</f>
        <v/>
      </c>
      <c r="I64" s="35">
        <f>ROUND(F64*J64,2)</f>
        <v/>
      </c>
      <c r="J64" s="35" t="n">
        <v>15.87</v>
      </c>
    </row>
    <row r="65">
      <c r="A65" s="34" t="n">
        <v>46312</v>
      </c>
      <c r="B65" s="23" t="inlineStr">
        <is>
          <t>SKU-812</t>
        </is>
      </c>
      <c r="C65" s="23" t="n">
        <v>115</v>
      </c>
      <c r="D65" s="23" t="n">
        <v>77</v>
      </c>
      <c r="E65" s="23" t="n">
        <v>41</v>
      </c>
      <c r="F65" s="23">
        <f>C65+D65-E65</f>
        <v/>
      </c>
      <c r="G65" s="23">
        <f>F65-C65-D65+E65</f>
        <v/>
      </c>
      <c r="H65" s="23">
        <f>IF(F65&lt;'Settings'!$B$3,"REORDER","OK")</f>
        <v/>
      </c>
      <c r="I65" s="35">
        <f>ROUND(F65*J65,2)</f>
        <v/>
      </c>
      <c r="J65" s="35" t="n">
        <v>17.98</v>
      </c>
    </row>
    <row r="66">
      <c r="A66" s="34" t="n">
        <v>46316</v>
      </c>
      <c r="B66" s="23" t="inlineStr">
        <is>
          <t>SKU-377</t>
        </is>
      </c>
      <c r="C66" s="23" t="n">
        <v>106</v>
      </c>
      <c r="D66" s="23" t="n">
        <v>41</v>
      </c>
      <c r="E66" s="23" t="n">
        <v>63</v>
      </c>
      <c r="F66" s="23">
        <f>C66+D66-E66</f>
        <v/>
      </c>
      <c r="G66" s="23">
        <f>F66-C66-D66+E66</f>
        <v/>
      </c>
      <c r="H66" s="23">
        <f>IF(F66&lt;'Settings'!$B$3,"REORDER","OK")</f>
        <v/>
      </c>
      <c r="I66" s="35">
        <f>ROUND(F66*J66,2)</f>
        <v/>
      </c>
      <c r="J66" s="35" t="n">
        <v>25.27</v>
      </c>
    </row>
    <row r="67">
      <c r="A67" s="34" t="n">
        <v>46107</v>
      </c>
      <c r="B67" s="23" t="inlineStr">
        <is>
          <t>SKU-162</t>
        </is>
      </c>
      <c r="C67" s="23" t="n">
        <v>155</v>
      </c>
      <c r="D67" s="23" t="n">
        <v>34</v>
      </c>
      <c r="E67" s="23" t="n">
        <v>41</v>
      </c>
      <c r="F67" s="23">
        <f>C67+D67-E67</f>
        <v/>
      </c>
      <c r="G67" s="23">
        <f>F67-C67-D67+E67</f>
        <v/>
      </c>
      <c r="H67" s="23">
        <f>IF(F67&lt;'Settings'!$B$3,"REORDER","OK")</f>
        <v/>
      </c>
      <c r="I67" s="35">
        <f>ROUND(F67*J67,2)</f>
        <v/>
      </c>
      <c r="J67" s="35" t="n">
        <v>65.26000000000001</v>
      </c>
    </row>
    <row r="68">
      <c r="A68" s="34" t="n">
        <v>46143</v>
      </c>
      <c r="B68" s="23" t="inlineStr">
        <is>
          <t>SKU-162</t>
        </is>
      </c>
      <c r="C68" s="23" t="n">
        <v>135</v>
      </c>
      <c r="D68" s="23" t="n">
        <v>39</v>
      </c>
      <c r="E68" s="23" t="n">
        <v>44</v>
      </c>
      <c r="F68" s="23">
        <f>C68+D68-E68</f>
        <v/>
      </c>
      <c r="G68" s="23">
        <f>F68-C68-D68+E68</f>
        <v/>
      </c>
      <c r="H68" s="23">
        <f>IF(F68&lt;'Settings'!$B$3,"REORDER","OK")</f>
        <v/>
      </c>
      <c r="I68" s="35">
        <f>ROUND(F68*J68,2)</f>
        <v/>
      </c>
      <c r="J68" s="35" t="n">
        <v>15.86</v>
      </c>
    </row>
    <row r="69">
      <c r="A69" s="34" t="n">
        <v>46067</v>
      </c>
      <c r="B69" s="23" t="inlineStr">
        <is>
          <t>SKU-386</t>
        </is>
      </c>
      <c r="C69" s="23" t="n">
        <v>155</v>
      </c>
      <c r="D69" s="23" t="n">
        <v>67</v>
      </c>
      <c r="E69" s="23" t="n">
        <v>38</v>
      </c>
      <c r="F69" s="23">
        <f>C69+D69-E69</f>
        <v/>
      </c>
      <c r="G69" s="23">
        <f>F69-C69-D69+E69</f>
        <v/>
      </c>
      <c r="H69" s="23">
        <f>IF(F69&lt;'Settings'!$B$3,"REORDER","OK")</f>
        <v/>
      </c>
      <c r="I69" s="35">
        <f>ROUND(F69*J69,2)</f>
        <v/>
      </c>
      <c r="J69" s="35" t="n">
        <v>18.8</v>
      </c>
    </row>
    <row r="70">
      <c r="A70" s="34" t="n">
        <v>46080</v>
      </c>
      <c r="B70" s="23" t="inlineStr">
        <is>
          <t>SKU-273</t>
        </is>
      </c>
      <c r="C70" s="23" t="n">
        <v>48</v>
      </c>
      <c r="D70" s="23" t="n">
        <v>75</v>
      </c>
      <c r="E70" s="23" t="n">
        <v>32</v>
      </c>
      <c r="F70" s="23">
        <f>C70+D70-E70</f>
        <v/>
      </c>
      <c r="G70" s="23">
        <f>F70-C70-D70+E70</f>
        <v/>
      </c>
      <c r="H70" s="23">
        <f>IF(F70&lt;'Settings'!$B$3,"REORDER","OK")</f>
        <v/>
      </c>
      <c r="I70" s="35">
        <f>ROUND(F70*J70,2)</f>
        <v/>
      </c>
      <c r="J70" s="35" t="n">
        <v>51.68</v>
      </c>
    </row>
    <row r="71">
      <c r="A71" s="34" t="n">
        <v>46341</v>
      </c>
      <c r="B71" s="23" t="inlineStr">
        <is>
          <t>SKU-449</t>
        </is>
      </c>
      <c r="C71" s="23" t="n">
        <v>173</v>
      </c>
      <c r="D71" s="23" t="n">
        <v>47</v>
      </c>
      <c r="E71" s="23" t="n">
        <v>34</v>
      </c>
      <c r="F71" s="23">
        <f>C71+D71-E71</f>
        <v/>
      </c>
      <c r="G71" s="23">
        <f>F71-C71-D71+E71</f>
        <v/>
      </c>
      <c r="H71" s="23">
        <f>IF(F71&lt;'Settings'!$B$3,"REORDER","OK")</f>
        <v/>
      </c>
      <c r="I71" s="35">
        <f>ROUND(F71*J71,2)</f>
        <v/>
      </c>
      <c r="J71" s="35" t="n">
        <v>17.74</v>
      </c>
    </row>
    <row r="72">
      <c r="A72" s="34" t="n">
        <v>46169</v>
      </c>
      <c r="B72" s="23" t="inlineStr">
        <is>
          <t>SKU-499</t>
        </is>
      </c>
      <c r="C72" s="23" t="n">
        <v>142</v>
      </c>
      <c r="D72" s="23" t="n">
        <v>0</v>
      </c>
      <c r="E72" s="23" t="n">
        <v>53</v>
      </c>
      <c r="F72" s="23">
        <f>C72+D72-E72</f>
        <v/>
      </c>
      <c r="G72" s="23">
        <f>F72-C72-D72+E72</f>
        <v/>
      </c>
      <c r="H72" s="23">
        <f>IF(F72&lt;'Settings'!$B$3,"REORDER","OK")</f>
        <v/>
      </c>
      <c r="I72" s="35">
        <f>ROUND(F72*J72,2)</f>
        <v/>
      </c>
      <c r="J72" s="35" t="n">
        <v>31.9</v>
      </c>
    </row>
    <row r="73">
      <c r="A73" s="34" t="n">
        <v>46158</v>
      </c>
      <c r="B73" s="23" t="inlineStr">
        <is>
          <t>SKU-903</t>
        </is>
      </c>
      <c r="C73" s="23" t="n">
        <v>165</v>
      </c>
      <c r="D73" s="23" t="n">
        <v>49</v>
      </c>
      <c r="E73" s="23" t="n">
        <v>48</v>
      </c>
      <c r="F73" s="23">
        <f>C73+D73-E73</f>
        <v/>
      </c>
      <c r="G73" s="23">
        <f>F73-C73-D73+E73</f>
        <v/>
      </c>
      <c r="H73" s="23">
        <f>IF(F73&lt;'Settings'!$B$3,"REORDER","OK")</f>
        <v/>
      </c>
      <c r="I73" s="35">
        <f>ROUND(F73*J73,2)</f>
        <v/>
      </c>
      <c r="J73" s="35" t="n">
        <v>88</v>
      </c>
    </row>
    <row r="74">
      <c r="A74" s="34" t="n">
        <v>46168</v>
      </c>
      <c r="B74" s="23" t="inlineStr">
        <is>
          <t>SKU-263</t>
        </is>
      </c>
      <c r="C74" s="23" t="n">
        <v>114</v>
      </c>
      <c r="D74" s="23" t="n">
        <v>60</v>
      </c>
      <c r="E74" s="23" t="n">
        <v>54</v>
      </c>
      <c r="F74" s="23">
        <f>C74+D74-E74</f>
        <v/>
      </c>
      <c r="G74" s="23">
        <f>F74-C74-D74+E74</f>
        <v/>
      </c>
      <c r="H74" s="23">
        <f>IF(F74&lt;'Settings'!$B$3,"REORDER","OK")</f>
        <v/>
      </c>
      <c r="I74" s="35">
        <f>ROUND(F74*J74,2)</f>
        <v/>
      </c>
      <c r="J74" s="35" t="n">
        <v>87.54000000000001</v>
      </c>
    </row>
    <row r="75">
      <c r="A75" s="34" t="n">
        <v>46060</v>
      </c>
      <c r="B75" s="23" t="inlineStr">
        <is>
          <t>SKU-440</t>
        </is>
      </c>
      <c r="C75" s="23" t="n">
        <v>72</v>
      </c>
      <c r="D75" s="23" t="n">
        <v>0</v>
      </c>
      <c r="E75" s="23" t="n">
        <v>12</v>
      </c>
      <c r="F75" s="23">
        <f>C75+D75-E75</f>
        <v/>
      </c>
      <c r="G75" s="23">
        <f>F75-C75-D75+E75</f>
        <v/>
      </c>
      <c r="H75" s="23">
        <f>IF(F75&lt;'Settings'!$B$3,"REORDER","OK")</f>
        <v/>
      </c>
      <c r="I75" s="35">
        <f>ROUND(F75*J75,2)</f>
        <v/>
      </c>
      <c r="J75" s="35" t="n">
        <v>30.38</v>
      </c>
    </row>
    <row r="76">
      <c r="A76" s="34" t="n">
        <v>46358</v>
      </c>
      <c r="B76" s="23" t="inlineStr">
        <is>
          <t>SKU-298</t>
        </is>
      </c>
      <c r="C76" s="23" t="n">
        <v>118</v>
      </c>
      <c r="D76" s="23" t="n">
        <v>23</v>
      </c>
      <c r="E76" s="23" t="n">
        <v>27</v>
      </c>
      <c r="F76" s="23">
        <f>C76+D76-E76</f>
        <v/>
      </c>
      <c r="G76" s="23">
        <f>F76-C76-D76+E76</f>
        <v/>
      </c>
      <c r="H76" s="23">
        <f>IF(F76&lt;'Settings'!$B$3,"REORDER","OK")</f>
        <v/>
      </c>
      <c r="I76" s="35">
        <f>ROUND(F76*J76,2)</f>
        <v/>
      </c>
      <c r="J76" s="35" t="n">
        <v>38.22</v>
      </c>
    </row>
    <row r="77">
      <c r="A77" s="34" t="n">
        <v>46072</v>
      </c>
      <c r="B77" s="23" t="inlineStr">
        <is>
          <t>SKU-271</t>
        </is>
      </c>
      <c r="C77" s="23" t="n">
        <v>163</v>
      </c>
      <c r="D77" s="23" t="n">
        <v>13</v>
      </c>
      <c r="E77" s="23" t="n">
        <v>29</v>
      </c>
      <c r="F77" s="23">
        <f>C77+D77-E77</f>
        <v/>
      </c>
      <c r="G77" s="23">
        <f>F77-C77-D77+E77</f>
        <v/>
      </c>
      <c r="H77" s="23">
        <f>IF(F77&lt;'Settings'!$B$3,"REORDER","OK")</f>
        <v/>
      </c>
      <c r="I77" s="35">
        <f>ROUND(F77*J77,2)</f>
        <v/>
      </c>
      <c r="J77" s="35" t="n">
        <v>36.71</v>
      </c>
    </row>
    <row r="78">
      <c r="A78" s="34" t="n">
        <v>46186</v>
      </c>
      <c r="B78" s="23" t="inlineStr">
        <is>
          <t>SKU-277</t>
        </is>
      </c>
      <c r="C78" s="23" t="n">
        <v>153</v>
      </c>
      <c r="D78" s="23" t="n">
        <v>10</v>
      </c>
      <c r="E78" s="23" t="n">
        <v>33</v>
      </c>
      <c r="F78" s="23">
        <f>C78+D78-E78</f>
        <v/>
      </c>
      <c r="G78" s="23">
        <f>F78-C78-D78+E78</f>
        <v/>
      </c>
      <c r="H78" s="23">
        <f>IF(F78&lt;'Settings'!$B$3,"REORDER","OK")</f>
        <v/>
      </c>
      <c r="I78" s="35">
        <f>ROUND(F78*J78,2)</f>
        <v/>
      </c>
      <c r="J78" s="35" t="n">
        <v>24.69</v>
      </c>
    </row>
    <row r="79">
      <c r="A79" s="34" t="n">
        <v>46381</v>
      </c>
      <c r="B79" s="23" t="inlineStr">
        <is>
          <t>SKU-850</t>
        </is>
      </c>
      <c r="C79" s="23" t="n">
        <v>60</v>
      </c>
      <c r="D79" s="23" t="n">
        <v>50</v>
      </c>
      <c r="E79" s="23" t="n">
        <v>20</v>
      </c>
      <c r="F79" s="23">
        <f>C79+D79-E79</f>
        <v/>
      </c>
      <c r="G79" s="23">
        <f>F79-C79-D79+E79</f>
        <v/>
      </c>
      <c r="H79" s="23">
        <f>IF(F79&lt;'Settings'!$B$3,"REORDER","OK")</f>
        <v/>
      </c>
      <c r="I79" s="35">
        <f>ROUND(F79*J79,2)</f>
        <v/>
      </c>
      <c r="J79" s="35" t="n">
        <v>68.73</v>
      </c>
    </row>
    <row r="80">
      <c r="A80" s="34" t="n">
        <v>46240</v>
      </c>
      <c r="B80" s="23" t="inlineStr">
        <is>
          <t>SKU-815</t>
        </is>
      </c>
      <c r="C80" s="23" t="n">
        <v>34</v>
      </c>
      <c r="D80" s="23" t="n">
        <v>53</v>
      </c>
      <c r="E80" s="23" t="n">
        <v>10</v>
      </c>
      <c r="F80" s="23">
        <f>C80+D80-E80</f>
        <v/>
      </c>
      <c r="G80" s="23">
        <f>F80-C80-D80+E80</f>
        <v/>
      </c>
      <c r="H80" s="23">
        <f>IF(F80&lt;'Settings'!$B$3,"REORDER","OK")</f>
        <v/>
      </c>
      <c r="I80" s="35">
        <f>ROUND(F80*J80,2)</f>
        <v/>
      </c>
      <c r="J80" s="35" t="n">
        <v>44.04</v>
      </c>
    </row>
    <row r="81">
      <c r="A81" s="34" t="n">
        <v>46292</v>
      </c>
      <c r="B81" s="23" t="inlineStr">
        <is>
          <t>SKU-550</t>
        </is>
      </c>
      <c r="C81" s="23" t="n">
        <v>25</v>
      </c>
      <c r="D81" s="23" t="n">
        <v>50</v>
      </c>
      <c r="E81" s="23" t="n">
        <v>34</v>
      </c>
      <c r="F81" s="23">
        <f>C81+D81-E81</f>
        <v/>
      </c>
      <c r="G81" s="23">
        <f>F81-C81-D81+E81</f>
        <v/>
      </c>
      <c r="H81" s="23">
        <f>IF(F81&lt;'Settings'!$B$3,"REORDER","OK")</f>
        <v/>
      </c>
      <c r="I81" s="35">
        <f>ROUND(F81*J81,2)</f>
        <v/>
      </c>
      <c r="J81" s="35" t="n">
        <v>57.37</v>
      </c>
    </row>
    <row r="82">
      <c r="A82" s="34" t="n">
        <v>46255</v>
      </c>
      <c r="B82" s="23" t="inlineStr">
        <is>
          <t>SKU-287</t>
        </is>
      </c>
      <c r="C82" s="23" t="n">
        <v>39</v>
      </c>
      <c r="D82" s="23" t="n">
        <v>59</v>
      </c>
      <c r="E82" s="23" t="n">
        <v>35</v>
      </c>
      <c r="F82" s="23">
        <f>C82+D82-E82</f>
        <v/>
      </c>
      <c r="G82" s="23">
        <f>F82-C82-D82+E82</f>
        <v/>
      </c>
      <c r="H82" s="23">
        <f>IF(F82&lt;'Settings'!$B$3,"REORDER","OK")</f>
        <v/>
      </c>
      <c r="I82" s="35">
        <f>ROUND(F82*J82,2)</f>
        <v/>
      </c>
      <c r="J82" s="35" t="n">
        <v>43.37</v>
      </c>
    </row>
    <row r="83">
      <c r="A83" s="34" t="n">
        <v>46270</v>
      </c>
      <c r="B83" s="23" t="inlineStr">
        <is>
          <t>SKU-260</t>
        </is>
      </c>
      <c r="C83" s="23" t="n">
        <v>160</v>
      </c>
      <c r="D83" s="23" t="n">
        <v>71</v>
      </c>
      <c r="E83" s="23" t="n">
        <v>8</v>
      </c>
      <c r="F83" s="23">
        <f>C83+D83-E83</f>
        <v/>
      </c>
      <c r="G83" s="23">
        <f>F83-C83-D83+E83</f>
        <v/>
      </c>
      <c r="H83" s="23">
        <f>IF(F83&lt;'Settings'!$B$3,"REORDER","OK")</f>
        <v/>
      </c>
      <c r="I83" s="35">
        <f>ROUND(F83*J83,2)</f>
        <v/>
      </c>
      <c r="J83" s="35" t="n">
        <v>4.57</v>
      </c>
    </row>
    <row r="84">
      <c r="A84" s="34" t="n">
        <v>46277</v>
      </c>
      <c r="B84" s="23" t="inlineStr">
        <is>
          <t>SKU-941</t>
        </is>
      </c>
      <c r="C84" s="23" t="n">
        <v>142</v>
      </c>
      <c r="D84" s="23" t="n">
        <v>11</v>
      </c>
      <c r="E84" s="23" t="n">
        <v>16</v>
      </c>
      <c r="F84" s="23">
        <f>C84+D84-E84</f>
        <v/>
      </c>
      <c r="G84" s="23">
        <f>F84-C84-D84+E84</f>
        <v/>
      </c>
      <c r="H84" s="23">
        <f>IF(F84&lt;'Settings'!$B$3,"REORDER","OK")</f>
        <v/>
      </c>
      <c r="I84" s="35">
        <f>ROUND(F84*J84,2)</f>
        <v/>
      </c>
      <c r="J84" s="35" t="n">
        <v>37.59</v>
      </c>
    </row>
    <row r="85">
      <c r="A85" s="34" t="n">
        <v>46148</v>
      </c>
      <c r="B85" s="23" t="inlineStr">
        <is>
          <t>SKU-277</t>
        </is>
      </c>
      <c r="C85" s="23" t="n">
        <v>122</v>
      </c>
      <c r="D85" s="23" t="n">
        <v>37</v>
      </c>
      <c r="E85" s="23" t="n">
        <v>18</v>
      </c>
      <c r="F85" s="23">
        <f>C85+D85-E85</f>
        <v/>
      </c>
      <c r="G85" s="23">
        <f>F85-C85-D85+E85</f>
        <v/>
      </c>
      <c r="H85" s="23">
        <f>IF(F85&lt;'Settings'!$B$3,"REORDER","OK")</f>
        <v/>
      </c>
      <c r="I85" s="35">
        <f>ROUND(F85*J85,2)</f>
        <v/>
      </c>
      <c r="J85" s="35" t="n">
        <v>79.2</v>
      </c>
    </row>
    <row r="86">
      <c r="A86" s="34" t="n">
        <v>46117</v>
      </c>
      <c r="B86" s="23" t="inlineStr">
        <is>
          <t>SKU-328</t>
        </is>
      </c>
      <c r="C86" s="23" t="n">
        <v>161</v>
      </c>
      <c r="D86" s="23" t="n">
        <v>24</v>
      </c>
      <c r="E86" s="23" t="n">
        <v>63</v>
      </c>
      <c r="F86" s="23">
        <f>C86+D86-E86</f>
        <v/>
      </c>
      <c r="G86" s="23">
        <f>F86-C86-D86+E86</f>
        <v/>
      </c>
      <c r="H86" s="23">
        <f>IF(F86&lt;'Settings'!$B$3,"REORDER","OK")</f>
        <v/>
      </c>
      <c r="I86" s="35">
        <f>ROUND(F86*J86,2)</f>
        <v/>
      </c>
      <c r="J86" s="35" t="n">
        <v>67.22</v>
      </c>
    </row>
    <row r="87">
      <c r="A87" s="34" t="n">
        <v>46194</v>
      </c>
      <c r="B87" s="23" t="inlineStr">
        <is>
          <t>SKU-530</t>
        </is>
      </c>
      <c r="C87" s="23" t="n">
        <v>61</v>
      </c>
      <c r="D87" s="23" t="n">
        <v>1</v>
      </c>
      <c r="E87" s="23" t="n">
        <v>7</v>
      </c>
      <c r="F87" s="23">
        <f>C87+D87-E87</f>
        <v/>
      </c>
      <c r="G87" s="23">
        <f>F87-C87-D87+E87</f>
        <v/>
      </c>
      <c r="H87" s="23">
        <f>IF(F87&lt;'Settings'!$B$3,"REORDER","OK")</f>
        <v/>
      </c>
      <c r="I87" s="35">
        <f>ROUND(F87*J87,2)</f>
        <v/>
      </c>
      <c r="J87" s="35" t="n">
        <v>32.67</v>
      </c>
    </row>
    <row r="88">
      <c r="A88" s="34" t="n">
        <v>46084</v>
      </c>
      <c r="B88" s="23" t="inlineStr">
        <is>
          <t>SKU-289</t>
        </is>
      </c>
      <c r="C88" s="23" t="n">
        <v>34</v>
      </c>
      <c r="D88" s="23" t="n">
        <v>1</v>
      </c>
      <c r="E88" s="23" t="n">
        <v>25</v>
      </c>
      <c r="F88" s="23">
        <f>C88+D88-E88</f>
        <v/>
      </c>
      <c r="G88" s="23">
        <f>F88-C88-D88+E88</f>
        <v/>
      </c>
      <c r="H88" s="23">
        <f>IF(F88&lt;'Settings'!$B$3,"REORDER","OK")</f>
        <v/>
      </c>
      <c r="I88" s="35">
        <f>ROUND(F88*J88,2)</f>
        <v/>
      </c>
      <c r="J88" s="35" t="n">
        <v>87.02</v>
      </c>
    </row>
    <row r="89">
      <c r="A89" s="34" t="n">
        <v>46096</v>
      </c>
      <c r="B89" s="23" t="inlineStr">
        <is>
          <t>SKU-456</t>
        </is>
      </c>
      <c r="C89" s="23" t="n">
        <v>129</v>
      </c>
      <c r="D89" s="23" t="n">
        <v>52</v>
      </c>
      <c r="E89" s="23" t="n">
        <v>24</v>
      </c>
      <c r="F89" s="23">
        <f>C89+D89-E89</f>
        <v/>
      </c>
      <c r="G89" s="23">
        <f>F89-C89-D89+E89</f>
        <v/>
      </c>
      <c r="H89" s="23">
        <f>IF(F89&lt;'Settings'!$B$3,"REORDER","OK")</f>
        <v/>
      </c>
      <c r="I89" s="35">
        <f>ROUND(F89*J89,2)</f>
        <v/>
      </c>
      <c r="J89" s="35" t="n">
        <v>70</v>
      </c>
    </row>
    <row r="90">
      <c r="A90" s="34" t="n">
        <v>46029</v>
      </c>
      <c r="B90" s="23" t="inlineStr">
        <is>
          <t>SKU-807</t>
        </is>
      </c>
      <c r="C90" s="23" t="n">
        <v>61</v>
      </c>
      <c r="D90" s="23" t="n">
        <v>43</v>
      </c>
      <c r="E90" s="23" t="n">
        <v>9</v>
      </c>
      <c r="F90" s="23">
        <f>C90+D90-E90</f>
        <v/>
      </c>
      <c r="G90" s="23">
        <f>F90-C90-D90+E90</f>
        <v/>
      </c>
      <c r="H90" s="23">
        <f>IF(F90&lt;'Settings'!$B$3,"REORDER","OK")</f>
        <v/>
      </c>
      <c r="I90" s="35">
        <f>ROUND(F90*J90,2)</f>
        <v/>
      </c>
      <c r="J90" s="35" t="n">
        <v>19.8</v>
      </c>
    </row>
    <row r="91">
      <c r="A91" s="34" t="n">
        <v>46222</v>
      </c>
      <c r="B91" s="23" t="inlineStr">
        <is>
          <t>SKU-557</t>
        </is>
      </c>
      <c r="C91" s="23" t="n">
        <v>49</v>
      </c>
      <c r="D91" s="23" t="n">
        <v>45</v>
      </c>
      <c r="E91" s="23" t="n">
        <v>51</v>
      </c>
      <c r="F91" s="23">
        <f>C91+D91-E91</f>
        <v/>
      </c>
      <c r="G91" s="23">
        <f>F91-C91-D91+E91</f>
        <v/>
      </c>
      <c r="H91" s="23">
        <f>IF(F91&lt;'Settings'!$B$3,"REORDER","OK")</f>
        <v/>
      </c>
      <c r="I91" s="35">
        <f>ROUND(F91*J91,2)</f>
        <v/>
      </c>
      <c r="J91" s="35" t="n">
        <v>46.36</v>
      </c>
    </row>
    <row r="92">
      <c r="A92" s="34" t="n">
        <v>46119</v>
      </c>
      <c r="B92" s="23" t="inlineStr">
        <is>
          <t>SKU-262</t>
        </is>
      </c>
      <c r="C92" s="23" t="n">
        <v>63</v>
      </c>
      <c r="D92" s="23" t="n">
        <v>0</v>
      </c>
      <c r="E92" s="23" t="n">
        <v>17</v>
      </c>
      <c r="F92" s="23">
        <f>C92+D92-E92</f>
        <v/>
      </c>
      <c r="G92" s="23">
        <f>F92-C92-D92+E92</f>
        <v/>
      </c>
      <c r="H92" s="23">
        <f>IF(F92&lt;'Settings'!$B$3,"REORDER","OK")</f>
        <v/>
      </c>
      <c r="I92" s="35">
        <f>ROUND(F92*J92,2)</f>
        <v/>
      </c>
      <c r="J92" s="35" t="n">
        <v>51.82</v>
      </c>
    </row>
    <row r="93">
      <c r="A93" s="34" t="n">
        <v>46309</v>
      </c>
      <c r="B93" s="23" t="inlineStr">
        <is>
          <t>SKU-854</t>
        </is>
      </c>
      <c r="C93" s="23" t="n">
        <v>97</v>
      </c>
      <c r="D93" s="23" t="n">
        <v>43</v>
      </c>
      <c r="E93" s="23" t="n">
        <v>21</v>
      </c>
      <c r="F93" s="23">
        <f>C93+D93-E93</f>
        <v/>
      </c>
      <c r="G93" s="23">
        <f>F93-C93-D93+E93</f>
        <v/>
      </c>
      <c r="H93" s="23">
        <f>IF(F93&lt;'Settings'!$B$3,"REORDER","OK")</f>
        <v/>
      </c>
      <c r="I93" s="35">
        <f>ROUND(F93*J93,2)</f>
        <v/>
      </c>
      <c r="J93" s="35" t="n">
        <v>18.51</v>
      </c>
    </row>
    <row r="94">
      <c r="A94" s="34" t="n">
        <v>46074</v>
      </c>
      <c r="B94" s="23" t="inlineStr">
        <is>
          <t>SKU-949</t>
        </is>
      </c>
      <c r="C94" s="23" t="n">
        <v>148</v>
      </c>
      <c r="D94" s="23" t="n">
        <v>51</v>
      </c>
      <c r="E94" s="23" t="n">
        <v>56</v>
      </c>
      <c r="F94" s="23">
        <f>C94+D94-E94</f>
        <v/>
      </c>
      <c r="G94" s="23">
        <f>F94-C94-D94+E94</f>
        <v/>
      </c>
      <c r="H94" s="23">
        <f>IF(F94&lt;'Settings'!$B$3,"REORDER","OK")</f>
        <v/>
      </c>
      <c r="I94" s="35">
        <f>ROUND(F94*J94,2)</f>
        <v/>
      </c>
      <c r="J94" s="35" t="n">
        <v>71.67</v>
      </c>
    </row>
    <row r="95">
      <c r="A95" s="34" t="n">
        <v>46175</v>
      </c>
      <c r="B95" s="23" t="inlineStr">
        <is>
          <t>SKU-943</t>
        </is>
      </c>
      <c r="C95" s="23" t="n">
        <v>35</v>
      </c>
      <c r="D95" s="23" t="n">
        <v>79</v>
      </c>
      <c r="E95" s="23" t="n">
        <v>30</v>
      </c>
      <c r="F95" s="23">
        <f>C95+D95-E95</f>
        <v/>
      </c>
      <c r="G95" s="23">
        <f>F95-C95-D95+E95</f>
        <v/>
      </c>
      <c r="H95" s="23">
        <f>IF(F95&lt;'Settings'!$B$3,"REORDER","OK")</f>
        <v/>
      </c>
      <c r="I95" s="35">
        <f>ROUND(F95*J95,2)</f>
        <v/>
      </c>
      <c r="J95" s="35" t="n">
        <v>11.36</v>
      </c>
    </row>
    <row r="96">
      <c r="A96" s="34" t="n">
        <v>46369</v>
      </c>
      <c r="B96" s="23" t="inlineStr">
        <is>
          <t>SKU-150</t>
        </is>
      </c>
      <c r="C96" s="23" t="n">
        <v>28</v>
      </c>
      <c r="D96" s="23" t="n">
        <v>7</v>
      </c>
      <c r="E96" s="23" t="n">
        <v>20</v>
      </c>
      <c r="F96" s="23">
        <f>C96+D96-E96</f>
        <v/>
      </c>
      <c r="G96" s="23">
        <f>F96-C96-D96+E96</f>
        <v/>
      </c>
      <c r="H96" s="23">
        <f>IF(F96&lt;'Settings'!$B$3,"REORDER","OK")</f>
        <v/>
      </c>
      <c r="I96" s="35">
        <f>ROUND(F96*J96,2)</f>
        <v/>
      </c>
      <c r="J96" s="35" t="n">
        <v>3.07</v>
      </c>
    </row>
    <row r="97">
      <c r="A97" s="34" t="n">
        <v>46333</v>
      </c>
      <c r="B97" s="23" t="inlineStr">
        <is>
          <t>SKU-837</t>
        </is>
      </c>
      <c r="C97" s="23" t="n">
        <v>153</v>
      </c>
      <c r="D97" s="23" t="n">
        <v>1</v>
      </c>
      <c r="E97" s="23" t="n">
        <v>31</v>
      </c>
      <c r="F97" s="23">
        <f>C97+D97-E97</f>
        <v/>
      </c>
      <c r="G97" s="23">
        <f>F97-C97-D97+E97</f>
        <v/>
      </c>
      <c r="H97" s="23">
        <f>IF(F97&lt;'Settings'!$B$3,"REORDER","OK")</f>
        <v/>
      </c>
      <c r="I97" s="35">
        <f>ROUND(F97*J97,2)</f>
        <v/>
      </c>
      <c r="J97" s="35" t="n">
        <v>79.83</v>
      </c>
    </row>
    <row r="98">
      <c r="A98" s="34" t="n">
        <v>46271</v>
      </c>
      <c r="B98" s="23" t="inlineStr">
        <is>
          <t>SKU-593</t>
        </is>
      </c>
      <c r="C98" s="23" t="n">
        <v>165</v>
      </c>
      <c r="D98" s="23" t="n">
        <v>61</v>
      </c>
      <c r="E98" s="23" t="n">
        <v>42</v>
      </c>
      <c r="F98" s="23">
        <f>C98+D98-E98</f>
        <v/>
      </c>
      <c r="G98" s="23">
        <f>F98-C98-D98+E98</f>
        <v/>
      </c>
      <c r="H98" s="23">
        <f>IF(F98&lt;'Settings'!$B$3,"REORDER","OK")</f>
        <v/>
      </c>
      <c r="I98" s="35">
        <f>ROUND(F98*J98,2)</f>
        <v/>
      </c>
      <c r="J98" s="35" t="n">
        <v>53.12</v>
      </c>
    </row>
    <row r="99">
      <c r="A99" s="34" t="n">
        <v>46055</v>
      </c>
      <c r="B99" s="23" t="inlineStr">
        <is>
          <t>SKU-657</t>
        </is>
      </c>
      <c r="C99" s="23" t="n">
        <v>149</v>
      </c>
      <c r="D99" s="23" t="n">
        <v>61</v>
      </c>
      <c r="E99" s="23" t="n">
        <v>68</v>
      </c>
      <c r="F99" s="23">
        <f>C99+D99-E99</f>
        <v/>
      </c>
      <c r="G99" s="23">
        <f>F99-C99-D99+E99</f>
        <v/>
      </c>
      <c r="H99" s="23">
        <f>IF(F99&lt;'Settings'!$B$3,"REORDER","OK")</f>
        <v/>
      </c>
      <c r="I99" s="35">
        <f>ROUND(F99*J99,2)</f>
        <v/>
      </c>
      <c r="J99" s="35" t="n">
        <v>24.98</v>
      </c>
    </row>
    <row r="100">
      <c r="A100" s="34" t="n">
        <v>46037</v>
      </c>
      <c r="B100" s="23" t="inlineStr">
        <is>
          <t>SKU-302</t>
        </is>
      </c>
      <c r="C100" s="23" t="n">
        <v>107</v>
      </c>
      <c r="D100" s="23" t="n">
        <v>57</v>
      </c>
      <c r="E100" s="23" t="n">
        <v>29</v>
      </c>
      <c r="F100" s="23">
        <f>C100+D100-E100</f>
        <v/>
      </c>
      <c r="G100" s="23">
        <f>F100-C100-D100+E100</f>
        <v/>
      </c>
      <c r="H100" s="23">
        <f>IF(F100&lt;'Settings'!$B$3,"REORDER","OK")</f>
        <v/>
      </c>
      <c r="I100" s="35">
        <f>ROUND(F100*J100,2)</f>
        <v/>
      </c>
      <c r="J100" s="35" t="n">
        <v>75.58</v>
      </c>
    </row>
    <row r="101">
      <c r="A101" s="34" t="n">
        <v>46382</v>
      </c>
      <c r="B101" s="23" t="inlineStr">
        <is>
          <t>SKU-442</t>
        </is>
      </c>
      <c r="C101" s="23" t="n">
        <v>165</v>
      </c>
      <c r="D101" s="23" t="n">
        <v>49</v>
      </c>
      <c r="E101" s="23" t="n">
        <v>55</v>
      </c>
      <c r="F101" s="23">
        <f>C101+D101-E101</f>
        <v/>
      </c>
      <c r="G101" s="23">
        <f>F101-C101-D101+E101</f>
        <v/>
      </c>
      <c r="H101" s="23">
        <f>IF(F101&lt;'Settings'!$B$3,"REORDER","OK")</f>
        <v/>
      </c>
      <c r="I101" s="35">
        <f>ROUND(F101*J101,2)</f>
        <v/>
      </c>
      <c r="J101" s="35" t="n">
        <v>8.34</v>
      </c>
    </row>
    <row r="102">
      <c r="A102" s="34" t="n">
        <v>46301</v>
      </c>
      <c r="B102" s="23" t="inlineStr">
        <is>
          <t>SKU-206</t>
        </is>
      </c>
      <c r="C102" s="23" t="n">
        <v>97</v>
      </c>
      <c r="D102" s="23" t="n">
        <v>44</v>
      </c>
      <c r="E102" s="23" t="n">
        <v>17</v>
      </c>
      <c r="F102" s="23">
        <f>C102+D102-E102</f>
        <v/>
      </c>
      <c r="G102" s="23">
        <f>F102-C102-D102+E102</f>
        <v/>
      </c>
      <c r="H102" s="23">
        <f>IF(F102&lt;'Settings'!$B$3,"REORDER","OK")</f>
        <v/>
      </c>
      <c r="I102" s="35">
        <f>ROUND(F102*J102,2)</f>
        <v/>
      </c>
      <c r="J102" s="35" t="n">
        <v>33.73</v>
      </c>
    </row>
    <row r="103">
      <c r="A103" s="34" t="n">
        <v>46059</v>
      </c>
      <c r="B103" s="23" t="inlineStr">
        <is>
          <t>SKU-993</t>
        </is>
      </c>
      <c r="C103" s="23" t="n">
        <v>48</v>
      </c>
      <c r="D103" s="23" t="n">
        <v>8</v>
      </c>
      <c r="E103" s="23" t="n">
        <v>29</v>
      </c>
      <c r="F103" s="23">
        <f>C103+D103-E103</f>
        <v/>
      </c>
      <c r="G103" s="23">
        <f>F103-C103-D103+E103</f>
        <v/>
      </c>
      <c r="H103" s="23">
        <f>IF(F103&lt;'Settings'!$B$3,"REORDER","OK")</f>
        <v/>
      </c>
      <c r="I103" s="35">
        <f>ROUND(F103*J103,2)</f>
        <v/>
      </c>
      <c r="J103" s="35" t="n">
        <v>61.9</v>
      </c>
    </row>
    <row r="104">
      <c r="A104" s="34" t="n">
        <v>46302</v>
      </c>
      <c r="B104" s="23" t="inlineStr">
        <is>
          <t>SKU-143</t>
        </is>
      </c>
      <c r="C104" s="23" t="n">
        <v>83</v>
      </c>
      <c r="D104" s="23" t="n">
        <v>42</v>
      </c>
      <c r="E104" s="23" t="n">
        <v>33</v>
      </c>
      <c r="F104" s="23">
        <f>C104+D104-E104</f>
        <v/>
      </c>
      <c r="G104" s="23">
        <f>F104-C104-D104+E104</f>
        <v/>
      </c>
      <c r="H104" s="23">
        <f>IF(F104&lt;'Settings'!$B$3,"REORDER","OK")</f>
        <v/>
      </c>
      <c r="I104" s="35">
        <f>ROUND(F104*J104,2)</f>
        <v/>
      </c>
      <c r="J104" s="35" t="n">
        <v>8.390000000000001</v>
      </c>
    </row>
    <row r="105">
      <c r="A105" s="34" t="n">
        <v>46277</v>
      </c>
      <c r="B105" s="23" t="inlineStr">
        <is>
          <t>SKU-828</t>
        </is>
      </c>
      <c r="C105" s="23" t="n">
        <v>166</v>
      </c>
      <c r="D105" s="23" t="n">
        <v>69</v>
      </c>
      <c r="E105" s="23" t="n">
        <v>47</v>
      </c>
      <c r="F105" s="23">
        <f>C105+D105-E105</f>
        <v/>
      </c>
      <c r="G105" s="23">
        <f>F105-C105-D105+E105</f>
        <v/>
      </c>
      <c r="H105" s="23">
        <f>IF(F105&lt;'Settings'!$B$3,"REORDER","OK")</f>
        <v/>
      </c>
      <c r="I105" s="35">
        <f>ROUND(F105*J105,2)</f>
        <v/>
      </c>
      <c r="J105" s="35" t="n">
        <v>71.62</v>
      </c>
    </row>
    <row r="106">
      <c r="A106" s="34" t="n">
        <v>46037</v>
      </c>
      <c r="B106" s="23" t="inlineStr">
        <is>
          <t>SKU-680</t>
        </is>
      </c>
      <c r="C106" s="23" t="n">
        <v>91</v>
      </c>
      <c r="D106" s="23" t="n">
        <v>62</v>
      </c>
      <c r="E106" s="23" t="n">
        <v>26</v>
      </c>
      <c r="F106" s="23">
        <f>C106+D106-E106</f>
        <v/>
      </c>
      <c r="G106" s="23">
        <f>F106-C106-D106+E106</f>
        <v/>
      </c>
      <c r="H106" s="23">
        <f>IF(F106&lt;'Settings'!$B$3,"REORDER","OK")</f>
        <v/>
      </c>
      <c r="I106" s="35">
        <f>ROUND(F106*J106,2)</f>
        <v/>
      </c>
      <c r="J106" s="35" t="n">
        <v>34.79</v>
      </c>
    </row>
    <row r="107">
      <c r="A107" s="34" t="n">
        <v>46036</v>
      </c>
      <c r="B107" s="23" t="inlineStr">
        <is>
          <t>SKU-501</t>
        </is>
      </c>
      <c r="C107" s="23" t="n">
        <v>175</v>
      </c>
      <c r="D107" s="23" t="n">
        <v>42</v>
      </c>
      <c r="E107" s="23" t="n">
        <v>59</v>
      </c>
      <c r="F107" s="23">
        <f>C107+D107-E107</f>
        <v/>
      </c>
      <c r="G107" s="23">
        <f>F107-C107-D107+E107</f>
        <v/>
      </c>
      <c r="H107" s="23">
        <f>IF(F107&lt;'Settings'!$B$3,"REORDER","OK")</f>
        <v/>
      </c>
      <c r="I107" s="35">
        <f>ROUND(F107*J107,2)</f>
        <v/>
      </c>
      <c r="J107" s="35" t="n">
        <v>25.25</v>
      </c>
    </row>
    <row r="108">
      <c r="A108" s="34" t="n">
        <v>46281</v>
      </c>
      <c r="B108" s="23" t="inlineStr">
        <is>
          <t>SKU-875</t>
        </is>
      </c>
      <c r="C108" s="23" t="n">
        <v>80</v>
      </c>
      <c r="D108" s="23" t="n">
        <v>13</v>
      </c>
      <c r="E108" s="23" t="n">
        <v>31</v>
      </c>
      <c r="F108" s="23">
        <f>C108+D108-E108</f>
        <v/>
      </c>
      <c r="G108" s="23">
        <f>F108-C108-D108+E108</f>
        <v/>
      </c>
      <c r="H108" s="23">
        <f>IF(F108&lt;'Settings'!$B$3,"REORDER","OK")</f>
        <v/>
      </c>
      <c r="I108" s="35">
        <f>ROUND(F108*J108,2)</f>
        <v/>
      </c>
      <c r="J108" s="35" t="n">
        <v>49.24</v>
      </c>
    </row>
    <row r="109">
      <c r="A109" s="34" t="n">
        <v>46343</v>
      </c>
      <c r="B109" s="23" t="inlineStr">
        <is>
          <t>SKU-877</t>
        </is>
      </c>
      <c r="C109" s="23" t="n">
        <v>103</v>
      </c>
      <c r="D109" s="23" t="n">
        <v>42</v>
      </c>
      <c r="E109" s="23" t="n">
        <v>31</v>
      </c>
      <c r="F109" s="23">
        <f>C109+D109-E109</f>
        <v/>
      </c>
      <c r="G109" s="23">
        <f>F109-C109-D109+E109</f>
        <v/>
      </c>
      <c r="H109" s="23">
        <f>IF(F109&lt;'Settings'!$B$3,"REORDER","OK")</f>
        <v/>
      </c>
      <c r="I109" s="35">
        <f>ROUND(F109*J109,2)</f>
        <v/>
      </c>
      <c r="J109" s="35" t="n">
        <v>63.78</v>
      </c>
    </row>
    <row r="110">
      <c r="A110" s="34" t="n">
        <v>46287</v>
      </c>
      <c r="B110" s="23" t="inlineStr">
        <is>
          <t>SKU-503</t>
        </is>
      </c>
      <c r="C110" s="23" t="n">
        <v>84</v>
      </c>
      <c r="D110" s="23" t="n">
        <v>78</v>
      </c>
      <c r="E110" s="23" t="n">
        <v>43</v>
      </c>
      <c r="F110" s="23">
        <f>C110+D110-E110</f>
        <v/>
      </c>
      <c r="G110" s="23">
        <f>F110-C110-D110+E110</f>
        <v/>
      </c>
      <c r="H110" s="23">
        <f>IF(F110&lt;'Settings'!$B$3,"REORDER","OK")</f>
        <v/>
      </c>
      <c r="I110" s="35">
        <f>ROUND(F110*J110,2)</f>
        <v/>
      </c>
      <c r="J110" s="35" t="n">
        <v>64.95</v>
      </c>
    </row>
    <row r="111">
      <c r="A111" s="34" t="n">
        <v>46273</v>
      </c>
      <c r="B111" s="23" t="inlineStr">
        <is>
          <t>SKU-418</t>
        </is>
      </c>
      <c r="C111" s="23" t="n">
        <v>107</v>
      </c>
      <c r="D111" s="23" t="n">
        <v>40</v>
      </c>
      <c r="E111" s="23" t="n">
        <v>1</v>
      </c>
      <c r="F111" s="23">
        <f>C111+D111-E111</f>
        <v/>
      </c>
      <c r="G111" s="23">
        <f>F111-C111-D111+E111</f>
        <v/>
      </c>
      <c r="H111" s="23">
        <f>IF(F111&lt;'Settings'!$B$3,"REORDER","OK")</f>
        <v/>
      </c>
      <c r="I111" s="35">
        <f>ROUND(F111*J111,2)</f>
        <v/>
      </c>
      <c r="J111" s="35" t="n">
        <v>74.38</v>
      </c>
    </row>
    <row r="112">
      <c r="A112" s="34" t="n">
        <v>46175</v>
      </c>
      <c r="B112" s="23" t="inlineStr">
        <is>
          <t>SKU-917</t>
        </is>
      </c>
      <c r="C112" s="23" t="n">
        <v>107</v>
      </c>
      <c r="D112" s="23" t="n">
        <v>45</v>
      </c>
      <c r="E112" s="23" t="n">
        <v>61</v>
      </c>
      <c r="F112" s="23">
        <f>C112+D112-E112</f>
        <v/>
      </c>
      <c r="G112" s="23">
        <f>F112-C112-D112+E112</f>
        <v/>
      </c>
      <c r="H112" s="23">
        <f>IF(F112&lt;'Settings'!$B$3,"REORDER","OK")</f>
        <v/>
      </c>
      <c r="I112" s="35">
        <f>ROUND(F112*J112,2)</f>
        <v/>
      </c>
      <c r="J112" s="35" t="n">
        <v>67.12</v>
      </c>
    </row>
    <row r="113">
      <c r="A113" s="34" t="n">
        <v>46278</v>
      </c>
      <c r="B113" s="23" t="inlineStr">
        <is>
          <t>SKU-456</t>
        </is>
      </c>
      <c r="C113" s="23" t="n">
        <v>57</v>
      </c>
      <c r="D113" s="23" t="n">
        <v>45</v>
      </c>
      <c r="E113" s="23" t="n">
        <v>6</v>
      </c>
      <c r="F113" s="23">
        <f>C113+D113-E113</f>
        <v/>
      </c>
      <c r="G113" s="23">
        <f>F113-C113-D113+E113</f>
        <v/>
      </c>
      <c r="H113" s="23">
        <f>IF(F113&lt;'Settings'!$B$3,"REORDER","OK")</f>
        <v/>
      </c>
      <c r="I113" s="35">
        <f>ROUND(F113*J113,2)</f>
        <v/>
      </c>
      <c r="J113" s="35" t="n">
        <v>6.53</v>
      </c>
    </row>
    <row r="114">
      <c r="A114" s="34" t="n">
        <v>46125</v>
      </c>
      <c r="B114" s="23" t="inlineStr">
        <is>
          <t>SKU-127</t>
        </is>
      </c>
      <c r="C114" s="23" t="n">
        <v>160</v>
      </c>
      <c r="D114" s="23" t="n">
        <v>2</v>
      </c>
      <c r="E114" s="23" t="n">
        <v>61</v>
      </c>
      <c r="F114" s="23">
        <f>C114+D114-E114</f>
        <v/>
      </c>
      <c r="G114" s="23">
        <f>F114-C114-D114+E114</f>
        <v/>
      </c>
      <c r="H114" s="23">
        <f>IF(F114&lt;'Settings'!$B$3,"REORDER","OK")</f>
        <v/>
      </c>
      <c r="I114" s="35">
        <f>ROUND(F114*J114,2)</f>
        <v/>
      </c>
      <c r="J114" s="35" t="n">
        <v>65.84999999999999</v>
      </c>
    </row>
    <row r="115">
      <c r="A115" s="34" t="n">
        <v>46191</v>
      </c>
      <c r="B115" s="23" t="inlineStr">
        <is>
          <t>SKU-838</t>
        </is>
      </c>
      <c r="C115" s="23" t="n">
        <v>26</v>
      </c>
      <c r="D115" s="23" t="n">
        <v>35</v>
      </c>
      <c r="E115" s="23" t="n">
        <v>39</v>
      </c>
      <c r="F115" s="23">
        <f>C115+D115-E115</f>
        <v/>
      </c>
      <c r="G115" s="23">
        <f>F115-C115-D115+E115</f>
        <v/>
      </c>
      <c r="H115" s="23">
        <f>IF(F115&lt;'Settings'!$B$3,"REORDER","OK")</f>
        <v/>
      </c>
      <c r="I115" s="35">
        <f>ROUND(F115*J115,2)</f>
        <v/>
      </c>
      <c r="J115" s="35" t="n">
        <v>37.55</v>
      </c>
    </row>
    <row r="116">
      <c r="A116" s="34" t="n">
        <v>46148</v>
      </c>
      <c r="B116" s="23" t="inlineStr">
        <is>
          <t>SKU-620</t>
        </is>
      </c>
      <c r="C116" s="23" t="n">
        <v>106</v>
      </c>
      <c r="D116" s="23" t="n">
        <v>52</v>
      </c>
      <c r="E116" s="23" t="n">
        <v>67</v>
      </c>
      <c r="F116" s="23">
        <f>C116+D116-E116</f>
        <v/>
      </c>
      <c r="G116" s="23">
        <f>F116-C116-D116+E116</f>
        <v/>
      </c>
      <c r="H116" s="23">
        <f>IF(F116&lt;'Settings'!$B$3,"REORDER","OK")</f>
        <v/>
      </c>
      <c r="I116" s="35">
        <f>ROUND(F116*J116,2)</f>
        <v/>
      </c>
      <c r="J116" s="35" t="n">
        <v>44.42</v>
      </c>
    </row>
    <row r="117">
      <c r="A117" s="34" t="n">
        <v>46267</v>
      </c>
      <c r="B117" s="23" t="inlineStr">
        <is>
          <t>SKU-963</t>
        </is>
      </c>
      <c r="C117" s="23" t="n">
        <v>96</v>
      </c>
      <c r="D117" s="23" t="n">
        <v>69</v>
      </c>
      <c r="E117" s="23" t="n">
        <v>45</v>
      </c>
      <c r="F117" s="23">
        <f>C117+D117-E117</f>
        <v/>
      </c>
      <c r="G117" s="23">
        <f>F117-C117-D117+E117</f>
        <v/>
      </c>
      <c r="H117" s="23">
        <f>IF(F117&lt;'Settings'!$B$3,"REORDER","OK")</f>
        <v/>
      </c>
      <c r="I117" s="35">
        <f>ROUND(F117*J117,2)</f>
        <v/>
      </c>
      <c r="J117" s="35" t="n">
        <v>73.34999999999999</v>
      </c>
    </row>
    <row r="118">
      <c r="A118" s="34" t="n">
        <v>46273</v>
      </c>
      <c r="B118" s="23" t="inlineStr">
        <is>
          <t>SKU-236</t>
        </is>
      </c>
      <c r="C118" s="23" t="n">
        <v>94</v>
      </c>
      <c r="D118" s="23" t="n">
        <v>31</v>
      </c>
      <c r="E118" s="23" t="n">
        <v>60</v>
      </c>
      <c r="F118" s="23">
        <f>C118+D118-E118</f>
        <v/>
      </c>
      <c r="G118" s="23">
        <f>F118-C118-D118+E118</f>
        <v/>
      </c>
      <c r="H118" s="23">
        <f>IF(F118&lt;'Settings'!$B$3,"REORDER","OK")</f>
        <v/>
      </c>
      <c r="I118" s="35">
        <f>ROUND(F118*J118,2)</f>
        <v/>
      </c>
      <c r="J118" s="35" t="n">
        <v>54.63</v>
      </c>
    </row>
    <row r="119">
      <c r="A119" s="34" t="n">
        <v>46149</v>
      </c>
      <c r="B119" s="23" t="inlineStr">
        <is>
          <t>SKU-312</t>
        </is>
      </c>
      <c r="C119" s="23" t="n">
        <v>42</v>
      </c>
      <c r="D119" s="23" t="n">
        <v>0</v>
      </c>
      <c r="E119" s="23" t="n">
        <v>26</v>
      </c>
      <c r="F119" s="23">
        <f>C119+D119-E119</f>
        <v/>
      </c>
      <c r="G119" s="23">
        <f>F119-C119-D119+E119</f>
        <v/>
      </c>
      <c r="H119" s="23">
        <f>IF(F119&lt;'Settings'!$B$3,"REORDER","OK")</f>
        <v/>
      </c>
      <c r="I119" s="35">
        <f>ROUND(F119*J119,2)</f>
        <v/>
      </c>
      <c r="J119" s="35" t="n">
        <v>45.03</v>
      </c>
    </row>
    <row r="120">
      <c r="A120" s="34" t="n">
        <v>46327</v>
      </c>
      <c r="B120" s="23" t="inlineStr">
        <is>
          <t>SKU-259</t>
        </is>
      </c>
      <c r="C120" s="23" t="n">
        <v>104</v>
      </c>
      <c r="D120" s="23" t="n">
        <v>14</v>
      </c>
      <c r="E120" s="23" t="n">
        <v>22</v>
      </c>
      <c r="F120" s="23">
        <f>C120+D120-E120</f>
        <v/>
      </c>
      <c r="G120" s="23">
        <f>F120-C120-D120+E120</f>
        <v/>
      </c>
      <c r="H120" s="23">
        <f>IF(F120&lt;'Settings'!$B$3,"REORDER","OK")</f>
        <v/>
      </c>
      <c r="I120" s="35">
        <f>ROUND(F120*J120,2)</f>
        <v/>
      </c>
      <c r="J120" s="35" t="n">
        <v>54.62</v>
      </c>
    </row>
    <row r="121">
      <c r="A121" s="34" t="n">
        <v>46132</v>
      </c>
      <c r="B121" s="23" t="inlineStr">
        <is>
          <t>SKU-284</t>
        </is>
      </c>
      <c r="C121" s="23" t="n">
        <v>61</v>
      </c>
      <c r="D121" s="23" t="n">
        <v>77</v>
      </c>
      <c r="E121" s="23" t="n">
        <v>62</v>
      </c>
      <c r="F121" s="23">
        <f>C121+D121-E121</f>
        <v/>
      </c>
      <c r="G121" s="23">
        <f>F121-C121-D121+E121</f>
        <v/>
      </c>
      <c r="H121" s="23">
        <f>IF(F121&lt;'Settings'!$B$3,"REORDER","OK")</f>
        <v/>
      </c>
      <c r="I121" s="35">
        <f>ROUND(F121*J121,2)</f>
        <v/>
      </c>
      <c r="J121" s="35" t="n">
        <v>83.45</v>
      </c>
    </row>
    <row r="122">
      <c r="A122" s="34" t="n">
        <v>46319</v>
      </c>
      <c r="B122" s="23" t="inlineStr">
        <is>
          <t>SKU-720</t>
        </is>
      </c>
      <c r="C122" s="23" t="n">
        <v>169</v>
      </c>
      <c r="D122" s="23" t="n">
        <v>38</v>
      </c>
      <c r="E122" s="23" t="n">
        <v>47</v>
      </c>
      <c r="F122" s="23">
        <f>C122+D122-E122</f>
        <v/>
      </c>
      <c r="G122" s="23">
        <f>F122-C122-D122+E122</f>
        <v/>
      </c>
      <c r="H122" s="23">
        <f>IF(F122&lt;'Settings'!$B$3,"REORDER","OK")</f>
        <v/>
      </c>
      <c r="I122" s="35">
        <f>ROUND(F122*J122,2)</f>
        <v/>
      </c>
      <c r="J122" s="35" t="n">
        <v>88.88</v>
      </c>
    </row>
    <row r="123">
      <c r="A123" s="34" t="n">
        <v>46133</v>
      </c>
      <c r="B123" s="23" t="inlineStr">
        <is>
          <t>SKU-665</t>
        </is>
      </c>
      <c r="C123" s="23" t="n">
        <v>118</v>
      </c>
      <c r="D123" s="23" t="n">
        <v>20</v>
      </c>
      <c r="E123" s="23" t="n">
        <v>55</v>
      </c>
      <c r="F123" s="23">
        <f>C123+D123-E123</f>
        <v/>
      </c>
      <c r="G123" s="23">
        <f>F123-C123-D123+E123</f>
        <v/>
      </c>
      <c r="H123" s="23">
        <f>IF(F123&lt;'Settings'!$B$3,"REORDER","OK")</f>
        <v/>
      </c>
      <c r="I123" s="35">
        <f>ROUND(F123*J123,2)</f>
        <v/>
      </c>
      <c r="J123" s="35" t="n">
        <v>52.48</v>
      </c>
    </row>
    <row r="124">
      <c r="A124" s="34" t="n">
        <v>46277</v>
      </c>
      <c r="B124" s="23" t="inlineStr">
        <is>
          <t>SKU-869</t>
        </is>
      </c>
      <c r="C124" s="23" t="n">
        <v>170</v>
      </c>
      <c r="D124" s="23" t="n">
        <v>6</v>
      </c>
      <c r="E124" s="23" t="n">
        <v>0</v>
      </c>
      <c r="F124" s="23">
        <f>C124+D124-E124</f>
        <v/>
      </c>
      <c r="G124" s="23">
        <f>F124-C124-D124+E124</f>
        <v/>
      </c>
      <c r="H124" s="23">
        <f>IF(F124&lt;'Settings'!$B$3,"REORDER","OK")</f>
        <v/>
      </c>
      <c r="I124" s="35">
        <f>ROUND(F124*J124,2)</f>
        <v/>
      </c>
      <c r="J124" s="35" t="n">
        <v>48.37</v>
      </c>
    </row>
    <row r="125">
      <c r="A125" s="34" t="n">
        <v>46134</v>
      </c>
      <c r="B125" s="23" t="inlineStr">
        <is>
          <t>SKU-872</t>
        </is>
      </c>
      <c r="C125" s="23" t="n">
        <v>37</v>
      </c>
      <c r="D125" s="23" t="n">
        <v>52</v>
      </c>
      <c r="E125" s="23" t="n">
        <v>11</v>
      </c>
      <c r="F125" s="23">
        <f>C125+D125-E125</f>
        <v/>
      </c>
      <c r="G125" s="23">
        <f>F125-C125-D125+E125</f>
        <v/>
      </c>
      <c r="H125" s="23">
        <f>IF(F125&lt;'Settings'!$B$3,"REORDER","OK")</f>
        <v/>
      </c>
      <c r="I125" s="35">
        <f>ROUND(F125*J125,2)</f>
        <v/>
      </c>
      <c r="J125" s="35" t="n">
        <v>29.57</v>
      </c>
    </row>
    <row r="126">
      <c r="A126" s="34" t="n">
        <v>46192</v>
      </c>
      <c r="B126" s="23" t="inlineStr">
        <is>
          <t>SKU-894</t>
        </is>
      </c>
      <c r="C126" s="23" t="n">
        <v>99</v>
      </c>
      <c r="D126" s="23" t="n">
        <v>14</v>
      </c>
      <c r="E126" s="23" t="n">
        <v>23</v>
      </c>
      <c r="F126" s="23">
        <f>C126+D126-E126</f>
        <v/>
      </c>
      <c r="G126" s="23">
        <f>F126-C126-D126+E126</f>
        <v/>
      </c>
      <c r="H126" s="23">
        <f>IF(F126&lt;'Settings'!$B$3,"REORDER","OK")</f>
        <v/>
      </c>
      <c r="I126" s="35">
        <f>ROUND(F126*J126,2)</f>
        <v/>
      </c>
      <c r="J126" s="35" t="n">
        <v>27.98</v>
      </c>
    </row>
    <row r="127">
      <c r="A127" s="34" t="n">
        <v>46334</v>
      </c>
      <c r="B127" s="23" t="inlineStr">
        <is>
          <t>SKU-137</t>
        </is>
      </c>
      <c r="C127" s="23" t="n">
        <v>76</v>
      </c>
      <c r="D127" s="23" t="n">
        <v>69</v>
      </c>
      <c r="E127" s="23" t="n">
        <v>28</v>
      </c>
      <c r="F127" s="23">
        <f>C127+D127-E127</f>
        <v/>
      </c>
      <c r="G127" s="23">
        <f>F127-C127-D127+E127</f>
        <v/>
      </c>
      <c r="H127" s="23">
        <f>IF(F127&lt;'Settings'!$B$3,"REORDER","OK")</f>
        <v/>
      </c>
      <c r="I127" s="35">
        <f>ROUND(F127*J127,2)</f>
        <v/>
      </c>
      <c r="J127" s="35" t="n">
        <v>27.44</v>
      </c>
    </row>
    <row r="128">
      <c r="A128" s="34" t="n">
        <v>46230</v>
      </c>
      <c r="B128" s="23" t="inlineStr">
        <is>
          <t>SKU-837</t>
        </is>
      </c>
      <c r="C128" s="23" t="n">
        <v>22</v>
      </c>
      <c r="D128" s="23" t="n">
        <v>56</v>
      </c>
      <c r="E128" s="23" t="n">
        <v>12</v>
      </c>
      <c r="F128" s="23">
        <f>C128+D128-E128</f>
        <v/>
      </c>
      <c r="G128" s="23">
        <f>F128-C128-D128+E128</f>
        <v/>
      </c>
      <c r="H128" s="23">
        <f>IF(F128&lt;'Settings'!$B$3,"REORDER","OK")</f>
        <v/>
      </c>
      <c r="I128" s="35">
        <f>ROUND(F128*J128,2)</f>
        <v/>
      </c>
      <c r="J128" s="35" t="n">
        <v>65.20999999999999</v>
      </c>
    </row>
    <row r="129">
      <c r="A129" s="34" t="n">
        <v>46095</v>
      </c>
      <c r="B129" s="23" t="inlineStr">
        <is>
          <t>SKU-724</t>
        </is>
      </c>
      <c r="C129" s="23" t="n">
        <v>128</v>
      </c>
      <c r="D129" s="23" t="n">
        <v>44</v>
      </c>
      <c r="E129" s="23" t="n">
        <v>1</v>
      </c>
      <c r="F129" s="23">
        <f>C129+D129-E129</f>
        <v/>
      </c>
      <c r="G129" s="23">
        <f>F129-C129-D129+E129</f>
        <v/>
      </c>
      <c r="H129" s="23">
        <f>IF(F129&lt;'Settings'!$B$3,"REORDER","OK")</f>
        <v/>
      </c>
      <c r="I129" s="35">
        <f>ROUND(F129*J129,2)</f>
        <v/>
      </c>
      <c r="J129" s="35" t="n">
        <v>33.18</v>
      </c>
    </row>
    <row r="130">
      <c r="A130" s="34" t="n">
        <v>46068</v>
      </c>
      <c r="B130" s="23" t="inlineStr">
        <is>
          <t>SKU-620</t>
        </is>
      </c>
      <c r="C130" s="23" t="n">
        <v>129</v>
      </c>
      <c r="D130" s="23" t="n">
        <v>4</v>
      </c>
      <c r="E130" s="23" t="n">
        <v>5</v>
      </c>
      <c r="F130" s="23">
        <f>C130+D130-E130</f>
        <v/>
      </c>
      <c r="G130" s="23">
        <f>F130-C130-D130+E130</f>
        <v/>
      </c>
      <c r="H130" s="23">
        <f>IF(F130&lt;'Settings'!$B$3,"REORDER","OK")</f>
        <v/>
      </c>
      <c r="I130" s="35">
        <f>ROUND(F130*J130,2)</f>
        <v/>
      </c>
      <c r="J130" s="35" t="n">
        <v>20.84</v>
      </c>
    </row>
    <row r="131">
      <c r="A131" s="34" t="n">
        <v>46090</v>
      </c>
      <c r="B131" s="23" t="inlineStr">
        <is>
          <t>SKU-240</t>
        </is>
      </c>
      <c r="C131" s="23" t="n">
        <v>180</v>
      </c>
      <c r="D131" s="23" t="n">
        <v>64</v>
      </c>
      <c r="E131" s="23" t="n">
        <v>45</v>
      </c>
      <c r="F131" s="23">
        <f>C131+D131-E131</f>
        <v/>
      </c>
      <c r="G131" s="23">
        <f>F131-C131-D131+E131</f>
        <v/>
      </c>
      <c r="H131" s="23">
        <f>IF(F131&lt;'Settings'!$B$3,"REORDER","OK")</f>
        <v/>
      </c>
      <c r="I131" s="35">
        <f>ROUND(F131*J131,2)</f>
        <v/>
      </c>
      <c r="J131" s="35" t="n">
        <v>10.21</v>
      </c>
    </row>
    <row r="132">
      <c r="A132" s="34" t="n">
        <v>46249</v>
      </c>
      <c r="B132" s="23" t="inlineStr">
        <is>
          <t>SKU-685</t>
        </is>
      </c>
      <c r="C132" s="23" t="n">
        <v>141</v>
      </c>
      <c r="D132" s="23" t="n">
        <v>59</v>
      </c>
      <c r="E132" s="23" t="n">
        <v>14</v>
      </c>
      <c r="F132" s="23">
        <f>C132+D132-E132</f>
        <v/>
      </c>
      <c r="G132" s="23">
        <f>F132-C132-D132+E132</f>
        <v/>
      </c>
      <c r="H132" s="23">
        <f>IF(F132&lt;'Settings'!$B$3,"REORDER","OK")</f>
        <v/>
      </c>
      <c r="I132" s="35">
        <f>ROUND(F132*J132,2)</f>
        <v/>
      </c>
      <c r="J132" s="35" t="n">
        <v>47.71</v>
      </c>
    </row>
    <row r="133">
      <c r="A133" s="34" t="n">
        <v>46273</v>
      </c>
      <c r="B133" s="23" t="inlineStr">
        <is>
          <t>SKU-962</t>
        </is>
      </c>
      <c r="C133" s="23" t="n">
        <v>133</v>
      </c>
      <c r="D133" s="23" t="n">
        <v>1</v>
      </c>
      <c r="E133" s="23" t="n">
        <v>41</v>
      </c>
      <c r="F133" s="23">
        <f>C133+D133-E133</f>
        <v/>
      </c>
      <c r="G133" s="23">
        <f>F133-C133-D133+E133</f>
        <v/>
      </c>
      <c r="H133" s="23">
        <f>IF(F133&lt;'Settings'!$B$3,"REORDER","OK")</f>
        <v/>
      </c>
      <c r="I133" s="35">
        <f>ROUND(F133*J133,2)</f>
        <v/>
      </c>
      <c r="J133" s="35" t="n">
        <v>15.25</v>
      </c>
    </row>
    <row r="134">
      <c r="A134" s="34" t="n">
        <v>46209</v>
      </c>
      <c r="B134" s="23" t="inlineStr">
        <is>
          <t>SKU-210</t>
        </is>
      </c>
      <c r="C134" s="23" t="n">
        <v>79</v>
      </c>
      <c r="D134" s="23" t="n">
        <v>35</v>
      </c>
      <c r="E134" s="23" t="n">
        <v>29</v>
      </c>
      <c r="F134" s="23">
        <f>C134+D134-E134</f>
        <v/>
      </c>
      <c r="G134" s="23">
        <f>F134-C134-D134+E134</f>
        <v/>
      </c>
      <c r="H134" s="23">
        <f>IF(F134&lt;'Settings'!$B$3,"REORDER","OK")</f>
        <v/>
      </c>
      <c r="I134" s="35">
        <f>ROUND(F134*J134,2)</f>
        <v/>
      </c>
      <c r="J134" s="35" t="n">
        <v>33.49</v>
      </c>
    </row>
    <row r="135">
      <c r="A135" s="34" t="n">
        <v>46247</v>
      </c>
      <c r="B135" s="23" t="inlineStr">
        <is>
          <t>SKU-920</t>
        </is>
      </c>
      <c r="C135" s="23" t="n">
        <v>54</v>
      </c>
      <c r="D135" s="23" t="n">
        <v>9</v>
      </c>
      <c r="E135" s="23" t="n">
        <v>44</v>
      </c>
      <c r="F135" s="23">
        <f>C135+D135-E135</f>
        <v/>
      </c>
      <c r="G135" s="23">
        <f>F135-C135-D135+E135</f>
        <v/>
      </c>
      <c r="H135" s="23">
        <f>IF(F135&lt;'Settings'!$B$3,"REORDER","OK")</f>
        <v/>
      </c>
      <c r="I135" s="35">
        <f>ROUND(F135*J135,2)</f>
        <v/>
      </c>
      <c r="J135" s="35" t="n">
        <v>74.77</v>
      </c>
    </row>
    <row r="136">
      <c r="A136" s="34" t="n">
        <v>46079</v>
      </c>
      <c r="B136" s="23" t="inlineStr">
        <is>
          <t>SKU-896</t>
        </is>
      </c>
      <c r="C136" s="23" t="n">
        <v>87</v>
      </c>
      <c r="D136" s="23" t="n">
        <v>50</v>
      </c>
      <c r="E136" s="23" t="n">
        <v>58</v>
      </c>
      <c r="F136" s="23">
        <f>C136+D136-E136</f>
        <v/>
      </c>
      <c r="G136" s="23">
        <f>F136-C136-D136+E136</f>
        <v/>
      </c>
      <c r="H136" s="23">
        <f>IF(F136&lt;'Settings'!$B$3,"REORDER","OK")</f>
        <v/>
      </c>
      <c r="I136" s="35">
        <f>ROUND(F136*J136,2)</f>
        <v/>
      </c>
      <c r="J136" s="35" t="n">
        <v>79.19</v>
      </c>
    </row>
    <row r="137">
      <c r="A137" s="34" t="n">
        <v>46102</v>
      </c>
      <c r="B137" s="23" t="inlineStr">
        <is>
          <t>SKU-935</t>
        </is>
      </c>
      <c r="C137" s="23" t="n">
        <v>40</v>
      </c>
      <c r="D137" s="23" t="n">
        <v>66</v>
      </c>
      <c r="E137" s="23" t="n">
        <v>35</v>
      </c>
      <c r="F137" s="23">
        <f>C137+D137-E137</f>
        <v/>
      </c>
      <c r="G137" s="23">
        <f>F137-C137-D137+E137</f>
        <v/>
      </c>
      <c r="H137" s="23">
        <f>IF(F137&lt;'Settings'!$B$3,"REORDER","OK")</f>
        <v/>
      </c>
      <c r="I137" s="35">
        <f>ROUND(F137*J137,2)</f>
        <v/>
      </c>
      <c r="J137" s="35" t="n">
        <v>81.98</v>
      </c>
    </row>
    <row r="138">
      <c r="A138" s="34" t="n">
        <v>46300</v>
      </c>
      <c r="B138" s="23" t="inlineStr">
        <is>
          <t>SKU-656</t>
        </is>
      </c>
      <c r="C138" s="23" t="n">
        <v>164</v>
      </c>
      <c r="D138" s="23" t="n">
        <v>26</v>
      </c>
      <c r="E138" s="23" t="n">
        <v>13</v>
      </c>
      <c r="F138" s="23">
        <f>C138+D138-E138</f>
        <v/>
      </c>
      <c r="G138" s="23">
        <f>F138-C138-D138+E138</f>
        <v/>
      </c>
      <c r="H138" s="23">
        <f>IF(F138&lt;'Settings'!$B$3,"REORDER","OK")</f>
        <v/>
      </c>
      <c r="I138" s="35">
        <f>ROUND(F138*J138,2)</f>
        <v/>
      </c>
      <c r="J138" s="35" t="n">
        <v>21.99</v>
      </c>
    </row>
    <row r="139">
      <c r="A139" s="34" t="n">
        <v>46229</v>
      </c>
      <c r="B139" s="23" t="inlineStr">
        <is>
          <t>SKU-845</t>
        </is>
      </c>
      <c r="C139" s="23" t="n">
        <v>124</v>
      </c>
      <c r="D139" s="23" t="n">
        <v>42</v>
      </c>
      <c r="E139" s="23" t="n">
        <v>14</v>
      </c>
      <c r="F139" s="23">
        <f>C139+D139-E139</f>
        <v/>
      </c>
      <c r="G139" s="23">
        <f>F139-C139-D139+E139</f>
        <v/>
      </c>
      <c r="H139" s="23">
        <f>IF(F139&lt;'Settings'!$B$3,"REORDER","OK")</f>
        <v/>
      </c>
      <c r="I139" s="35">
        <f>ROUND(F139*J139,2)</f>
        <v/>
      </c>
      <c r="J139" s="35" t="n">
        <v>14.32</v>
      </c>
    </row>
    <row r="140">
      <c r="A140" s="34" t="n">
        <v>46297</v>
      </c>
      <c r="B140" s="23" t="inlineStr">
        <is>
          <t>SKU-965</t>
        </is>
      </c>
      <c r="C140" s="23" t="n">
        <v>20</v>
      </c>
      <c r="D140" s="23" t="n">
        <v>54</v>
      </c>
      <c r="E140" s="23" t="n">
        <v>48</v>
      </c>
      <c r="F140" s="23">
        <f>C140+D140-E140</f>
        <v/>
      </c>
      <c r="G140" s="23">
        <f>F140-C140-D140+E140</f>
        <v/>
      </c>
      <c r="H140" s="23">
        <f>IF(F140&lt;'Settings'!$B$3,"REORDER","OK")</f>
        <v/>
      </c>
      <c r="I140" s="35">
        <f>ROUND(F140*J140,2)</f>
        <v/>
      </c>
      <c r="J140" s="35" t="n">
        <v>34.83</v>
      </c>
    </row>
    <row r="141">
      <c r="A141" s="34" t="n">
        <v>46180</v>
      </c>
      <c r="B141" s="23" t="inlineStr">
        <is>
          <t>SKU-630</t>
        </is>
      </c>
      <c r="C141" s="23" t="n">
        <v>138</v>
      </c>
      <c r="D141" s="23" t="n">
        <v>34</v>
      </c>
      <c r="E141" s="23" t="n">
        <v>64</v>
      </c>
      <c r="F141" s="23">
        <f>C141+D141-E141</f>
        <v/>
      </c>
      <c r="G141" s="23">
        <f>F141-C141-D141+E141</f>
        <v/>
      </c>
      <c r="H141" s="23">
        <f>IF(F141&lt;'Settings'!$B$3,"REORDER","OK")</f>
        <v/>
      </c>
      <c r="I141" s="35">
        <f>ROUND(F141*J141,2)</f>
        <v/>
      </c>
      <c r="J141" s="35" t="n">
        <v>81.8</v>
      </c>
    </row>
    <row r="142">
      <c r="A142" s="34" t="n">
        <v>46274</v>
      </c>
      <c r="B142" s="23" t="inlineStr">
        <is>
          <t>SKU-103</t>
        </is>
      </c>
      <c r="C142" s="23" t="n">
        <v>36</v>
      </c>
      <c r="D142" s="23" t="n">
        <v>8</v>
      </c>
      <c r="E142" s="23" t="n">
        <v>12</v>
      </c>
      <c r="F142" s="23">
        <f>C142+D142-E142</f>
        <v/>
      </c>
      <c r="G142" s="23">
        <f>F142-C142-D142+E142</f>
        <v/>
      </c>
      <c r="H142" s="23">
        <f>IF(F142&lt;'Settings'!$B$3,"REORDER","OK")</f>
        <v/>
      </c>
      <c r="I142" s="35">
        <f>ROUND(F142*J142,2)</f>
        <v/>
      </c>
      <c r="J142" s="35" t="n">
        <v>10.05</v>
      </c>
    </row>
    <row r="143">
      <c r="A143" s="34" t="n">
        <v>46358</v>
      </c>
      <c r="B143" s="23" t="inlineStr">
        <is>
          <t>SKU-132</t>
        </is>
      </c>
      <c r="C143" s="23" t="n">
        <v>89</v>
      </c>
      <c r="D143" s="23" t="n">
        <v>70</v>
      </c>
      <c r="E143" s="23" t="n">
        <v>10</v>
      </c>
      <c r="F143" s="23">
        <f>C143+D143-E143</f>
        <v/>
      </c>
      <c r="G143" s="23">
        <f>F143-C143-D143+E143</f>
        <v/>
      </c>
      <c r="H143" s="23">
        <f>IF(F143&lt;'Settings'!$B$3,"REORDER","OK")</f>
        <v/>
      </c>
      <c r="I143" s="35">
        <f>ROUND(F143*J143,2)</f>
        <v/>
      </c>
      <c r="J143" s="35" t="n">
        <v>22.71</v>
      </c>
    </row>
    <row r="144">
      <c r="A144" s="34" t="n">
        <v>46043</v>
      </c>
      <c r="B144" s="23" t="inlineStr">
        <is>
          <t>SKU-421</t>
        </is>
      </c>
      <c r="C144" s="23" t="n">
        <v>128</v>
      </c>
      <c r="D144" s="23" t="n">
        <v>78</v>
      </c>
      <c r="E144" s="23" t="n">
        <v>53</v>
      </c>
      <c r="F144" s="23">
        <f>C144+D144-E144</f>
        <v/>
      </c>
      <c r="G144" s="23">
        <f>F144-C144-D144+E144</f>
        <v/>
      </c>
      <c r="H144" s="23">
        <f>IF(F144&lt;'Settings'!$B$3,"REORDER","OK")</f>
        <v/>
      </c>
      <c r="I144" s="35">
        <f>ROUND(F144*J144,2)</f>
        <v/>
      </c>
      <c r="J144" s="35" t="n">
        <v>53.63</v>
      </c>
    </row>
    <row r="145">
      <c r="A145" s="34" t="n">
        <v>46221</v>
      </c>
      <c r="B145" s="23" t="inlineStr">
        <is>
          <t>SKU-777</t>
        </is>
      </c>
      <c r="C145" s="23" t="n">
        <v>158</v>
      </c>
      <c r="D145" s="23" t="n">
        <v>66</v>
      </c>
      <c r="E145" s="23" t="n">
        <v>14</v>
      </c>
      <c r="F145" s="23">
        <f>C145+D145-E145</f>
        <v/>
      </c>
      <c r="G145" s="23">
        <f>F145-C145-D145+E145</f>
        <v/>
      </c>
      <c r="H145" s="23">
        <f>IF(F145&lt;'Settings'!$B$3,"REORDER","OK")</f>
        <v/>
      </c>
      <c r="I145" s="35">
        <f>ROUND(F145*J145,2)</f>
        <v/>
      </c>
      <c r="J145" s="35" t="n">
        <v>63.14</v>
      </c>
    </row>
    <row r="146">
      <c r="A146" s="34" t="n">
        <v>46039</v>
      </c>
      <c r="B146" s="23" t="inlineStr">
        <is>
          <t>SKU-206</t>
        </is>
      </c>
      <c r="C146" s="23" t="n">
        <v>30</v>
      </c>
      <c r="D146" s="23" t="n">
        <v>75</v>
      </c>
      <c r="E146" s="23" t="n">
        <v>50</v>
      </c>
      <c r="F146" s="23">
        <f>C146+D146-E146</f>
        <v/>
      </c>
      <c r="G146" s="23">
        <f>F146-C146-D146+E146</f>
        <v/>
      </c>
      <c r="H146" s="23">
        <f>IF(F146&lt;'Settings'!$B$3,"REORDER","OK")</f>
        <v/>
      </c>
      <c r="I146" s="35">
        <f>ROUND(F146*J146,2)</f>
        <v/>
      </c>
      <c r="J146" s="35" t="n">
        <v>36.29</v>
      </c>
    </row>
    <row r="147">
      <c r="A147" s="34" t="n">
        <v>46073</v>
      </c>
      <c r="B147" s="23" t="inlineStr">
        <is>
          <t>SKU-706</t>
        </is>
      </c>
      <c r="C147" s="23" t="n">
        <v>114</v>
      </c>
      <c r="D147" s="23" t="n">
        <v>29</v>
      </c>
      <c r="E147" s="23" t="n">
        <v>4</v>
      </c>
      <c r="F147" s="23">
        <f>C147+D147-E147</f>
        <v/>
      </c>
      <c r="G147" s="23">
        <f>F147-C147-D147+E147</f>
        <v/>
      </c>
      <c r="H147" s="23">
        <f>IF(F147&lt;'Settings'!$B$3,"REORDER","OK")</f>
        <v/>
      </c>
      <c r="I147" s="35">
        <f>ROUND(F147*J147,2)</f>
        <v/>
      </c>
      <c r="J147" s="35" t="n">
        <v>67.36</v>
      </c>
    </row>
    <row r="148">
      <c r="A148" s="34" t="n">
        <v>46169</v>
      </c>
      <c r="B148" s="23" t="inlineStr">
        <is>
          <t>SKU-217</t>
        </is>
      </c>
      <c r="C148" s="23" t="n">
        <v>96</v>
      </c>
      <c r="D148" s="23" t="n">
        <v>33</v>
      </c>
      <c r="E148" s="23" t="n">
        <v>12</v>
      </c>
      <c r="F148" s="23">
        <f>C148+D148-E148</f>
        <v/>
      </c>
      <c r="G148" s="23">
        <f>F148-C148-D148+E148</f>
        <v/>
      </c>
      <c r="H148" s="23">
        <f>IF(F148&lt;'Settings'!$B$3,"REORDER","OK")</f>
        <v/>
      </c>
      <c r="I148" s="35">
        <f>ROUND(F148*J148,2)</f>
        <v/>
      </c>
      <c r="J148" s="35" t="n">
        <v>4.88</v>
      </c>
    </row>
    <row r="149">
      <c r="A149" s="34" t="n">
        <v>46351</v>
      </c>
      <c r="B149" s="23" t="inlineStr">
        <is>
          <t>SKU-996</t>
        </is>
      </c>
      <c r="C149" s="23" t="n">
        <v>99</v>
      </c>
      <c r="D149" s="23" t="n">
        <v>0</v>
      </c>
      <c r="E149" s="23" t="n">
        <v>67</v>
      </c>
      <c r="F149" s="23">
        <f>C149+D149-E149</f>
        <v/>
      </c>
      <c r="G149" s="23">
        <f>F149-C149-D149+E149</f>
        <v/>
      </c>
      <c r="H149" s="23">
        <f>IF(F149&lt;'Settings'!$B$3,"REORDER","OK")</f>
        <v/>
      </c>
      <c r="I149" s="35">
        <f>ROUND(F149*J149,2)</f>
        <v/>
      </c>
      <c r="J149" s="35" t="n">
        <v>18.79</v>
      </c>
    </row>
    <row r="150">
      <c r="A150" s="34" t="n">
        <v>46212</v>
      </c>
      <c r="B150" s="23" t="inlineStr">
        <is>
          <t>SKU-702</t>
        </is>
      </c>
      <c r="C150" s="23" t="n">
        <v>34</v>
      </c>
      <c r="D150" s="23" t="n">
        <v>43</v>
      </c>
      <c r="E150" s="23" t="n">
        <v>45</v>
      </c>
      <c r="F150" s="23">
        <f>C150+D150-E150</f>
        <v/>
      </c>
      <c r="G150" s="23">
        <f>F150-C150-D150+E150</f>
        <v/>
      </c>
      <c r="H150" s="23">
        <f>IF(F150&lt;'Settings'!$B$3,"REORDER","OK")</f>
        <v/>
      </c>
      <c r="I150" s="35">
        <f>ROUND(F150*J150,2)</f>
        <v/>
      </c>
      <c r="J150" s="35" t="n">
        <v>33.26</v>
      </c>
    </row>
    <row r="151">
      <c r="A151" s="34" t="n">
        <v>46046</v>
      </c>
      <c r="B151" s="23" t="inlineStr">
        <is>
          <t>SKU-354</t>
        </is>
      </c>
      <c r="C151" s="23" t="n">
        <v>48</v>
      </c>
      <c r="D151" s="23" t="n">
        <v>74</v>
      </c>
      <c r="E151" s="23" t="n">
        <v>9</v>
      </c>
      <c r="F151" s="23">
        <f>C151+D151-E151</f>
        <v/>
      </c>
      <c r="G151" s="23">
        <f>F151-C151-D151+E151</f>
        <v/>
      </c>
      <c r="H151" s="23">
        <f>IF(F151&lt;'Settings'!$B$3,"REORDER","OK")</f>
        <v/>
      </c>
      <c r="I151" s="35">
        <f>ROUND(F151*J151,2)</f>
        <v/>
      </c>
      <c r="J151" s="35" t="n">
        <v>31.72</v>
      </c>
    </row>
    <row r="152">
      <c r="A152" s="34" t="n">
        <v>46349</v>
      </c>
      <c r="B152" s="23" t="inlineStr">
        <is>
          <t>SKU-234</t>
        </is>
      </c>
      <c r="C152" s="23" t="n">
        <v>145</v>
      </c>
      <c r="D152" s="23" t="n">
        <v>43</v>
      </c>
      <c r="E152" s="23" t="n">
        <v>63</v>
      </c>
      <c r="F152" s="23">
        <f>C152+D152-E152</f>
        <v/>
      </c>
      <c r="G152" s="23">
        <f>F152-C152-D152+E152</f>
        <v/>
      </c>
      <c r="H152" s="23">
        <f>IF(F152&lt;'Settings'!$B$3,"REORDER","OK")</f>
        <v/>
      </c>
      <c r="I152" s="35">
        <f>ROUND(F152*J152,2)</f>
        <v/>
      </c>
      <c r="J152" s="35" t="n">
        <v>35.74</v>
      </c>
    </row>
    <row r="153">
      <c r="A153" s="34" t="n">
        <v>46151</v>
      </c>
      <c r="B153" s="23" t="inlineStr">
        <is>
          <t>SKU-602</t>
        </is>
      </c>
      <c r="C153" s="23" t="n">
        <v>64</v>
      </c>
      <c r="D153" s="23" t="n">
        <v>67</v>
      </c>
      <c r="E153" s="23" t="n">
        <v>23</v>
      </c>
      <c r="F153" s="23">
        <f>C153+D153-E153</f>
        <v/>
      </c>
      <c r="G153" s="23">
        <f>F153-C153-D153+E153</f>
        <v/>
      </c>
      <c r="H153" s="23">
        <f>IF(F153&lt;'Settings'!$B$3,"REORDER","OK")</f>
        <v/>
      </c>
      <c r="I153" s="35">
        <f>ROUND(F153*J153,2)</f>
        <v/>
      </c>
      <c r="J153" s="35" t="n">
        <v>19.66</v>
      </c>
    </row>
    <row r="154">
      <c r="A154" s="34" t="n">
        <v>46031</v>
      </c>
      <c r="B154" s="23" t="inlineStr">
        <is>
          <t>SKU-506</t>
        </is>
      </c>
      <c r="C154" s="23" t="n">
        <v>20</v>
      </c>
      <c r="D154" s="23" t="n">
        <v>16</v>
      </c>
      <c r="E154" s="23" t="n">
        <v>11</v>
      </c>
      <c r="F154" s="23">
        <f>C154+D154-E154</f>
        <v/>
      </c>
      <c r="G154" s="23">
        <f>F154-C154-D154+E154</f>
        <v/>
      </c>
      <c r="H154" s="23">
        <f>IF(F154&lt;'Settings'!$B$3,"REORDER","OK")</f>
        <v/>
      </c>
      <c r="I154" s="35">
        <f>ROUND(F154*J154,2)</f>
        <v/>
      </c>
      <c r="J154" s="35" t="n">
        <v>89.40000000000001</v>
      </c>
    </row>
    <row r="155">
      <c r="A155" s="34" t="n">
        <v>46362</v>
      </c>
      <c r="B155" s="23" t="inlineStr">
        <is>
          <t>SKU-846</t>
        </is>
      </c>
      <c r="C155" s="23" t="n">
        <v>125</v>
      </c>
      <c r="D155" s="23" t="n">
        <v>72</v>
      </c>
      <c r="E155" s="23" t="n">
        <v>25</v>
      </c>
      <c r="F155" s="23">
        <f>C155+D155-E155</f>
        <v/>
      </c>
      <c r="G155" s="23">
        <f>F155-C155-D155+E155</f>
        <v/>
      </c>
      <c r="H155" s="23">
        <f>IF(F155&lt;'Settings'!$B$3,"REORDER","OK")</f>
        <v/>
      </c>
      <c r="I155" s="35">
        <f>ROUND(F155*J155,2)</f>
        <v/>
      </c>
      <c r="J155" s="35" t="n">
        <v>58.96</v>
      </c>
    </row>
    <row r="156">
      <c r="A156" s="34" t="n">
        <v>46333</v>
      </c>
      <c r="B156" s="23" t="inlineStr">
        <is>
          <t>SKU-102</t>
        </is>
      </c>
      <c r="C156" s="23" t="n">
        <v>128</v>
      </c>
      <c r="D156" s="23" t="n">
        <v>75</v>
      </c>
      <c r="E156" s="23" t="n">
        <v>6</v>
      </c>
      <c r="F156" s="23">
        <f>C156+D156-E156</f>
        <v/>
      </c>
      <c r="G156" s="23">
        <f>F156-C156-D156+E156</f>
        <v/>
      </c>
      <c r="H156" s="23">
        <f>IF(F156&lt;'Settings'!$B$3,"REORDER","OK")</f>
        <v/>
      </c>
      <c r="I156" s="35">
        <f>ROUND(F156*J156,2)</f>
        <v/>
      </c>
      <c r="J156" s="35" t="n">
        <v>4.79</v>
      </c>
    </row>
    <row r="157">
      <c r="A157" s="34" t="n">
        <v>46285</v>
      </c>
      <c r="B157" s="23" t="inlineStr">
        <is>
          <t>SKU-939</t>
        </is>
      </c>
      <c r="C157" s="23" t="n">
        <v>161</v>
      </c>
      <c r="D157" s="23" t="n">
        <v>54</v>
      </c>
      <c r="E157" s="23" t="n">
        <v>5</v>
      </c>
      <c r="F157" s="23">
        <f>C157+D157-E157</f>
        <v/>
      </c>
      <c r="G157" s="23">
        <f>F157-C157-D157+E157</f>
        <v/>
      </c>
      <c r="H157" s="23">
        <f>IF(F157&lt;'Settings'!$B$3,"REORDER","OK")</f>
        <v/>
      </c>
      <c r="I157" s="35">
        <f>ROUND(F157*J157,2)</f>
        <v/>
      </c>
      <c r="J157" s="35" t="n">
        <v>9.460000000000001</v>
      </c>
    </row>
    <row r="158">
      <c r="A158" s="34" t="n">
        <v>46107</v>
      </c>
      <c r="B158" s="23" t="inlineStr">
        <is>
          <t>SKU-301</t>
        </is>
      </c>
      <c r="C158" s="23" t="n">
        <v>107</v>
      </c>
      <c r="D158" s="23" t="n">
        <v>64</v>
      </c>
      <c r="E158" s="23" t="n">
        <v>19</v>
      </c>
      <c r="F158" s="23">
        <f>C158+D158-E158</f>
        <v/>
      </c>
      <c r="G158" s="23">
        <f>F158-C158-D158+E158</f>
        <v/>
      </c>
      <c r="H158" s="23">
        <f>IF(F158&lt;'Settings'!$B$3,"REORDER","OK")</f>
        <v/>
      </c>
      <c r="I158" s="35">
        <f>ROUND(F158*J158,2)</f>
        <v/>
      </c>
      <c r="J158" s="35" t="n">
        <v>63.74</v>
      </c>
    </row>
    <row r="159">
      <c r="A159" s="34" t="n">
        <v>46278</v>
      </c>
      <c r="B159" s="23" t="inlineStr">
        <is>
          <t>SKU-710</t>
        </is>
      </c>
      <c r="C159" s="23" t="n">
        <v>97</v>
      </c>
      <c r="D159" s="23" t="n">
        <v>8</v>
      </c>
      <c r="E159" s="23" t="n">
        <v>32</v>
      </c>
      <c r="F159" s="23">
        <f>C159+D159-E159</f>
        <v/>
      </c>
      <c r="G159" s="23">
        <f>F159-C159-D159+E159</f>
        <v/>
      </c>
      <c r="H159" s="23">
        <f>IF(F159&lt;'Settings'!$B$3,"REORDER","OK")</f>
        <v/>
      </c>
      <c r="I159" s="35">
        <f>ROUND(F159*J159,2)</f>
        <v/>
      </c>
      <c r="J159" s="35" t="n">
        <v>29.51</v>
      </c>
    </row>
    <row r="160">
      <c r="A160" s="34" t="n">
        <v>46088</v>
      </c>
      <c r="B160" s="23" t="inlineStr">
        <is>
          <t>SKU-614</t>
        </is>
      </c>
      <c r="C160" s="23" t="n">
        <v>50</v>
      </c>
      <c r="D160" s="23" t="n">
        <v>17</v>
      </c>
      <c r="E160" s="23" t="n">
        <v>30</v>
      </c>
      <c r="F160" s="23">
        <f>C160+D160-E160</f>
        <v/>
      </c>
      <c r="G160" s="23">
        <f>F160-C160-D160+E160</f>
        <v/>
      </c>
      <c r="H160" s="23">
        <f>IF(F160&lt;'Settings'!$B$3,"REORDER","OK")</f>
        <v/>
      </c>
      <c r="I160" s="35">
        <f>ROUND(F160*J160,2)</f>
        <v/>
      </c>
      <c r="J160" s="35" t="n">
        <v>30.75</v>
      </c>
    </row>
    <row r="161">
      <c r="A161" s="34" t="n">
        <v>46239</v>
      </c>
      <c r="B161" s="23" t="inlineStr">
        <is>
          <t>SKU-734</t>
        </is>
      </c>
      <c r="C161" s="23" t="n">
        <v>147</v>
      </c>
      <c r="D161" s="23" t="n">
        <v>61</v>
      </c>
      <c r="E161" s="23" t="n">
        <v>57</v>
      </c>
      <c r="F161" s="23">
        <f>C161+D161-E161</f>
        <v/>
      </c>
      <c r="G161" s="23">
        <f>F161-C161-D161+E161</f>
        <v/>
      </c>
      <c r="H161" s="23">
        <f>IF(F161&lt;'Settings'!$B$3,"REORDER","OK")</f>
        <v/>
      </c>
      <c r="I161" s="35">
        <f>ROUND(F161*J161,2)</f>
        <v/>
      </c>
      <c r="J161" s="35" t="n">
        <v>79.42</v>
      </c>
    </row>
    <row r="162">
      <c r="A162" s="34" t="n">
        <v>46239</v>
      </c>
      <c r="B162" s="23" t="inlineStr">
        <is>
          <t>SKU-345</t>
        </is>
      </c>
      <c r="C162" s="23" t="n">
        <v>82</v>
      </c>
      <c r="D162" s="23" t="n">
        <v>15</v>
      </c>
      <c r="E162" s="23" t="n">
        <v>11</v>
      </c>
      <c r="F162" s="23">
        <f>C162+D162-E162</f>
        <v/>
      </c>
      <c r="G162" s="23">
        <f>F162-C162-D162+E162</f>
        <v/>
      </c>
      <c r="H162" s="23">
        <f>IF(F162&lt;'Settings'!$B$3,"REORDER","OK")</f>
        <v/>
      </c>
      <c r="I162" s="35">
        <f>ROUND(F162*J162,2)</f>
        <v/>
      </c>
      <c r="J162" s="35" t="n">
        <v>3.56</v>
      </c>
    </row>
    <row r="163">
      <c r="A163" s="34" t="n">
        <v>46059</v>
      </c>
      <c r="B163" s="23" t="inlineStr">
        <is>
          <t>SKU-532</t>
        </is>
      </c>
      <c r="C163" s="23" t="n">
        <v>107</v>
      </c>
      <c r="D163" s="23" t="n">
        <v>74</v>
      </c>
      <c r="E163" s="23" t="n">
        <v>26</v>
      </c>
      <c r="F163" s="23">
        <f>C163+D163-E163</f>
        <v/>
      </c>
      <c r="G163" s="23">
        <f>F163-C163-D163+E163</f>
        <v/>
      </c>
      <c r="H163" s="23">
        <f>IF(F163&lt;'Settings'!$B$3,"REORDER","OK")</f>
        <v/>
      </c>
      <c r="I163" s="35">
        <f>ROUND(F163*J163,2)</f>
        <v/>
      </c>
      <c r="J163" s="35" t="n">
        <v>83.7</v>
      </c>
    </row>
    <row r="164">
      <c r="A164" s="34" t="n">
        <v>46291</v>
      </c>
      <c r="B164" s="23" t="inlineStr">
        <is>
          <t>SKU-748</t>
        </is>
      </c>
      <c r="C164" s="23" t="n">
        <v>73</v>
      </c>
      <c r="D164" s="23" t="n">
        <v>18</v>
      </c>
      <c r="E164" s="23" t="n">
        <v>62</v>
      </c>
      <c r="F164" s="23">
        <f>C164+D164-E164</f>
        <v/>
      </c>
      <c r="G164" s="23">
        <f>F164-C164-D164+E164</f>
        <v/>
      </c>
      <c r="H164" s="23">
        <f>IF(F164&lt;'Settings'!$B$3,"REORDER","OK")</f>
        <v/>
      </c>
      <c r="I164" s="35">
        <f>ROUND(F164*J164,2)</f>
        <v/>
      </c>
      <c r="J164" s="35" t="n">
        <v>21.97</v>
      </c>
    </row>
    <row r="165">
      <c r="A165" s="34" t="n">
        <v>46364</v>
      </c>
      <c r="B165" s="23" t="inlineStr">
        <is>
          <t>SKU-140</t>
        </is>
      </c>
      <c r="C165" s="23" t="n">
        <v>140</v>
      </c>
      <c r="D165" s="23" t="n">
        <v>17</v>
      </c>
      <c r="E165" s="23" t="n">
        <v>27</v>
      </c>
      <c r="F165" s="23">
        <f>C165+D165-E165</f>
        <v/>
      </c>
      <c r="G165" s="23">
        <f>F165-C165-D165+E165</f>
        <v/>
      </c>
      <c r="H165" s="23">
        <f>IF(F165&lt;'Settings'!$B$3,"REORDER","OK")</f>
        <v/>
      </c>
      <c r="I165" s="35">
        <f>ROUND(F165*J165,2)</f>
        <v/>
      </c>
      <c r="J165" s="35" t="n">
        <v>13.57</v>
      </c>
    </row>
    <row r="166">
      <c r="A166" s="34" t="n">
        <v>46187</v>
      </c>
      <c r="B166" s="23" t="inlineStr">
        <is>
          <t>SKU-144</t>
        </is>
      </c>
      <c r="C166" s="23" t="n">
        <v>102</v>
      </c>
      <c r="D166" s="23" t="n">
        <v>57</v>
      </c>
      <c r="E166" s="23" t="n">
        <v>49</v>
      </c>
      <c r="F166" s="23">
        <f>C166+D166-E166</f>
        <v/>
      </c>
      <c r="G166" s="23">
        <f>F166-C166-D166+E166</f>
        <v/>
      </c>
      <c r="H166" s="23">
        <f>IF(F166&lt;'Settings'!$B$3,"REORDER","OK")</f>
        <v/>
      </c>
      <c r="I166" s="35">
        <f>ROUND(F166*J166,2)</f>
        <v/>
      </c>
      <c r="J166" s="35" t="n">
        <v>47.23</v>
      </c>
    </row>
    <row r="167">
      <c r="A167" s="34" t="n">
        <v>46297</v>
      </c>
      <c r="B167" s="23" t="inlineStr">
        <is>
          <t>SKU-100</t>
        </is>
      </c>
      <c r="C167" s="23" t="n">
        <v>77</v>
      </c>
      <c r="D167" s="23" t="n">
        <v>36</v>
      </c>
      <c r="E167" s="23" t="n">
        <v>3</v>
      </c>
      <c r="F167" s="23">
        <f>C167+D167-E167</f>
        <v/>
      </c>
      <c r="G167" s="23">
        <f>F167-C167-D167+E167</f>
        <v/>
      </c>
      <c r="H167" s="23">
        <f>IF(F167&lt;'Settings'!$B$3,"REORDER","OK")</f>
        <v/>
      </c>
      <c r="I167" s="35">
        <f>ROUND(F167*J167,2)</f>
        <v/>
      </c>
      <c r="J167" s="35" t="n">
        <v>38.55</v>
      </c>
    </row>
    <row r="168">
      <c r="A168" s="34" t="n">
        <v>46189</v>
      </c>
      <c r="B168" s="23" t="inlineStr">
        <is>
          <t>SKU-773</t>
        </is>
      </c>
      <c r="C168" s="23" t="n">
        <v>56</v>
      </c>
      <c r="D168" s="23" t="n">
        <v>47</v>
      </c>
      <c r="E168" s="23" t="n">
        <v>22</v>
      </c>
      <c r="F168" s="23">
        <f>C168+D168-E168</f>
        <v/>
      </c>
      <c r="G168" s="23">
        <f>F168-C168-D168+E168</f>
        <v/>
      </c>
      <c r="H168" s="23">
        <f>IF(F168&lt;'Settings'!$B$3,"REORDER","OK")</f>
        <v/>
      </c>
      <c r="I168" s="35">
        <f>ROUND(F168*J168,2)</f>
        <v/>
      </c>
      <c r="J168" s="35" t="n">
        <v>39.79</v>
      </c>
    </row>
    <row r="169">
      <c r="A169" s="34" t="n">
        <v>46204</v>
      </c>
      <c r="B169" s="23" t="inlineStr">
        <is>
          <t>SKU-996</t>
        </is>
      </c>
      <c r="C169" s="23" t="n">
        <v>69</v>
      </c>
      <c r="D169" s="23" t="n">
        <v>5</v>
      </c>
      <c r="E169" s="23" t="n">
        <v>54</v>
      </c>
      <c r="F169" s="23">
        <f>C169+D169-E169</f>
        <v/>
      </c>
      <c r="G169" s="23">
        <f>F169-C169-D169+E169</f>
        <v/>
      </c>
      <c r="H169" s="23">
        <f>IF(F169&lt;'Settings'!$B$3,"REORDER","OK")</f>
        <v/>
      </c>
      <c r="I169" s="35">
        <f>ROUND(F169*J169,2)</f>
        <v/>
      </c>
      <c r="J169" s="35" t="n">
        <v>67.15000000000001</v>
      </c>
    </row>
    <row r="170">
      <c r="A170" s="34" t="n">
        <v>46097</v>
      </c>
      <c r="B170" s="23" t="inlineStr">
        <is>
          <t>SKU-552</t>
        </is>
      </c>
      <c r="C170" s="23" t="n">
        <v>152</v>
      </c>
      <c r="D170" s="23" t="n">
        <v>55</v>
      </c>
      <c r="E170" s="23" t="n">
        <v>63</v>
      </c>
      <c r="F170" s="23">
        <f>C170+D170-E170</f>
        <v/>
      </c>
      <c r="G170" s="23">
        <f>F170-C170-D170+E170</f>
        <v/>
      </c>
      <c r="H170" s="23">
        <f>IF(F170&lt;'Settings'!$B$3,"REORDER","OK")</f>
        <v/>
      </c>
      <c r="I170" s="35">
        <f>ROUND(F170*J170,2)</f>
        <v/>
      </c>
      <c r="J170" s="35" t="n">
        <v>73.94</v>
      </c>
    </row>
    <row r="171">
      <c r="A171" s="34" t="n">
        <v>46045</v>
      </c>
      <c r="B171" s="23" t="inlineStr">
        <is>
          <t>SKU-501</t>
        </is>
      </c>
      <c r="C171" s="23" t="n">
        <v>179</v>
      </c>
      <c r="D171" s="23" t="n">
        <v>49</v>
      </c>
      <c r="E171" s="23" t="n">
        <v>9</v>
      </c>
      <c r="F171" s="23">
        <f>C171+D171-E171</f>
        <v/>
      </c>
      <c r="G171" s="23">
        <f>F171-C171-D171+E171</f>
        <v/>
      </c>
      <c r="H171" s="23">
        <f>IF(F171&lt;'Settings'!$B$3,"REORDER","OK")</f>
        <v/>
      </c>
      <c r="I171" s="35">
        <f>ROUND(F171*J171,2)</f>
        <v/>
      </c>
      <c r="J171" s="35" t="n">
        <v>9.619999999999999</v>
      </c>
    </row>
    <row r="172">
      <c r="A172" s="34" t="n">
        <v>46272</v>
      </c>
      <c r="B172" s="23" t="inlineStr">
        <is>
          <t>SKU-688</t>
        </is>
      </c>
      <c r="C172" s="23" t="n">
        <v>79</v>
      </c>
      <c r="D172" s="23" t="n">
        <v>17</v>
      </c>
      <c r="E172" s="23" t="n">
        <v>19</v>
      </c>
      <c r="F172" s="23">
        <f>C172+D172-E172</f>
        <v/>
      </c>
      <c r="G172" s="23">
        <f>F172-C172-D172+E172</f>
        <v/>
      </c>
      <c r="H172" s="23">
        <f>IF(F172&lt;'Settings'!$B$3,"REORDER","OK")</f>
        <v/>
      </c>
      <c r="I172" s="35">
        <f>ROUND(F172*J172,2)</f>
        <v/>
      </c>
      <c r="J172" s="35" t="n">
        <v>21.22</v>
      </c>
    </row>
    <row r="173">
      <c r="A173" s="34" t="n">
        <v>46338</v>
      </c>
      <c r="B173" s="23" t="inlineStr">
        <is>
          <t>SKU-427</t>
        </is>
      </c>
      <c r="C173" s="23" t="n">
        <v>48</v>
      </c>
      <c r="D173" s="23" t="n">
        <v>4</v>
      </c>
      <c r="E173" s="23" t="n">
        <v>51</v>
      </c>
      <c r="F173" s="23">
        <f>C173+D173-E173</f>
        <v/>
      </c>
      <c r="G173" s="23">
        <f>F173-C173-D173+E173</f>
        <v/>
      </c>
      <c r="H173" s="23">
        <f>IF(F173&lt;'Settings'!$B$3,"REORDER","OK")</f>
        <v/>
      </c>
      <c r="I173" s="35">
        <f>ROUND(F173*J173,2)</f>
        <v/>
      </c>
      <c r="J173" s="35" t="n">
        <v>14.5</v>
      </c>
    </row>
    <row r="174">
      <c r="A174" s="34" t="n">
        <v>46270</v>
      </c>
      <c r="B174" s="23" t="inlineStr">
        <is>
          <t>SKU-916</t>
        </is>
      </c>
      <c r="C174" s="23" t="n">
        <v>42</v>
      </c>
      <c r="D174" s="23" t="n">
        <v>0</v>
      </c>
      <c r="E174" s="23" t="n">
        <v>20</v>
      </c>
      <c r="F174" s="23">
        <f>C174+D174-E174</f>
        <v/>
      </c>
      <c r="G174" s="23">
        <f>F174-C174-D174+E174</f>
        <v/>
      </c>
      <c r="H174" s="23">
        <f>IF(F174&lt;'Settings'!$B$3,"REORDER","OK")</f>
        <v/>
      </c>
      <c r="I174" s="35">
        <f>ROUND(F174*J174,2)</f>
        <v/>
      </c>
      <c r="J174" s="35" t="n">
        <v>50.4</v>
      </c>
    </row>
    <row r="175">
      <c r="A175" s="34" t="n">
        <v>46291</v>
      </c>
      <c r="B175" s="23" t="inlineStr">
        <is>
          <t>SKU-961</t>
        </is>
      </c>
      <c r="C175" s="23" t="n">
        <v>75</v>
      </c>
      <c r="D175" s="23" t="n">
        <v>1</v>
      </c>
      <c r="E175" s="23" t="n">
        <v>36</v>
      </c>
      <c r="F175" s="23">
        <f>C175+D175-E175</f>
        <v/>
      </c>
      <c r="G175" s="23">
        <f>F175-C175-D175+E175</f>
        <v/>
      </c>
      <c r="H175" s="23">
        <f>IF(F175&lt;'Settings'!$B$3,"REORDER","OK")</f>
        <v/>
      </c>
      <c r="I175" s="35">
        <f>ROUND(F175*J175,2)</f>
        <v/>
      </c>
      <c r="J175" s="35" t="n">
        <v>32.44</v>
      </c>
    </row>
    <row r="176">
      <c r="A176" s="34" t="n">
        <v>46248</v>
      </c>
      <c r="B176" s="23" t="inlineStr">
        <is>
          <t>SKU-340</t>
        </is>
      </c>
      <c r="C176" s="23" t="n">
        <v>142</v>
      </c>
      <c r="D176" s="23" t="n">
        <v>76</v>
      </c>
      <c r="E176" s="23" t="n">
        <v>22</v>
      </c>
      <c r="F176" s="23">
        <f>C176+D176-E176</f>
        <v/>
      </c>
      <c r="G176" s="23">
        <f>F176-C176-D176+E176</f>
        <v/>
      </c>
      <c r="H176" s="23">
        <f>IF(F176&lt;'Settings'!$B$3,"REORDER","OK")</f>
        <v/>
      </c>
      <c r="I176" s="35">
        <f>ROUND(F176*J176,2)</f>
        <v/>
      </c>
      <c r="J176" s="35" t="n">
        <v>36.73</v>
      </c>
    </row>
    <row r="177">
      <c r="A177" s="34" t="n">
        <v>46227</v>
      </c>
      <c r="B177" s="23" t="inlineStr">
        <is>
          <t>SKU-439</t>
        </is>
      </c>
      <c r="C177" s="23" t="n">
        <v>81</v>
      </c>
      <c r="D177" s="23" t="n">
        <v>40</v>
      </c>
      <c r="E177" s="23" t="n">
        <v>54</v>
      </c>
      <c r="F177" s="23">
        <f>C177+D177-E177</f>
        <v/>
      </c>
      <c r="G177" s="23">
        <f>F177-C177-D177+E177</f>
        <v/>
      </c>
      <c r="H177" s="23">
        <f>IF(F177&lt;'Settings'!$B$3,"REORDER","OK")</f>
        <v/>
      </c>
      <c r="I177" s="35">
        <f>ROUND(F177*J177,2)</f>
        <v/>
      </c>
      <c r="J177" s="35" t="n">
        <v>47.12</v>
      </c>
    </row>
    <row r="178">
      <c r="A178" s="34" t="n">
        <v>46344</v>
      </c>
      <c r="B178" s="23" t="inlineStr">
        <is>
          <t>SKU-700</t>
        </is>
      </c>
      <c r="C178" s="23" t="n">
        <v>78</v>
      </c>
      <c r="D178" s="23" t="n">
        <v>33</v>
      </c>
      <c r="E178" s="23" t="n">
        <v>24</v>
      </c>
      <c r="F178" s="23">
        <f>C178+D178-E178</f>
        <v/>
      </c>
      <c r="G178" s="23">
        <f>F178-C178-D178+E178</f>
        <v/>
      </c>
      <c r="H178" s="23">
        <f>IF(F178&lt;'Settings'!$B$3,"REORDER","OK")</f>
        <v/>
      </c>
      <c r="I178" s="35">
        <f>ROUND(F178*J178,2)</f>
        <v/>
      </c>
      <c r="J178" s="35" t="n">
        <v>9.32</v>
      </c>
    </row>
    <row r="179">
      <c r="A179" s="34" t="n">
        <v>46086</v>
      </c>
      <c r="B179" s="23" t="inlineStr">
        <is>
          <t>SKU-719</t>
        </is>
      </c>
      <c r="C179" s="23" t="n">
        <v>131</v>
      </c>
      <c r="D179" s="23" t="n">
        <v>50</v>
      </c>
      <c r="E179" s="23" t="n">
        <v>2</v>
      </c>
      <c r="F179" s="23">
        <f>C179+D179-E179</f>
        <v/>
      </c>
      <c r="G179" s="23">
        <f>F179-C179-D179+E179</f>
        <v/>
      </c>
      <c r="H179" s="23">
        <f>IF(F179&lt;'Settings'!$B$3,"REORDER","OK")</f>
        <v/>
      </c>
      <c r="I179" s="35">
        <f>ROUND(F179*J179,2)</f>
        <v/>
      </c>
      <c r="J179" s="35" t="n">
        <v>46.99</v>
      </c>
    </row>
    <row r="180">
      <c r="A180" s="34" t="n">
        <v>46223</v>
      </c>
      <c r="B180" s="23" t="inlineStr">
        <is>
          <t>SKU-622</t>
        </is>
      </c>
      <c r="C180" s="23" t="n">
        <v>153</v>
      </c>
      <c r="D180" s="23" t="n">
        <v>52</v>
      </c>
      <c r="E180" s="23" t="n">
        <v>66</v>
      </c>
      <c r="F180" s="23">
        <f>C180+D180-E180</f>
        <v/>
      </c>
      <c r="G180" s="23">
        <f>F180-C180-D180+E180</f>
        <v/>
      </c>
      <c r="H180" s="23">
        <f>IF(F180&lt;'Settings'!$B$3,"REORDER","OK")</f>
        <v/>
      </c>
      <c r="I180" s="35">
        <f>ROUND(F180*J180,2)</f>
        <v/>
      </c>
      <c r="J180" s="35" t="n">
        <v>20.47</v>
      </c>
    </row>
    <row r="181">
      <c r="A181" s="34" t="n">
        <v>46104</v>
      </c>
      <c r="B181" s="23" t="inlineStr">
        <is>
          <t>SKU-374</t>
        </is>
      </c>
      <c r="C181" s="23" t="n">
        <v>27</v>
      </c>
      <c r="D181" s="23" t="n">
        <v>12</v>
      </c>
      <c r="E181" s="23" t="n">
        <v>29</v>
      </c>
      <c r="F181" s="23">
        <f>C181+D181-E181</f>
        <v/>
      </c>
      <c r="G181" s="23">
        <f>F181-C181-D181+E181</f>
        <v/>
      </c>
      <c r="H181" s="23">
        <f>IF(F181&lt;'Settings'!$B$3,"REORDER","OK")</f>
        <v/>
      </c>
      <c r="I181" s="35">
        <f>ROUND(F181*J181,2)</f>
        <v/>
      </c>
      <c r="J181" s="35" t="n">
        <v>83.93000000000001</v>
      </c>
    </row>
    <row r="182">
      <c r="A182" s="36" t="n">
        <v>46288</v>
      </c>
      <c r="B182" s="24" t="inlineStr">
        <is>
          <t>SKU-565</t>
        </is>
      </c>
      <c r="C182" s="24" t="n">
        <v>112</v>
      </c>
      <c r="D182" s="24" t="n">
        <v>26</v>
      </c>
      <c r="E182" s="24" t="n">
        <v>53</v>
      </c>
      <c r="F182" s="24">
        <f>C182+D182-E182</f>
        <v/>
      </c>
      <c r="G182" s="24">
        <f>F182-C182-D182+E182</f>
        <v/>
      </c>
      <c r="H182" s="24">
        <f>IF(F182&lt;'Settings'!$B$3,"REORDER","OK")</f>
        <v/>
      </c>
      <c r="I182" s="37">
        <f>ROUND(F182*J182,2)</f>
        <v/>
      </c>
      <c r="J182" s="37" t="n">
        <v>29.14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