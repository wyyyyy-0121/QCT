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Rates" sheetId="2" state="visible" r:id="rId2"/>
    <sheet name="Projects" sheetId="3" state="visible" r:id="rId3"/>
    <sheet name="Summary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64" fontId="0" fillId="5" borderId="0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Project budget portfolio</t>
        </is>
      </c>
    </row>
    <row r="4">
      <c r="A4" s="5" t="inlineStr">
        <is>
          <t>Random seed</t>
        </is>
      </c>
      <c r="B4" t="n">
        <v>33061</v>
      </c>
    </row>
    <row r="5">
      <c r="A5" s="5" t="inlineStr">
        <is>
          <t>Generated rows</t>
        </is>
      </c>
      <c r="B5" t="n">
        <v>160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Contingency rate</t>
        </is>
      </c>
      <c r="B3" s="28" t="n">
        <v>0.08</v>
      </c>
    </row>
    <row r="4">
      <c r="A4" t="inlineStr">
        <is>
          <t>Overhead rate</t>
        </is>
      </c>
      <c r="B4" s="28" t="n">
        <v>0.12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6" customWidth="1" min="9" max="9"/>
    <col width="15" customWidth="1" min="10" max="10"/>
    <col width="14" customWidth="1" min="11" max="11"/>
  </cols>
  <sheetData>
    <row r="1" ht="30" customHeight="1">
      <c r="A1" s="3" t="inlineStr">
        <is>
          <t>Project Budget Portfolio</t>
        </is>
      </c>
    </row>
    <row r="2" ht="28" customHeight="1">
      <c r="A2" s="14" t="inlineStr">
        <is>
          <t>Project</t>
        </is>
      </c>
      <c r="B2" s="21" t="inlineStr">
        <is>
          <t>Department</t>
        </is>
      </c>
      <c r="C2" s="21" t="inlineStr">
        <is>
          <t>Labor</t>
        </is>
      </c>
      <c r="D2" s="21" t="inlineStr">
        <is>
          <t>Materials</t>
        </is>
      </c>
      <c r="E2" s="21" t="inlineStr">
        <is>
          <t>Travel</t>
        </is>
      </c>
      <c r="F2" s="21" t="inlineStr">
        <is>
          <t>Subtotal</t>
        </is>
      </c>
      <c r="G2" s="21" t="inlineStr">
        <is>
          <t>Contingency</t>
        </is>
      </c>
      <c r="H2" s="21" t="inlineStr">
        <is>
          <t>Overhead</t>
        </is>
      </c>
      <c r="I2" s="21" t="inlineStr">
        <is>
          <t>Approved Budget</t>
        </is>
      </c>
      <c r="J2" s="21" t="inlineStr">
        <is>
          <t>Total Cost</t>
        </is>
      </c>
      <c r="K2" s="15" t="inlineStr">
        <is>
          <t>Variance</t>
        </is>
      </c>
    </row>
    <row r="3">
      <c r="A3" s="22" t="inlineStr">
        <is>
          <t>PRJ-001</t>
        </is>
      </c>
      <c r="B3" s="22" t="inlineStr">
        <is>
          <t>Technology</t>
        </is>
      </c>
      <c r="C3" s="29" t="n">
        <v>64785.84</v>
      </c>
      <c r="D3" s="29" t="n">
        <v>22618.96</v>
      </c>
      <c r="E3" s="29" t="n">
        <v>5173.16</v>
      </c>
      <c r="F3" s="29">
        <f>SUM(C3:E3)</f>
        <v/>
      </c>
      <c r="G3" s="29">
        <f>F3*'Rates'!$B$3</f>
        <v/>
      </c>
      <c r="H3" s="29">
        <f>F3*'Rates'!$B$4</f>
        <v/>
      </c>
      <c r="I3" s="29" t="n">
        <v>115981</v>
      </c>
      <c r="J3" s="29">
        <f>SUM(F3:H3)</f>
        <v/>
      </c>
      <c r="K3" s="29">
        <f>I3-J3</f>
        <v/>
      </c>
    </row>
    <row r="4">
      <c r="A4" s="23" t="inlineStr">
        <is>
          <t>PRJ-002</t>
        </is>
      </c>
      <c r="B4" s="23" t="inlineStr">
        <is>
          <t>Operations</t>
        </is>
      </c>
      <c r="C4" s="30" t="n">
        <v>34622.39</v>
      </c>
      <c r="D4" s="30" t="n">
        <v>2509.05</v>
      </c>
      <c r="E4" s="30" t="n">
        <v>6601.06</v>
      </c>
      <c r="F4" s="30">
        <f>SUM(C4:E4)</f>
        <v/>
      </c>
      <c r="G4" s="30">
        <f>F4*'Rates'!$B$3</f>
        <v/>
      </c>
      <c r="H4" s="30">
        <f>F4*'Rates'!$B$4</f>
        <v/>
      </c>
      <c r="I4" s="30" t="n">
        <v>52369</v>
      </c>
      <c r="J4" s="30">
        <f>SUM(F4:H4)</f>
        <v/>
      </c>
      <c r="K4" s="30">
        <f>I4-J4</f>
        <v/>
      </c>
    </row>
    <row r="5">
      <c r="A5" s="23" t="inlineStr">
        <is>
          <t>PRJ-003</t>
        </is>
      </c>
      <c r="B5" s="23" t="inlineStr">
        <is>
          <t>Marketing</t>
        </is>
      </c>
      <c r="C5" s="30" t="n">
        <v>62560.28</v>
      </c>
      <c r="D5" s="30" t="n">
        <v>13617.03</v>
      </c>
      <c r="E5" s="30" t="n">
        <v>9587.969999999999</v>
      </c>
      <c r="F5" s="30">
        <f>SUM(C5:E5)</f>
        <v/>
      </c>
      <c r="G5" s="30">
        <f>F5*'Rates'!$B$3</f>
        <v/>
      </c>
      <c r="H5" s="30">
        <f>F5*'Rates'!$B$4</f>
        <v/>
      </c>
      <c r="I5" s="30" t="n">
        <v>103569</v>
      </c>
      <c r="J5" s="30">
        <f>SUM(F5:H5)</f>
        <v/>
      </c>
      <c r="K5" s="30">
        <f>I5-J5</f>
        <v/>
      </c>
    </row>
    <row r="6">
      <c r="A6" s="23" t="inlineStr">
        <is>
          <t>PRJ-004</t>
        </is>
      </c>
      <c r="B6" s="23" t="inlineStr">
        <is>
          <t>Marketing</t>
        </is>
      </c>
      <c r="C6" s="30" t="n">
        <v>40775.21</v>
      </c>
      <c r="D6" s="30" t="n">
        <v>18304.46</v>
      </c>
      <c r="E6" s="30" t="n">
        <v>1930.39</v>
      </c>
      <c r="F6" s="30">
        <f>SUM(C6:E6)</f>
        <v/>
      </c>
      <c r="G6" s="30">
        <f>F6*'Rates'!$B$3</f>
        <v/>
      </c>
      <c r="H6" s="30">
        <f>F6*'Rates'!$B$4</f>
        <v/>
      </c>
      <c r="I6" s="30" t="n">
        <v>74700</v>
      </c>
      <c r="J6" s="30">
        <f>SUM(F6:H6)</f>
        <v/>
      </c>
      <c r="K6" s="30">
        <f>I6-J6</f>
        <v/>
      </c>
    </row>
    <row r="7">
      <c r="A7" s="23" t="inlineStr">
        <is>
          <t>PRJ-005</t>
        </is>
      </c>
      <c r="B7" s="23" t="inlineStr">
        <is>
          <t>Operations</t>
        </is>
      </c>
      <c r="C7" s="30" t="n">
        <v>48724.02</v>
      </c>
      <c r="D7" s="30" t="n">
        <v>37312.53</v>
      </c>
      <c r="E7" s="30" t="n">
        <v>7476.34</v>
      </c>
      <c r="F7" s="30">
        <f>SUM(C7:E7)</f>
        <v/>
      </c>
      <c r="G7" s="30">
        <f>F7*'Rates'!$B$3</f>
        <v/>
      </c>
      <c r="H7" s="30">
        <f>F7*'Rates'!$B$4</f>
        <v/>
      </c>
      <c r="I7" s="30" t="n">
        <v>119361</v>
      </c>
      <c r="J7" s="30">
        <f>SUM(F7:H7)</f>
        <v/>
      </c>
      <c r="K7" s="30">
        <f>I7-J7</f>
        <v/>
      </c>
    </row>
    <row r="8">
      <c r="A8" s="23" t="inlineStr">
        <is>
          <t>PRJ-006</t>
        </is>
      </c>
      <c r="B8" s="23" t="inlineStr">
        <is>
          <t>Marketing</t>
        </is>
      </c>
      <c r="C8" s="30" t="n">
        <v>68593.88</v>
      </c>
      <c r="D8" s="30" t="n">
        <v>16718.73</v>
      </c>
      <c r="E8" s="30" t="n">
        <v>1277.41</v>
      </c>
      <c r="F8" s="30">
        <f>SUM(C8:E8)</f>
        <v/>
      </c>
      <c r="G8" s="30">
        <f>F8*'Rates'!$B$3</f>
        <v/>
      </c>
      <c r="H8" s="30">
        <f>F8*'Rates'!$B$4</f>
        <v/>
      </c>
      <c r="I8" s="30" t="n">
        <v>105237</v>
      </c>
      <c r="J8" s="30">
        <f>SUM(F8:H8)</f>
        <v/>
      </c>
      <c r="K8" s="30">
        <f>I8-J8</f>
        <v/>
      </c>
    </row>
    <row r="9">
      <c r="A9" s="23" t="inlineStr">
        <is>
          <t>PRJ-007</t>
        </is>
      </c>
      <c r="B9" s="23" t="inlineStr">
        <is>
          <t>Operations</t>
        </is>
      </c>
      <c r="C9" s="30" t="n">
        <v>47014.53</v>
      </c>
      <c r="D9" s="30" t="n">
        <v>18150.28</v>
      </c>
      <c r="E9" s="30" t="n">
        <v>3913.85</v>
      </c>
      <c r="F9" s="30">
        <f>SUM(C9:E9)</f>
        <v/>
      </c>
      <c r="G9" s="30">
        <f>F9*'Rates'!$B$3</f>
        <v/>
      </c>
      <c r="H9" s="30">
        <f>F9*'Rates'!$B$4</f>
        <v/>
      </c>
      <c r="I9" s="30" t="n">
        <v>86838</v>
      </c>
      <c r="J9" s="30">
        <f>SUM(F9:H9)</f>
        <v/>
      </c>
      <c r="K9" s="30">
        <f>I9-J9</f>
        <v/>
      </c>
    </row>
    <row r="10">
      <c r="A10" s="23" t="inlineStr">
        <is>
          <t>PRJ-008</t>
        </is>
      </c>
      <c r="B10" s="23" t="inlineStr">
        <is>
          <t>Technology</t>
        </is>
      </c>
      <c r="C10" s="30" t="n">
        <v>27074.39</v>
      </c>
      <c r="D10" s="30" t="n">
        <v>4237.25</v>
      </c>
      <c r="E10" s="30" t="n">
        <v>7923.1</v>
      </c>
      <c r="F10" s="30">
        <f>SUM(C10:E10)</f>
        <v/>
      </c>
      <c r="G10" s="30">
        <f>F10*'Rates'!$B$3</f>
        <v/>
      </c>
      <c r="H10" s="30">
        <f>F10*'Rates'!$B$4</f>
        <v/>
      </c>
      <c r="I10" s="30" t="n">
        <v>50196</v>
      </c>
      <c r="J10" s="30">
        <f>SUM(F10:H10)</f>
        <v/>
      </c>
      <c r="K10" s="30">
        <f>I10-J10</f>
        <v/>
      </c>
    </row>
    <row r="11">
      <c r="A11" s="23" t="inlineStr">
        <is>
          <t>PRJ-009</t>
        </is>
      </c>
      <c r="B11" s="23" t="inlineStr">
        <is>
          <t>Technology</t>
        </is>
      </c>
      <c r="C11" s="30" t="n">
        <v>54308.67</v>
      </c>
      <c r="D11" s="30" t="n">
        <v>33520.46</v>
      </c>
      <c r="E11" s="30" t="n">
        <v>2886.85</v>
      </c>
      <c r="F11" s="30">
        <f>SUM(C11:E11)</f>
        <v/>
      </c>
      <c r="G11" s="30">
        <f>F11*'Rates'!$B$3</f>
        <v/>
      </c>
      <c r="H11" s="30">
        <f>F11*'Rates'!$B$4</f>
        <v/>
      </c>
      <c r="I11" s="30" t="n">
        <v>117814</v>
      </c>
      <c r="J11" s="30">
        <f>SUM(F11:H11)</f>
        <v/>
      </c>
      <c r="K11" s="30">
        <f>I11-J11</f>
        <v/>
      </c>
    </row>
    <row r="12">
      <c r="A12" s="23" t="inlineStr">
        <is>
          <t>PRJ-010</t>
        </is>
      </c>
      <c r="B12" s="23" t="inlineStr">
        <is>
          <t>Research</t>
        </is>
      </c>
      <c r="C12" s="30" t="n">
        <v>49522.12</v>
      </c>
      <c r="D12" s="30" t="n">
        <v>36822.24</v>
      </c>
      <c r="E12" s="30" t="n">
        <v>4233.36</v>
      </c>
      <c r="F12" s="30">
        <f>SUM(C12:E12)</f>
        <v/>
      </c>
      <c r="G12" s="30">
        <f>F12*'Rates'!$B$3</f>
        <v/>
      </c>
      <c r="H12" s="30">
        <f>F12*'Rates'!$B$4</f>
        <v/>
      </c>
      <c r="I12" s="30" t="n">
        <v>111016</v>
      </c>
      <c r="J12" s="30">
        <f>SUM(F12:H12)</f>
        <v/>
      </c>
      <c r="K12" s="30">
        <f>I12-J12</f>
        <v/>
      </c>
    </row>
    <row r="13">
      <c r="A13" s="23" t="inlineStr">
        <is>
          <t>PRJ-011</t>
        </is>
      </c>
      <c r="B13" s="23" t="inlineStr">
        <is>
          <t>Research</t>
        </is>
      </c>
      <c r="C13" s="30" t="n">
        <v>56023.16</v>
      </c>
      <c r="D13" s="30" t="n">
        <v>5716.5</v>
      </c>
      <c r="E13" s="30" t="n">
        <v>1532.93</v>
      </c>
      <c r="F13" s="30">
        <f>SUM(C13:E13)</f>
        <v/>
      </c>
      <c r="G13" s="30">
        <f>F13*'Rates'!$B$3</f>
        <v/>
      </c>
      <c r="H13" s="30">
        <f>F13*'Rates'!$B$4</f>
        <v/>
      </c>
      <c r="I13" s="30" t="n">
        <v>82238</v>
      </c>
      <c r="J13" s="30">
        <f>SUM(F13:H13)</f>
        <v/>
      </c>
      <c r="K13" s="30">
        <f>I13-J13</f>
        <v/>
      </c>
    </row>
    <row r="14">
      <c r="A14" s="23" t="inlineStr">
        <is>
          <t>PRJ-012</t>
        </is>
      </c>
      <c r="B14" s="23" t="inlineStr">
        <is>
          <t>Research</t>
        </is>
      </c>
      <c r="C14" s="30" t="n">
        <v>17605.96</v>
      </c>
      <c r="D14" s="30" t="n">
        <v>2437.88</v>
      </c>
      <c r="E14" s="30" t="n">
        <v>3748.01</v>
      </c>
      <c r="F14" s="30">
        <f>SUM(C14:E14)</f>
        <v/>
      </c>
      <c r="G14" s="30">
        <f>F14*'Rates'!$B$3</f>
        <v/>
      </c>
      <c r="H14" s="30">
        <f>F14*'Rates'!$B$4</f>
        <v/>
      </c>
      <c r="I14" s="30" t="n">
        <v>28106</v>
      </c>
      <c r="J14" s="30">
        <f>SUM(F14:H14)</f>
        <v/>
      </c>
      <c r="K14" s="30">
        <f>I14-J14</f>
        <v/>
      </c>
    </row>
    <row r="15">
      <c r="A15" s="23" t="inlineStr">
        <is>
          <t>PRJ-013</t>
        </is>
      </c>
      <c r="B15" s="23" t="inlineStr">
        <is>
          <t>Operations</t>
        </is>
      </c>
      <c r="C15" s="30" t="n">
        <v>16332.83</v>
      </c>
      <c r="D15" s="30" t="n">
        <v>6989.58</v>
      </c>
      <c r="E15" s="30" t="n">
        <v>1365.23</v>
      </c>
      <c r="F15" s="30">
        <f>SUM(C15:E15)</f>
        <v/>
      </c>
      <c r="G15" s="30">
        <f>F15*'Rates'!$B$3</f>
        <v/>
      </c>
      <c r="H15" s="30">
        <f>F15*'Rates'!$B$4</f>
        <v/>
      </c>
      <c r="I15" s="30" t="n">
        <v>29390</v>
      </c>
      <c r="J15" s="30">
        <f>SUM(F15:H15)</f>
        <v/>
      </c>
      <c r="K15" s="30">
        <f>I15-J15</f>
        <v/>
      </c>
    </row>
    <row r="16">
      <c r="A16" s="23" t="inlineStr">
        <is>
          <t>PRJ-014</t>
        </is>
      </c>
      <c r="B16" s="23" t="inlineStr">
        <is>
          <t>Technology</t>
        </is>
      </c>
      <c r="C16" s="30" t="n">
        <v>46153.56</v>
      </c>
      <c r="D16" s="30" t="n">
        <v>13910.5</v>
      </c>
      <c r="E16" s="30" t="n">
        <v>4421.7</v>
      </c>
      <c r="F16" s="30">
        <f>SUM(C16:E16)</f>
        <v/>
      </c>
      <c r="G16" s="30">
        <f>F16*'Rates'!$B$3</f>
        <v/>
      </c>
      <c r="H16" s="30">
        <f>F16*'Rates'!$B$4</f>
        <v/>
      </c>
      <c r="I16" s="30" t="n">
        <v>83547</v>
      </c>
      <c r="J16" s="30">
        <f>SUM(F16:H16)</f>
        <v/>
      </c>
      <c r="K16" s="30">
        <f>I16-J16</f>
        <v/>
      </c>
    </row>
    <row r="17">
      <c r="A17" s="23" t="inlineStr">
        <is>
          <t>PRJ-015</t>
        </is>
      </c>
      <c r="B17" s="23" t="inlineStr">
        <is>
          <t>Operations</t>
        </is>
      </c>
      <c r="C17" s="30" t="n">
        <v>16135.15</v>
      </c>
      <c r="D17" s="30" t="n">
        <v>9178.290000000001</v>
      </c>
      <c r="E17" s="30" t="n">
        <v>9346.549999999999</v>
      </c>
      <c r="F17" s="30">
        <f>SUM(C17:E17)</f>
        <v/>
      </c>
      <c r="G17" s="30">
        <f>F17*'Rates'!$B$3</f>
        <v/>
      </c>
      <c r="H17" s="30">
        <f>F17*'Rates'!$B$4</f>
        <v/>
      </c>
      <c r="I17" s="30" t="n">
        <v>43834</v>
      </c>
      <c r="J17" s="30">
        <f>SUM(F17:H17)</f>
        <v/>
      </c>
      <c r="K17" s="30">
        <f>I17-J17</f>
        <v/>
      </c>
    </row>
    <row r="18">
      <c r="A18" s="23" t="inlineStr">
        <is>
          <t>PRJ-016</t>
        </is>
      </c>
      <c r="B18" s="23" t="inlineStr">
        <is>
          <t>Operations</t>
        </is>
      </c>
      <c r="C18" s="30" t="n">
        <v>49967.62</v>
      </c>
      <c r="D18" s="30" t="n">
        <v>30373.51</v>
      </c>
      <c r="E18" s="30" t="n">
        <v>3536.05</v>
      </c>
      <c r="F18" s="30">
        <f>SUM(C18:E18)</f>
        <v/>
      </c>
      <c r="G18" s="30">
        <f>F18*'Rates'!$B$3</f>
        <v/>
      </c>
      <c r="H18" s="30">
        <f>F18*'Rates'!$B$4</f>
        <v/>
      </c>
      <c r="I18" s="30" t="n">
        <v>106306</v>
      </c>
      <c r="J18" s="30">
        <f>SUM(F18:H18)</f>
        <v/>
      </c>
      <c r="K18" s="30">
        <f>I18-J18</f>
        <v/>
      </c>
    </row>
    <row r="19">
      <c r="A19" s="23" t="inlineStr">
        <is>
          <t>PRJ-017</t>
        </is>
      </c>
      <c r="B19" s="23" t="inlineStr">
        <is>
          <t>Marketing</t>
        </is>
      </c>
      <c r="C19" s="30" t="n">
        <v>69857.06</v>
      </c>
      <c r="D19" s="30" t="n">
        <v>32350.72</v>
      </c>
      <c r="E19" s="30" t="n">
        <v>931.67</v>
      </c>
      <c r="F19" s="30">
        <f>SUM(C19:E19)</f>
        <v/>
      </c>
      <c r="G19" s="30">
        <f>F19*'Rates'!$B$3</f>
        <v/>
      </c>
      <c r="H19" s="30">
        <f>F19*'Rates'!$B$4</f>
        <v/>
      </c>
      <c r="I19" s="30" t="n">
        <v>127139</v>
      </c>
      <c r="J19" s="30">
        <f>SUM(F19:H19)</f>
        <v/>
      </c>
      <c r="K19" s="30">
        <f>I19-J19</f>
        <v/>
      </c>
    </row>
    <row r="20">
      <c r="A20" s="23" t="inlineStr">
        <is>
          <t>PRJ-018</t>
        </is>
      </c>
      <c r="B20" s="23" t="inlineStr">
        <is>
          <t>Technology</t>
        </is>
      </c>
      <c r="C20" s="30" t="n">
        <v>39784.48</v>
      </c>
      <c r="D20" s="30" t="n">
        <v>32898.2</v>
      </c>
      <c r="E20" s="30" t="n">
        <v>6750.46</v>
      </c>
      <c r="F20" s="30">
        <f>SUM(C20:E20)</f>
        <v/>
      </c>
      <c r="G20" s="30">
        <f>F20*'Rates'!$B$3</f>
        <v/>
      </c>
      <c r="H20" s="30">
        <f>F20*'Rates'!$B$4</f>
        <v/>
      </c>
      <c r="I20" s="30" t="n">
        <v>93816</v>
      </c>
      <c r="J20" s="30">
        <f>SUM(F20:H20)</f>
        <v/>
      </c>
      <c r="K20" s="30">
        <f>I20-J20</f>
        <v/>
      </c>
    </row>
    <row r="21">
      <c r="A21" s="23" t="inlineStr">
        <is>
          <t>PRJ-019</t>
        </is>
      </c>
      <c r="B21" s="23" t="inlineStr">
        <is>
          <t>Operations</t>
        </is>
      </c>
      <c r="C21" s="30" t="n">
        <v>17443.24</v>
      </c>
      <c r="D21" s="30" t="n">
        <v>7711.72</v>
      </c>
      <c r="E21" s="30" t="n">
        <v>7869.26</v>
      </c>
      <c r="F21" s="30">
        <f>SUM(C21:E21)</f>
        <v/>
      </c>
      <c r="G21" s="30">
        <f>F21*'Rates'!$B$3</f>
        <v/>
      </c>
      <c r="H21" s="30">
        <f>F21*'Rates'!$B$4</f>
        <v/>
      </c>
      <c r="I21" s="30" t="n">
        <v>41973</v>
      </c>
      <c r="J21" s="30">
        <f>SUM(F21:H21)</f>
        <v/>
      </c>
      <c r="K21" s="30">
        <f>I21-J21</f>
        <v/>
      </c>
    </row>
    <row r="22">
      <c r="A22" s="23" t="inlineStr">
        <is>
          <t>PRJ-020</t>
        </is>
      </c>
      <c r="B22" s="23" t="inlineStr">
        <is>
          <t>Operations</t>
        </is>
      </c>
      <c r="C22" s="30" t="n">
        <v>42879.89</v>
      </c>
      <c r="D22" s="30" t="n">
        <v>19802.83</v>
      </c>
      <c r="E22" s="30" t="n">
        <v>4119.28</v>
      </c>
      <c r="F22" s="30">
        <f>SUM(C22:E22)</f>
        <v/>
      </c>
      <c r="G22" s="30">
        <f>F22*'Rates'!$B$3</f>
        <v/>
      </c>
      <c r="H22" s="30">
        <f>F22*'Rates'!$B$4</f>
        <v/>
      </c>
      <c r="I22" s="30" t="n">
        <v>83089</v>
      </c>
      <c r="J22" s="30">
        <f>SUM(F22:H22)</f>
        <v/>
      </c>
      <c r="K22" s="30">
        <f>I22-J22</f>
        <v/>
      </c>
    </row>
    <row r="23">
      <c r="A23" s="23" t="inlineStr">
        <is>
          <t>PRJ-021</t>
        </is>
      </c>
      <c r="B23" s="23" t="inlineStr">
        <is>
          <t>Technology</t>
        </is>
      </c>
      <c r="C23" s="30" t="n">
        <v>45502.83</v>
      </c>
      <c r="D23" s="30" t="n">
        <v>14826.94</v>
      </c>
      <c r="E23" s="30" t="n">
        <v>9121.190000000001</v>
      </c>
      <c r="F23" s="30">
        <f>SUM(C23:E23)</f>
        <v/>
      </c>
      <c r="G23" s="30">
        <f>F23*'Rates'!$B$3</f>
        <v/>
      </c>
      <c r="H23" s="30">
        <f>F23*'Rates'!$B$4</f>
        <v/>
      </c>
      <c r="I23" s="30" t="n">
        <v>83900</v>
      </c>
      <c r="J23" s="30">
        <f>SUM(F23:H23)</f>
        <v/>
      </c>
      <c r="K23" s="30">
        <f>I23-J23</f>
        <v/>
      </c>
    </row>
    <row r="24">
      <c r="A24" s="23" t="inlineStr">
        <is>
          <t>PRJ-022</t>
        </is>
      </c>
      <c r="B24" s="23" t="inlineStr">
        <is>
          <t>Technology</t>
        </is>
      </c>
      <c r="C24" s="30" t="n">
        <v>17951.27</v>
      </c>
      <c r="D24" s="30" t="n">
        <v>31851.78</v>
      </c>
      <c r="E24" s="30" t="n">
        <v>7962.67</v>
      </c>
      <c r="F24" s="30">
        <f>SUM(C24:E24)</f>
        <v/>
      </c>
      <c r="G24" s="30">
        <f>F24*'Rates'!$B$3</f>
        <v/>
      </c>
      <c r="H24" s="30">
        <f>F24*'Rates'!$B$4</f>
        <v/>
      </c>
      <c r="I24" s="30" t="n">
        <v>71523</v>
      </c>
      <c r="J24" s="30">
        <f>SUM(F24:H24)</f>
        <v/>
      </c>
      <c r="K24" s="30">
        <f>I24-J24</f>
        <v/>
      </c>
    </row>
    <row r="25">
      <c r="A25" s="23" t="inlineStr">
        <is>
          <t>PRJ-023</t>
        </is>
      </c>
      <c r="B25" s="23" t="inlineStr">
        <is>
          <t>Technology</t>
        </is>
      </c>
      <c r="C25" s="30" t="n">
        <v>56248.13</v>
      </c>
      <c r="D25" s="30" t="n">
        <v>1597.65</v>
      </c>
      <c r="E25" s="30" t="n">
        <v>9172.17</v>
      </c>
      <c r="F25" s="30">
        <f>SUM(C25:E25)</f>
        <v/>
      </c>
      <c r="G25" s="30">
        <f>F25*'Rates'!$B$3</f>
        <v/>
      </c>
      <c r="H25" s="30">
        <f>F25*'Rates'!$B$4</f>
        <v/>
      </c>
      <c r="I25" s="30" t="n">
        <v>84241</v>
      </c>
      <c r="J25" s="30">
        <f>SUM(F25:H25)</f>
        <v/>
      </c>
      <c r="K25" s="30">
        <f>I25-J25</f>
        <v/>
      </c>
    </row>
    <row r="26">
      <c r="A26" s="23" t="inlineStr">
        <is>
          <t>PRJ-024</t>
        </is>
      </c>
      <c r="B26" s="23" t="inlineStr">
        <is>
          <t>Research</t>
        </is>
      </c>
      <c r="C26" s="30" t="n">
        <v>35176.98</v>
      </c>
      <c r="D26" s="30" t="n">
        <v>26560.95</v>
      </c>
      <c r="E26" s="30" t="n">
        <v>4259.73</v>
      </c>
      <c r="F26" s="30">
        <f>SUM(C26:E26)</f>
        <v/>
      </c>
      <c r="G26" s="30">
        <f>F26*'Rates'!$B$3</f>
        <v/>
      </c>
      <c r="H26" s="30">
        <f>F26*'Rates'!$B$4</f>
        <v/>
      </c>
      <c r="I26" s="30" t="n">
        <v>78972</v>
      </c>
      <c r="J26" s="30">
        <f>SUM(F26:H26)</f>
        <v/>
      </c>
      <c r="K26" s="30">
        <f>I26-J26</f>
        <v/>
      </c>
    </row>
    <row r="27">
      <c r="A27" s="23" t="inlineStr">
        <is>
          <t>PRJ-025</t>
        </is>
      </c>
      <c r="B27" s="23" t="inlineStr">
        <is>
          <t>Research</t>
        </is>
      </c>
      <c r="C27" s="30" t="n">
        <v>56169.17</v>
      </c>
      <c r="D27" s="30" t="n">
        <v>32153.45</v>
      </c>
      <c r="E27" s="30" t="n">
        <v>8680.879999999999</v>
      </c>
      <c r="F27" s="30">
        <f>SUM(C27:E27)</f>
        <v/>
      </c>
      <c r="G27" s="30">
        <f>F27*'Rates'!$B$3</f>
        <v/>
      </c>
      <c r="H27" s="30">
        <f>F27*'Rates'!$B$4</f>
        <v/>
      </c>
      <c r="I27" s="30" t="n">
        <v>120397</v>
      </c>
      <c r="J27" s="30">
        <f>SUM(F27:H27)</f>
        <v/>
      </c>
      <c r="K27" s="30">
        <f>I27-J27</f>
        <v/>
      </c>
    </row>
    <row r="28">
      <c r="A28" s="23" t="inlineStr">
        <is>
          <t>PRJ-026</t>
        </is>
      </c>
      <c r="B28" s="23" t="inlineStr">
        <is>
          <t>Operations</t>
        </is>
      </c>
      <c r="C28" s="30" t="n">
        <v>67967.97</v>
      </c>
      <c r="D28" s="30" t="n">
        <v>2865.03</v>
      </c>
      <c r="E28" s="30" t="n">
        <v>3248.09</v>
      </c>
      <c r="F28" s="30">
        <f>SUM(C28:E28)</f>
        <v/>
      </c>
      <c r="G28" s="30">
        <f>F28*'Rates'!$B$3</f>
        <v/>
      </c>
      <c r="H28" s="30">
        <f>F28*'Rates'!$B$4</f>
        <v/>
      </c>
      <c r="I28" s="30" t="n">
        <v>95229</v>
      </c>
      <c r="J28" s="30">
        <f>SUM(F28:H28)</f>
        <v/>
      </c>
      <c r="K28" s="30">
        <f>I28-J28</f>
        <v/>
      </c>
    </row>
    <row r="29">
      <c r="A29" s="23" t="inlineStr">
        <is>
          <t>PRJ-027</t>
        </is>
      </c>
      <c r="B29" s="23" t="inlineStr">
        <is>
          <t>Technology</t>
        </is>
      </c>
      <c r="C29" s="30" t="n">
        <v>47102.49</v>
      </c>
      <c r="D29" s="30" t="n">
        <v>24952.72</v>
      </c>
      <c r="E29" s="30" t="n">
        <v>7808.73</v>
      </c>
      <c r="F29" s="30">
        <f>SUM(C29:E29)</f>
        <v/>
      </c>
      <c r="G29" s="30">
        <f>F29*'Rates'!$B$3</f>
        <v/>
      </c>
      <c r="H29" s="30">
        <f>F29*'Rates'!$B$4</f>
        <v/>
      </c>
      <c r="I29" s="30" t="n">
        <v>97804</v>
      </c>
      <c r="J29" s="30">
        <f>SUM(F29:H29)</f>
        <v/>
      </c>
      <c r="K29" s="30">
        <f>I29-J29</f>
        <v/>
      </c>
    </row>
    <row r="30">
      <c r="A30" s="23" t="inlineStr">
        <is>
          <t>PRJ-028</t>
        </is>
      </c>
      <c r="B30" s="23" t="inlineStr">
        <is>
          <t>Research</t>
        </is>
      </c>
      <c r="C30" s="30" t="n">
        <v>54311.31</v>
      </c>
      <c r="D30" s="30" t="n">
        <v>36985.27</v>
      </c>
      <c r="E30" s="30" t="n">
        <v>7249.05</v>
      </c>
      <c r="F30" s="30">
        <f>SUM(C30:E30)</f>
        <v/>
      </c>
      <c r="G30" s="30">
        <f>F30*'Rates'!$B$3</f>
        <v/>
      </c>
      <c r="H30" s="30">
        <f>F30*'Rates'!$B$4</f>
        <v/>
      </c>
      <c r="I30" s="30" t="n">
        <v>119496</v>
      </c>
      <c r="J30" s="30">
        <f>SUM(F30:H30)</f>
        <v/>
      </c>
      <c r="K30" s="30">
        <f>I30-J30</f>
        <v/>
      </c>
    </row>
    <row r="31">
      <c r="A31" s="23" t="inlineStr">
        <is>
          <t>PRJ-029</t>
        </is>
      </c>
      <c r="B31" s="23" t="inlineStr">
        <is>
          <t>Marketing</t>
        </is>
      </c>
      <c r="C31" s="30" t="n">
        <v>29576.19</v>
      </c>
      <c r="D31" s="30" t="n">
        <v>32222.23</v>
      </c>
      <c r="E31" s="30" t="n">
        <v>4276.73</v>
      </c>
      <c r="F31" s="30">
        <f>SUM(C31:E31)</f>
        <v/>
      </c>
      <c r="G31" s="30">
        <f>F31*'Rates'!$B$3</f>
        <v/>
      </c>
      <c r="H31" s="30">
        <f>F31*'Rates'!$B$4</f>
        <v/>
      </c>
      <c r="I31" s="30" t="n">
        <v>84423</v>
      </c>
      <c r="J31" s="30">
        <f>SUM(F31:H31)</f>
        <v/>
      </c>
      <c r="K31" s="30">
        <f>I31-J31</f>
        <v/>
      </c>
    </row>
    <row r="32">
      <c r="A32" s="23" t="inlineStr">
        <is>
          <t>PRJ-030</t>
        </is>
      </c>
      <c r="B32" s="23" t="inlineStr">
        <is>
          <t>Marketing</t>
        </is>
      </c>
      <c r="C32" s="30" t="n">
        <v>57335.47</v>
      </c>
      <c r="D32" s="30" t="n">
        <v>14543.87</v>
      </c>
      <c r="E32" s="30" t="n">
        <v>9177.18</v>
      </c>
      <c r="F32" s="30">
        <f>SUM(C32:E32)</f>
        <v/>
      </c>
      <c r="G32" s="30">
        <f>F32*'Rates'!$B$3</f>
        <v/>
      </c>
      <c r="H32" s="30">
        <f>F32*'Rates'!$B$4</f>
        <v/>
      </c>
      <c r="I32" s="30" t="n">
        <v>103508</v>
      </c>
      <c r="J32" s="30">
        <f>SUM(F32:H32)</f>
        <v/>
      </c>
      <c r="K32" s="30">
        <f>I32-J32</f>
        <v/>
      </c>
    </row>
    <row r="33">
      <c r="A33" s="23" t="inlineStr">
        <is>
          <t>PRJ-031</t>
        </is>
      </c>
      <c r="B33" s="23" t="inlineStr">
        <is>
          <t>Operations</t>
        </is>
      </c>
      <c r="C33" s="30" t="n">
        <v>63809.65</v>
      </c>
      <c r="D33" s="30" t="n">
        <v>2731.01</v>
      </c>
      <c r="E33" s="30" t="n">
        <v>1265.48</v>
      </c>
      <c r="F33" s="30">
        <f>SUM(C33:E33)</f>
        <v/>
      </c>
      <c r="G33" s="30">
        <f>F33*'Rates'!$B$3</f>
        <v/>
      </c>
      <c r="H33" s="30">
        <f>F33*'Rates'!$B$4</f>
        <v/>
      </c>
      <c r="I33" s="30" t="n">
        <v>80317</v>
      </c>
      <c r="J33" s="30">
        <f>SUM(F33:H33)</f>
        <v/>
      </c>
      <c r="K33" s="30">
        <f>I33-J33</f>
        <v/>
      </c>
    </row>
    <row r="34">
      <c r="A34" s="23" t="inlineStr">
        <is>
          <t>PRJ-032</t>
        </is>
      </c>
      <c r="B34" s="23" t="inlineStr">
        <is>
          <t>Operations</t>
        </is>
      </c>
      <c r="C34" s="30" t="n">
        <v>5594.34</v>
      </c>
      <c r="D34" s="30" t="n">
        <v>14942.73</v>
      </c>
      <c r="E34" s="30" t="n">
        <v>3034.82</v>
      </c>
      <c r="F34" s="30">
        <f>SUM(C34:D34)</f>
        <v/>
      </c>
      <c r="G34" s="30">
        <f>F34*'Rates'!$B$3</f>
        <v/>
      </c>
      <c r="H34" s="30">
        <f>F34*'Rates'!$B$4</f>
        <v/>
      </c>
      <c r="I34" s="30" t="n">
        <v>29816</v>
      </c>
      <c r="J34" s="30">
        <f>SUM(F34:H34)</f>
        <v/>
      </c>
      <c r="K34" s="30">
        <f>I34-J34</f>
        <v/>
      </c>
    </row>
    <row r="35">
      <c r="A35" s="23" t="inlineStr">
        <is>
          <t>PRJ-033</t>
        </is>
      </c>
      <c r="B35" s="23" t="inlineStr">
        <is>
          <t>Operations</t>
        </is>
      </c>
      <c r="C35" s="30" t="n">
        <v>38800.83</v>
      </c>
      <c r="D35" s="30" t="n">
        <v>23928.3</v>
      </c>
      <c r="E35" s="30" t="n">
        <v>7907.38</v>
      </c>
      <c r="F35" s="30">
        <f>SUM(C35:E35)</f>
        <v/>
      </c>
      <c r="G35" s="30">
        <f>F35*'Rates'!$B$3</f>
        <v/>
      </c>
      <c r="H35" s="30">
        <f>F35*'Rates'!$B$4</f>
        <v/>
      </c>
      <c r="I35" s="30" t="n">
        <v>89790</v>
      </c>
      <c r="J35" s="30">
        <f>SUM(F35:H35)</f>
        <v/>
      </c>
      <c r="K35" s="30">
        <f>I35-J35</f>
        <v/>
      </c>
    </row>
    <row r="36">
      <c r="A36" s="23" t="inlineStr">
        <is>
          <t>PRJ-034</t>
        </is>
      </c>
      <c r="B36" s="23" t="inlineStr">
        <is>
          <t>Marketing</t>
        </is>
      </c>
      <c r="C36" s="30" t="n">
        <v>34261.88</v>
      </c>
      <c r="D36" s="30" t="n">
        <v>37473.2</v>
      </c>
      <c r="E36" s="30" t="n">
        <v>4186.76</v>
      </c>
      <c r="F36" s="30">
        <f>SUM(C36:E36)</f>
        <v/>
      </c>
      <c r="G36" s="30">
        <f>F36*'Rates'!$B$3</f>
        <v/>
      </c>
      <c r="H36" s="30">
        <f>F36*'Rates'!$B$4</f>
        <v/>
      </c>
      <c r="I36" s="30" t="n">
        <v>95677</v>
      </c>
      <c r="J36" s="30">
        <f>SUM(F36:H36)</f>
        <v/>
      </c>
      <c r="K36" s="30">
        <f>I36-J36</f>
        <v/>
      </c>
    </row>
    <row r="37">
      <c r="A37" s="23" t="inlineStr">
        <is>
          <t>PRJ-035</t>
        </is>
      </c>
      <c r="B37" s="23" t="inlineStr">
        <is>
          <t>Technology</t>
        </is>
      </c>
      <c r="C37" s="30" t="n">
        <v>10108.15</v>
      </c>
      <c r="D37" s="30" t="n">
        <v>14220.81</v>
      </c>
      <c r="E37" s="30" t="n">
        <v>613.9299999999999</v>
      </c>
      <c r="F37" s="30">
        <f>SUM(C37:E37)</f>
        <v/>
      </c>
      <c r="G37" s="30">
        <f>F37*'Rates'!$B$3</f>
        <v/>
      </c>
      <c r="H37" s="30">
        <f>F37*'Rates'!$B$4</f>
        <v/>
      </c>
      <c r="I37" s="30" t="n">
        <v>30458</v>
      </c>
      <c r="J37" s="30">
        <f>SUM(F37:H37)</f>
        <v/>
      </c>
      <c r="K37" s="30">
        <f>I37-J37</f>
        <v/>
      </c>
    </row>
    <row r="38">
      <c r="A38" s="23" t="inlineStr">
        <is>
          <t>PRJ-036</t>
        </is>
      </c>
      <c r="B38" s="23" t="inlineStr">
        <is>
          <t>Marketing</t>
        </is>
      </c>
      <c r="C38" s="30" t="n">
        <v>13006.58</v>
      </c>
      <c r="D38" s="30" t="n">
        <v>2860.23</v>
      </c>
      <c r="E38" s="30" t="n">
        <v>2289.96</v>
      </c>
      <c r="F38" s="30">
        <f>SUM(C38:E38)</f>
        <v/>
      </c>
      <c r="G38" s="30">
        <f>F38*'Rates'!$B$3</f>
        <v/>
      </c>
      <c r="H38" s="30">
        <f>F38*'Rates'!$B$4</f>
        <v/>
      </c>
      <c r="I38" s="30" t="n">
        <v>21483</v>
      </c>
      <c r="J38" s="30">
        <f>SUM(F38:H38)</f>
        <v/>
      </c>
      <c r="K38" s="30">
        <f>I38-J38</f>
        <v/>
      </c>
    </row>
    <row r="39">
      <c r="A39" s="23" t="inlineStr">
        <is>
          <t>PRJ-037</t>
        </is>
      </c>
      <c r="B39" s="23" t="inlineStr">
        <is>
          <t>Technology</t>
        </is>
      </c>
      <c r="C39" s="30" t="n">
        <v>64828.75</v>
      </c>
      <c r="D39" s="30" t="n">
        <v>16997.83</v>
      </c>
      <c r="E39" s="30" t="n">
        <v>6514.05</v>
      </c>
      <c r="F39" s="30">
        <f>SUM(C39:E39)</f>
        <v/>
      </c>
      <c r="G39" s="30">
        <f>F39*'Rates'!$B$3</f>
        <v/>
      </c>
      <c r="H39" s="30">
        <f>F39*'Rates'!$B$4</f>
        <v/>
      </c>
      <c r="I39" s="30" t="n">
        <v>109956</v>
      </c>
      <c r="J39" s="30">
        <f>SUM(F39:H39)</f>
        <v/>
      </c>
      <c r="K39" s="30">
        <f>I39-J39</f>
        <v/>
      </c>
    </row>
    <row r="40">
      <c r="A40" s="23" t="inlineStr">
        <is>
          <t>PRJ-038</t>
        </is>
      </c>
      <c r="B40" s="23" t="inlineStr">
        <is>
          <t>Operations</t>
        </is>
      </c>
      <c r="C40" s="30" t="n">
        <v>23050.02</v>
      </c>
      <c r="D40" s="30" t="n">
        <v>14822.97</v>
      </c>
      <c r="E40" s="30" t="n">
        <v>9081.110000000001</v>
      </c>
      <c r="F40" s="30">
        <f>SUM(C40:E40)</f>
        <v/>
      </c>
      <c r="G40" s="30">
        <f>F40*'Rates'!$B$3</f>
        <v/>
      </c>
      <c r="H40" s="30">
        <f>F40*'Rates'!$B$4</f>
        <v/>
      </c>
      <c r="I40" s="30" t="n">
        <v>60306</v>
      </c>
      <c r="J40" s="30">
        <f>SUM(F40:H40)</f>
        <v/>
      </c>
      <c r="K40" s="30">
        <f>I40-J40</f>
        <v/>
      </c>
    </row>
    <row r="41">
      <c r="A41" s="23" t="inlineStr">
        <is>
          <t>PRJ-039</t>
        </is>
      </c>
      <c r="B41" s="23" t="inlineStr">
        <is>
          <t>Marketing</t>
        </is>
      </c>
      <c r="C41" s="30" t="n">
        <v>46805.95</v>
      </c>
      <c r="D41" s="30" t="n">
        <v>20085.54</v>
      </c>
      <c r="E41" s="30" t="n">
        <v>5319.38</v>
      </c>
      <c r="F41" s="30">
        <f>SUM(C41:E41)</f>
        <v/>
      </c>
      <c r="G41" s="30">
        <f>F41*'Rates'!$B$3</f>
        <v/>
      </c>
      <c r="H41" s="30">
        <f>F41*'Rates'!$B$4</f>
        <v/>
      </c>
      <c r="I41" s="30" t="n">
        <v>93186</v>
      </c>
      <c r="J41" s="30">
        <f>SUM(F41:H41)</f>
        <v/>
      </c>
      <c r="K41" s="30">
        <f>I41-J41</f>
        <v/>
      </c>
    </row>
    <row r="42">
      <c r="A42" s="23" t="inlineStr">
        <is>
          <t>PRJ-040</t>
        </is>
      </c>
      <c r="B42" s="23" t="inlineStr">
        <is>
          <t>Operations</t>
        </is>
      </c>
      <c r="C42" s="30" t="n">
        <v>23303.98</v>
      </c>
      <c r="D42" s="30" t="n">
        <v>13387.3</v>
      </c>
      <c r="E42" s="30" t="n">
        <v>5618.45</v>
      </c>
      <c r="F42" s="30">
        <f>SUM(C42:E42)</f>
        <v/>
      </c>
      <c r="G42" s="30">
        <f>F42*'Rates'!$B$3</f>
        <v/>
      </c>
      <c r="H42" s="30">
        <f>F42*'Rates'!$B$4</f>
        <v/>
      </c>
      <c r="I42" s="30" t="n">
        <v>52533</v>
      </c>
      <c r="J42" s="30">
        <f>SUM(F42:H42)</f>
        <v/>
      </c>
      <c r="K42" s="30">
        <f>I42-J42</f>
        <v/>
      </c>
    </row>
    <row r="43">
      <c r="A43" s="23" t="inlineStr">
        <is>
          <t>PRJ-041</t>
        </is>
      </c>
      <c r="B43" s="23" t="inlineStr">
        <is>
          <t>Operations</t>
        </is>
      </c>
      <c r="C43" s="30" t="n">
        <v>42360.66</v>
      </c>
      <c r="D43" s="30" t="n">
        <v>35314.88</v>
      </c>
      <c r="E43" s="30" t="n">
        <v>4311.06</v>
      </c>
      <c r="F43" s="30">
        <f>SUM(C43:E43)</f>
        <v/>
      </c>
      <c r="G43" s="30">
        <f>F43*'Rates'!$B$3</f>
        <v/>
      </c>
      <c r="H43" s="30">
        <f>F43*'Rates'!$B$4</f>
        <v/>
      </c>
      <c r="I43" s="30" t="n">
        <v>100004</v>
      </c>
      <c r="J43" s="30">
        <f>SUM(F43:H43)</f>
        <v/>
      </c>
      <c r="K43" s="30">
        <f>I43-J43</f>
        <v/>
      </c>
    </row>
    <row r="44">
      <c r="A44" s="23" t="inlineStr">
        <is>
          <t>PRJ-042</t>
        </is>
      </c>
      <c r="B44" s="23" t="inlineStr">
        <is>
          <t>Marketing</t>
        </is>
      </c>
      <c r="C44" s="30" t="n">
        <v>18781.54</v>
      </c>
      <c r="D44" s="30" t="n">
        <v>3924.31</v>
      </c>
      <c r="E44" s="30" t="n">
        <v>3113.43</v>
      </c>
      <c r="F44" s="30">
        <f>SUM(C44:E44)</f>
        <v/>
      </c>
      <c r="G44" s="30">
        <f>F44*'Rates'!$B$3</f>
        <v/>
      </c>
      <c r="H44" s="30">
        <f>F44*'Rates'!$B$4</f>
        <v/>
      </c>
      <c r="I44" s="30" t="n">
        <v>31843</v>
      </c>
      <c r="J44" s="30">
        <f>SUM(F44:H44)</f>
        <v/>
      </c>
      <c r="K44" s="30">
        <f>I44-J44</f>
        <v/>
      </c>
    </row>
    <row r="45">
      <c r="A45" s="23" t="inlineStr">
        <is>
          <t>PRJ-043</t>
        </is>
      </c>
      <c r="B45" s="23" t="inlineStr">
        <is>
          <t>Research</t>
        </is>
      </c>
      <c r="C45" s="30" t="n">
        <v>48460.54</v>
      </c>
      <c r="D45" s="30" t="n">
        <v>15973.35</v>
      </c>
      <c r="E45" s="30" t="n">
        <v>5508.7</v>
      </c>
      <c r="F45" s="30">
        <f>SUM(C45:E45)</f>
        <v/>
      </c>
      <c r="G45" s="30">
        <f>F45*'Rates'!$B$3</f>
        <v/>
      </c>
      <c r="H45" s="30">
        <f>F45*'Rates'!$B$4</f>
        <v/>
      </c>
      <c r="I45" s="30" t="n">
        <v>83828</v>
      </c>
      <c r="J45" s="30">
        <f>SUM(F45:H45)</f>
        <v/>
      </c>
      <c r="K45" s="30">
        <f>I45-J45</f>
        <v/>
      </c>
    </row>
    <row r="46">
      <c r="A46" s="23" t="inlineStr">
        <is>
          <t>PRJ-044</t>
        </is>
      </c>
      <c r="B46" s="23" t="inlineStr">
        <is>
          <t>Research</t>
        </is>
      </c>
      <c r="C46" s="30" t="n">
        <v>26605.09</v>
      </c>
      <c r="D46" s="30" t="n">
        <v>25813.11</v>
      </c>
      <c r="E46" s="30" t="n">
        <v>3313.54</v>
      </c>
      <c r="F46" s="30">
        <f>SUM(C46:E46)</f>
        <v/>
      </c>
      <c r="G46" s="30">
        <f>F46*'Rates'!$B$3</f>
        <v/>
      </c>
      <c r="H46" s="30">
        <f>F46*'Rates'!$B$4</f>
        <v/>
      </c>
      <c r="I46" s="30" t="n">
        <v>66873</v>
      </c>
      <c r="J46" s="30">
        <f>SUM(F46:H46)</f>
        <v/>
      </c>
      <c r="K46" s="30">
        <f>I46-J46</f>
        <v/>
      </c>
    </row>
    <row r="47">
      <c r="A47" s="23" t="inlineStr">
        <is>
          <t>PRJ-045</t>
        </is>
      </c>
      <c r="B47" s="23" t="inlineStr">
        <is>
          <t>Technology</t>
        </is>
      </c>
      <c r="C47" s="30" t="n">
        <v>49186.26</v>
      </c>
      <c r="D47" s="30" t="n">
        <v>30828.3</v>
      </c>
      <c r="E47" s="30" t="n">
        <v>1104.78</v>
      </c>
      <c r="F47" s="30">
        <f>SUM(C47:E47)</f>
        <v/>
      </c>
      <c r="G47" s="30">
        <f>F47*'Rates'!$B$3</f>
        <v/>
      </c>
      <c r="H47" s="30">
        <f>F47*'Rates'!$B$4</f>
        <v/>
      </c>
      <c r="I47" s="30" t="n">
        <v>103989</v>
      </c>
      <c r="J47" s="30">
        <f>SUM(F47:H47)</f>
        <v/>
      </c>
      <c r="K47" s="30">
        <f>I47-J47</f>
        <v/>
      </c>
    </row>
    <row r="48">
      <c r="A48" s="23" t="inlineStr">
        <is>
          <t>PRJ-046</t>
        </is>
      </c>
      <c r="B48" s="23" t="inlineStr">
        <is>
          <t>Marketing</t>
        </is>
      </c>
      <c r="C48" s="30" t="n">
        <v>28439.58</v>
      </c>
      <c r="D48" s="30" t="n">
        <v>18308.57</v>
      </c>
      <c r="E48" s="30" t="n">
        <v>4517.73</v>
      </c>
      <c r="F48" s="30">
        <f>SUM(C48:E48)</f>
        <v/>
      </c>
      <c r="G48" s="30">
        <f>F48*'Rates'!$B$3</f>
        <v/>
      </c>
      <c r="H48" s="30">
        <f>F48*'Rates'!$B$4</f>
        <v/>
      </c>
      <c r="I48" s="30" t="n">
        <v>65455</v>
      </c>
      <c r="J48" s="30">
        <f>SUM(F48:H48)</f>
        <v/>
      </c>
      <c r="K48" s="30">
        <f>I48-J48</f>
        <v/>
      </c>
    </row>
    <row r="49">
      <c r="A49" s="23" t="inlineStr">
        <is>
          <t>PRJ-047</t>
        </is>
      </c>
      <c r="B49" s="23" t="inlineStr">
        <is>
          <t>Operations</t>
        </is>
      </c>
      <c r="C49" s="30" t="n">
        <v>16471.92</v>
      </c>
      <c r="D49" s="30" t="n">
        <v>12275.61</v>
      </c>
      <c r="E49" s="30" t="n">
        <v>6767.4</v>
      </c>
      <c r="F49" s="30">
        <f>SUM(C49:E49)</f>
        <v/>
      </c>
      <c r="G49" s="30">
        <f>F49*'Rates'!$B$3</f>
        <v/>
      </c>
      <c r="H49" s="30">
        <f>F49*'Rates'!$B$4</f>
        <v/>
      </c>
      <c r="I49" s="30" t="n">
        <v>42545</v>
      </c>
      <c r="J49" s="30">
        <f>SUM(F49:H49)</f>
        <v/>
      </c>
      <c r="K49" s="30">
        <f>I49-J49</f>
        <v/>
      </c>
    </row>
    <row r="50">
      <c r="A50" s="23" t="inlineStr">
        <is>
          <t>PRJ-048</t>
        </is>
      </c>
      <c r="B50" s="23" t="inlineStr">
        <is>
          <t>Research</t>
        </is>
      </c>
      <c r="C50" s="30" t="n">
        <v>25622.26</v>
      </c>
      <c r="D50" s="30" t="n">
        <v>1983.82</v>
      </c>
      <c r="E50" s="30" t="n">
        <v>6826.54</v>
      </c>
      <c r="F50" s="30">
        <f>SUM(C50:E50)</f>
        <v/>
      </c>
      <c r="G50" s="30">
        <f>F50*'Rates'!$B$3</f>
        <v/>
      </c>
      <c r="H50" s="30">
        <f>F50*'Rates'!$B$4</f>
        <v/>
      </c>
      <c r="I50" s="30" t="n">
        <v>43257</v>
      </c>
      <c r="J50" s="30">
        <f>SUM(F50:H50)</f>
        <v/>
      </c>
      <c r="K50" s="30">
        <f>I50-J50</f>
        <v/>
      </c>
    </row>
    <row r="51">
      <c r="A51" s="23" t="inlineStr">
        <is>
          <t>PRJ-049</t>
        </is>
      </c>
      <c r="B51" s="23" t="inlineStr">
        <is>
          <t>Technology</t>
        </is>
      </c>
      <c r="C51" s="30" t="n">
        <v>41008.15</v>
      </c>
      <c r="D51" s="30" t="n">
        <v>33011.11</v>
      </c>
      <c r="E51" s="30" t="n">
        <v>5998.78</v>
      </c>
      <c r="F51" s="30">
        <f>SUM(C51:E51)</f>
        <v/>
      </c>
      <c r="G51" s="30">
        <f>F51*'Rates'!$B$3</f>
        <v/>
      </c>
      <c r="H51" s="30">
        <f>F51*'Rates'!$B$4</f>
        <v/>
      </c>
      <c r="I51" s="30" t="n">
        <v>99172</v>
      </c>
      <c r="J51" s="30">
        <f>SUM(F51:H51)</f>
        <v/>
      </c>
      <c r="K51" s="30">
        <f>I51-J51</f>
        <v/>
      </c>
    </row>
    <row r="52">
      <c r="A52" s="23" t="inlineStr">
        <is>
          <t>PRJ-050</t>
        </is>
      </c>
      <c r="B52" s="23" t="inlineStr">
        <is>
          <t>Marketing</t>
        </is>
      </c>
      <c r="C52" s="30" t="n">
        <v>61873.68</v>
      </c>
      <c r="D52" s="30" t="n">
        <v>2044.88</v>
      </c>
      <c r="E52" s="30" t="n">
        <v>3862.99</v>
      </c>
      <c r="F52" s="30">
        <f>SUM(C52:E52)</f>
        <v/>
      </c>
      <c r="G52" s="30">
        <f>F52*'Rates'!$B$3</f>
        <v/>
      </c>
      <c r="H52" s="30">
        <f>F52*'Rates'!$B$4</f>
        <v/>
      </c>
      <c r="I52" s="30" t="n">
        <v>87712</v>
      </c>
      <c r="J52" s="30">
        <f>SUM(F52:H52)</f>
        <v/>
      </c>
      <c r="K52" s="30">
        <f>I52-J52</f>
        <v/>
      </c>
    </row>
    <row r="53">
      <c r="A53" s="23" t="inlineStr">
        <is>
          <t>PRJ-051</t>
        </is>
      </c>
      <c r="B53" s="23" t="inlineStr">
        <is>
          <t>Marketing</t>
        </is>
      </c>
      <c r="C53" s="30" t="n">
        <v>53712.79</v>
      </c>
      <c r="D53" s="30" t="n">
        <v>14819.37</v>
      </c>
      <c r="E53" s="30" t="n">
        <v>2915.74</v>
      </c>
      <c r="F53" s="30">
        <f>SUM(C53:E53)</f>
        <v/>
      </c>
      <c r="G53" s="30">
        <f>F53*'Rates'!$B$3</f>
        <v/>
      </c>
      <c r="H53" s="30">
        <f>F53*'Rates'!$B$4</f>
        <v/>
      </c>
      <c r="I53" s="30" t="n">
        <v>91196</v>
      </c>
      <c r="J53" s="30">
        <f>SUM(F53:H53)</f>
        <v/>
      </c>
      <c r="K53" s="30">
        <f>I53-J53</f>
        <v/>
      </c>
    </row>
    <row r="54">
      <c r="A54" s="23" t="inlineStr">
        <is>
          <t>PRJ-052</t>
        </is>
      </c>
      <c r="B54" s="23" t="inlineStr">
        <is>
          <t>Research</t>
        </is>
      </c>
      <c r="C54" s="30" t="n">
        <v>52067.55</v>
      </c>
      <c r="D54" s="30" t="n">
        <v>2774.55</v>
      </c>
      <c r="E54" s="30" t="n">
        <v>864.5599999999999</v>
      </c>
      <c r="F54" s="30">
        <f>SUM(C54:E54)</f>
        <v/>
      </c>
      <c r="G54" s="30">
        <f>F54*'Rates'!$B$3</f>
        <v/>
      </c>
      <c r="H54" s="30">
        <f>F54*'Rates'!$B$4</f>
        <v/>
      </c>
      <c r="I54" s="30" t="n">
        <v>69386</v>
      </c>
      <c r="J54" s="30">
        <f>SUM(F54:H54)</f>
        <v/>
      </c>
      <c r="K54" s="30">
        <f>I54-J54</f>
        <v/>
      </c>
    </row>
    <row r="55">
      <c r="A55" s="23" t="inlineStr">
        <is>
          <t>PRJ-053</t>
        </is>
      </c>
      <c r="B55" s="23" t="inlineStr">
        <is>
          <t>Operations</t>
        </is>
      </c>
      <c r="C55" s="30" t="n">
        <v>13313.45</v>
      </c>
      <c r="D55" s="30" t="n">
        <v>19890.52</v>
      </c>
      <c r="E55" s="30" t="n">
        <v>256.05</v>
      </c>
      <c r="F55" s="30">
        <f>SUM(C55:E55)</f>
        <v/>
      </c>
      <c r="G55" s="30">
        <f>F55*'Rates'!$B$3</f>
        <v/>
      </c>
      <c r="H55" s="30">
        <f>F55*'Rates'!$B$4</f>
        <v/>
      </c>
      <c r="I55" s="30" t="n">
        <v>40417</v>
      </c>
      <c r="J55" s="30">
        <f>SUM(F55:H55)</f>
        <v/>
      </c>
      <c r="K55" s="30">
        <f>I55-J55</f>
        <v/>
      </c>
    </row>
    <row r="56">
      <c r="A56" s="23" t="inlineStr">
        <is>
          <t>PRJ-054</t>
        </is>
      </c>
      <c r="B56" s="23" t="inlineStr">
        <is>
          <t>Technology</t>
        </is>
      </c>
      <c r="C56" s="30" t="n">
        <v>7413.94</v>
      </c>
      <c r="D56" s="30" t="n">
        <v>3138.27</v>
      </c>
      <c r="E56" s="30" t="n">
        <v>7130.67</v>
      </c>
      <c r="F56" s="30">
        <f>SUM(C56:E56)</f>
        <v/>
      </c>
      <c r="G56" s="30">
        <f>F56*'Rates'!$B$3</f>
        <v/>
      </c>
      <c r="H56" s="30">
        <f>F56*'Rates'!$B$4</f>
        <v/>
      </c>
      <c r="I56" s="30" t="n">
        <v>22672</v>
      </c>
      <c r="J56" s="30">
        <f>SUM(F56:H56)</f>
        <v/>
      </c>
      <c r="K56" s="30">
        <f>I56-J56</f>
        <v/>
      </c>
    </row>
    <row r="57">
      <c r="A57" s="23" t="inlineStr">
        <is>
          <t>PRJ-055</t>
        </is>
      </c>
      <c r="B57" s="23" t="inlineStr">
        <is>
          <t>Operations</t>
        </is>
      </c>
      <c r="C57" s="30" t="n">
        <v>10475.42</v>
      </c>
      <c r="D57" s="30" t="n">
        <v>19310.33</v>
      </c>
      <c r="E57" s="30" t="n">
        <v>4360.04</v>
      </c>
      <c r="F57" s="30">
        <f>SUM(C57:E57)</f>
        <v/>
      </c>
      <c r="G57" s="30">
        <f>F57*'Rates'!$B$3</f>
        <v/>
      </c>
      <c r="H57" s="30">
        <f>F57*'Rates'!$B$4</f>
        <v/>
      </c>
      <c r="I57" s="30" t="n">
        <v>41654</v>
      </c>
      <c r="J57" s="30">
        <f>SUM(F57:H57)</f>
        <v/>
      </c>
      <c r="K57" s="30">
        <f>I57-J57</f>
        <v/>
      </c>
    </row>
    <row r="58">
      <c r="A58" s="23" t="inlineStr">
        <is>
          <t>PRJ-056</t>
        </is>
      </c>
      <c r="B58" s="23" t="inlineStr">
        <is>
          <t>Operations</t>
        </is>
      </c>
      <c r="C58" s="30" t="n">
        <v>64352.2</v>
      </c>
      <c r="D58" s="30" t="n">
        <v>30211.47</v>
      </c>
      <c r="E58" s="30" t="n">
        <v>2378.81</v>
      </c>
      <c r="F58" s="30">
        <f>SUM(C58:E58)</f>
        <v/>
      </c>
      <c r="G58" s="30">
        <f>F58*'Rates'!$B$3</f>
        <v/>
      </c>
      <c r="H58" s="30">
        <f>F58*'Rates'!$B$4</f>
        <v/>
      </c>
      <c r="I58" s="30" t="n">
        <v>116667</v>
      </c>
      <c r="J58" s="30">
        <f>SUM(F58:H58)</f>
        <v/>
      </c>
      <c r="K58" s="30">
        <f>I58-J58</f>
        <v/>
      </c>
    </row>
    <row r="59">
      <c r="A59" s="23" t="inlineStr">
        <is>
          <t>PRJ-057</t>
        </is>
      </c>
      <c r="B59" s="23" t="inlineStr">
        <is>
          <t>Operations</t>
        </is>
      </c>
      <c r="C59" s="30" t="n">
        <v>13928.71</v>
      </c>
      <c r="D59" s="30" t="n">
        <v>9973.6</v>
      </c>
      <c r="E59" s="30" t="n">
        <v>9275.01</v>
      </c>
      <c r="F59" s="30">
        <f>SUM(C59:E59)</f>
        <v/>
      </c>
      <c r="G59" s="30">
        <f>F59*'Rates'!$B$3</f>
        <v/>
      </c>
      <c r="H59" s="30">
        <f>F59*'Rates'!$B$4</f>
        <v/>
      </c>
      <c r="I59" s="30" t="n">
        <v>40018</v>
      </c>
      <c r="J59" s="30">
        <f>SUM(F59:H59)</f>
        <v/>
      </c>
      <c r="K59" s="30">
        <f>I59-J59</f>
        <v/>
      </c>
    </row>
    <row r="60">
      <c r="A60" s="23" t="inlineStr">
        <is>
          <t>PRJ-058</t>
        </is>
      </c>
      <c r="B60" s="23" t="inlineStr">
        <is>
          <t>Operations</t>
        </is>
      </c>
      <c r="C60" s="30" t="n">
        <v>30504.87</v>
      </c>
      <c r="D60" s="30" t="n">
        <v>33512.29</v>
      </c>
      <c r="E60" s="30" t="n">
        <v>1247.35</v>
      </c>
      <c r="F60" s="30">
        <f>SUM(C60:E60)</f>
        <v/>
      </c>
      <c r="G60" s="30">
        <f>F60*'Rates'!$B$3</f>
        <v/>
      </c>
      <c r="H60" s="30">
        <f>F60*'Rates'!$B$4</f>
        <v/>
      </c>
      <c r="I60" s="30" t="n">
        <v>81715</v>
      </c>
      <c r="J60" s="30">
        <f>SUM(F60:H60)</f>
        <v/>
      </c>
      <c r="K60" s="30">
        <f>I60-J60</f>
        <v/>
      </c>
    </row>
    <row r="61">
      <c r="A61" s="23" t="inlineStr">
        <is>
          <t>PRJ-059</t>
        </is>
      </c>
      <c r="B61" s="23" t="inlineStr">
        <is>
          <t>Marketing</t>
        </is>
      </c>
      <c r="C61" s="30" t="n">
        <v>28005.54</v>
      </c>
      <c r="D61" s="30" t="n">
        <v>9890.620000000001</v>
      </c>
      <c r="E61" s="30" t="n">
        <v>2816.84</v>
      </c>
      <c r="F61" s="30">
        <f>SUM(C61:E61)</f>
        <v/>
      </c>
      <c r="G61" s="30">
        <f>F61*'Rates'!$B$3</f>
        <v/>
      </c>
      <c r="H61" s="30">
        <f>F61*'Rates'!$B$4</f>
        <v/>
      </c>
      <c r="I61" s="30" t="n">
        <v>51229</v>
      </c>
      <c r="J61" s="30">
        <f>SUM(F61:H61)</f>
        <v/>
      </c>
      <c r="K61" s="30">
        <f>I61-J61</f>
        <v/>
      </c>
    </row>
    <row r="62">
      <c r="A62" s="23" t="inlineStr">
        <is>
          <t>PRJ-060</t>
        </is>
      </c>
      <c r="B62" s="23" t="inlineStr">
        <is>
          <t>Research</t>
        </is>
      </c>
      <c r="C62" s="30" t="n">
        <v>52924.31</v>
      </c>
      <c r="D62" s="30" t="n">
        <v>10830.6</v>
      </c>
      <c r="E62" s="30" t="n">
        <v>8464.870000000001</v>
      </c>
      <c r="F62" s="30">
        <f>SUM(C62:E62)</f>
        <v/>
      </c>
      <c r="G62" s="30">
        <f>F62*'Rates'!$B$3</f>
        <v/>
      </c>
      <c r="H62" s="30">
        <f>F62*'Rates'!$B$4</f>
        <v/>
      </c>
      <c r="I62" s="30" t="n">
        <v>88822</v>
      </c>
      <c r="J62" s="30">
        <f>SUM(F62:H62)</f>
        <v/>
      </c>
      <c r="K62" s="30">
        <f>I62-J62</f>
        <v/>
      </c>
    </row>
    <row r="63">
      <c r="A63" s="23" t="inlineStr">
        <is>
          <t>PRJ-061</t>
        </is>
      </c>
      <c r="B63" s="23" t="inlineStr">
        <is>
          <t>Operations</t>
        </is>
      </c>
      <c r="C63" s="30" t="n">
        <v>66110.75999999999</v>
      </c>
      <c r="D63" s="30" t="n">
        <v>8884.34</v>
      </c>
      <c r="E63" s="30" t="n">
        <v>8718.25</v>
      </c>
      <c r="F63" s="30">
        <f>SUM(C63:E63)</f>
        <v/>
      </c>
      <c r="G63" s="30">
        <f>F63*'Rates'!$B$3</f>
        <v/>
      </c>
      <c r="H63" s="30">
        <f>F63*'Rates'!$B$4</f>
        <v/>
      </c>
      <c r="I63" s="30" t="n">
        <v>104673</v>
      </c>
      <c r="J63" s="30">
        <f>SUM(F63:H63)</f>
        <v/>
      </c>
      <c r="K63" s="30">
        <f>I63-J63</f>
        <v/>
      </c>
    </row>
    <row r="64">
      <c r="A64" s="23" t="inlineStr">
        <is>
          <t>PRJ-062</t>
        </is>
      </c>
      <c r="B64" s="23" t="inlineStr">
        <is>
          <t>Research</t>
        </is>
      </c>
      <c r="C64" s="30" t="n">
        <v>61329</v>
      </c>
      <c r="D64" s="30" t="n">
        <v>20908.34</v>
      </c>
      <c r="E64" s="30" t="n">
        <v>8328.98</v>
      </c>
      <c r="F64" s="30">
        <f>SUM(C64:E64)</f>
        <v/>
      </c>
      <c r="G64" s="30">
        <f>F64*'Rates'!$B$3</f>
        <v/>
      </c>
      <c r="H64" s="30">
        <f>F64*'Rates'!$B$4</f>
        <v/>
      </c>
      <c r="I64" s="30" t="n">
        <v>116293</v>
      </c>
      <c r="J64" s="30">
        <f>SUM(F64:H64)</f>
        <v/>
      </c>
      <c r="K64" s="30">
        <f>I64-J64</f>
        <v/>
      </c>
    </row>
    <row r="65">
      <c r="A65" s="23" t="inlineStr">
        <is>
          <t>PRJ-063</t>
        </is>
      </c>
      <c r="B65" s="23" t="inlineStr">
        <is>
          <t>Marketing</t>
        </is>
      </c>
      <c r="C65" s="30" t="n">
        <v>31670.39</v>
      </c>
      <c r="D65" s="30" t="n">
        <v>5743.27</v>
      </c>
      <c r="E65" s="30" t="n">
        <v>8768.299999999999</v>
      </c>
      <c r="F65" s="30">
        <f>SUM(C65:E65)</f>
        <v/>
      </c>
      <c r="G65" s="30">
        <f>F65*'Rates'!$B$3</f>
        <v/>
      </c>
      <c r="H65" s="30">
        <f>F65*'Rates'!$B$4</f>
        <v/>
      </c>
      <c r="I65" s="30" t="n">
        <v>59246</v>
      </c>
      <c r="J65" s="30">
        <f>SUM(F65:H65)</f>
        <v/>
      </c>
      <c r="K65" s="30">
        <f>I65-J65</f>
        <v/>
      </c>
    </row>
    <row r="66">
      <c r="A66" s="23" t="inlineStr">
        <is>
          <t>PRJ-064</t>
        </is>
      </c>
      <c r="B66" s="23" t="inlineStr">
        <is>
          <t>Marketing</t>
        </is>
      </c>
      <c r="C66" s="30" t="n">
        <v>43757.19</v>
      </c>
      <c r="D66" s="30" t="n">
        <v>26066.48</v>
      </c>
      <c r="E66" s="30" t="n">
        <v>1031.27</v>
      </c>
      <c r="F66" s="30">
        <f>SUM(C66:E66)</f>
        <v/>
      </c>
      <c r="G66" s="30">
        <f>F66*'Rates'!$B$3</f>
        <v/>
      </c>
      <c r="H66" s="30">
        <f>F66*'Rates'!$B$4</f>
        <v/>
      </c>
      <c r="I66" s="30" t="n">
        <v>86863</v>
      </c>
      <c r="J66" s="30">
        <f>SUM(F66:H66)</f>
        <v/>
      </c>
      <c r="K66" s="30">
        <f>I66-J66</f>
        <v/>
      </c>
    </row>
    <row r="67">
      <c r="A67" s="23" t="inlineStr">
        <is>
          <t>PRJ-065</t>
        </is>
      </c>
      <c r="B67" s="23" t="inlineStr">
        <is>
          <t>Marketing</t>
        </is>
      </c>
      <c r="C67" s="30" t="n">
        <v>43678.4</v>
      </c>
      <c r="D67" s="30" t="n">
        <v>17242.01</v>
      </c>
      <c r="E67" s="30" t="n">
        <v>1793.29</v>
      </c>
      <c r="F67" s="30">
        <f>SUM(C67:E67)</f>
        <v/>
      </c>
      <c r="G67" s="30">
        <f>F67*'Rates'!$B$3</f>
        <v/>
      </c>
      <c r="H67" s="30">
        <f>F67*'Rates'!$B$4</f>
        <v/>
      </c>
      <c r="I67" s="30" t="n">
        <v>76500</v>
      </c>
      <c r="J67" s="30">
        <f>SUM(F67:H67)</f>
        <v/>
      </c>
      <c r="K67" s="30">
        <f>I67-J67</f>
        <v/>
      </c>
    </row>
    <row r="68">
      <c r="A68" s="23" t="inlineStr">
        <is>
          <t>PRJ-066</t>
        </is>
      </c>
      <c r="B68" s="23" t="inlineStr">
        <is>
          <t>Operations</t>
        </is>
      </c>
      <c r="C68" s="30" t="n">
        <v>66756.75999999999</v>
      </c>
      <c r="D68" s="30" t="n">
        <v>16776.38</v>
      </c>
      <c r="E68" s="30" t="n">
        <v>9580.91</v>
      </c>
      <c r="F68" s="30">
        <f>SUM(C68:E68)</f>
        <v/>
      </c>
      <c r="G68" s="30">
        <f>F68*'Rates'!$B$3</f>
        <v/>
      </c>
      <c r="H68" s="30">
        <f>F68*'Rates'!$B$4</f>
        <v/>
      </c>
      <c r="I68" s="30" t="n">
        <v>120517</v>
      </c>
      <c r="J68" s="30">
        <f>SUM(F68:H68)</f>
        <v/>
      </c>
      <c r="K68" s="30">
        <f>I68-J68</f>
        <v/>
      </c>
    </row>
    <row r="69">
      <c r="A69" s="23" t="inlineStr">
        <is>
          <t>PRJ-067</t>
        </is>
      </c>
      <c r="B69" s="23" t="inlineStr">
        <is>
          <t>Marketing</t>
        </is>
      </c>
      <c r="C69" s="30" t="n">
        <v>66487.61</v>
      </c>
      <c r="D69" s="30" t="n">
        <v>34246.16</v>
      </c>
      <c r="E69" s="30" t="n">
        <v>9998.02</v>
      </c>
      <c r="F69" s="30">
        <f>SUM(C69:E69)</f>
        <v/>
      </c>
      <c r="G69" s="30">
        <f>F69*'Rates'!$B$3</f>
        <v/>
      </c>
      <c r="H69" s="30">
        <f>F69*'Rates'!$B$4</f>
        <v/>
      </c>
      <c r="I69" s="30" t="n">
        <v>142578</v>
      </c>
      <c r="J69" s="30">
        <f>SUM(F69:H69)</f>
        <v/>
      </c>
      <c r="K69" s="30">
        <f>I69-J69</f>
        <v/>
      </c>
    </row>
    <row r="70">
      <c r="A70" s="23" t="inlineStr">
        <is>
          <t>PRJ-068</t>
        </is>
      </c>
      <c r="B70" s="23" t="inlineStr">
        <is>
          <t>Research</t>
        </is>
      </c>
      <c r="C70" s="30" t="n">
        <v>7244.16</v>
      </c>
      <c r="D70" s="30" t="n">
        <v>4145.99</v>
      </c>
      <c r="E70" s="30" t="n">
        <v>1624.17</v>
      </c>
      <c r="F70" s="30">
        <f>SUM(C70:E70)</f>
        <v/>
      </c>
      <c r="G70" s="30">
        <f>F70*'Rates'!$B$3</f>
        <v/>
      </c>
      <c r="H70" s="30">
        <f>F70*'Rates'!$B$4</f>
        <v/>
      </c>
      <c r="I70" s="30" t="n">
        <v>16082</v>
      </c>
      <c r="J70" s="30">
        <f>SUM(F70:H70)</f>
        <v/>
      </c>
      <c r="K70" s="30">
        <f>I70-J70</f>
        <v/>
      </c>
    </row>
    <row r="71">
      <c r="A71" s="23" t="inlineStr">
        <is>
          <t>PRJ-069</t>
        </is>
      </c>
      <c r="B71" s="23" t="inlineStr">
        <is>
          <t>Marketing</t>
        </is>
      </c>
      <c r="C71" s="30" t="n">
        <v>65351.93</v>
      </c>
      <c r="D71" s="30" t="n">
        <v>21902.68</v>
      </c>
      <c r="E71" s="30" t="n">
        <v>5448.8</v>
      </c>
      <c r="F71" s="30">
        <f>SUM(C71:E71)</f>
        <v/>
      </c>
      <c r="G71" s="30">
        <f>F71*'Rates'!$B$3</f>
        <v/>
      </c>
      <c r="H71" s="30">
        <f>F71*'Rates'!$B$4</f>
        <v/>
      </c>
      <c r="I71" s="30" t="n">
        <v>112577</v>
      </c>
      <c r="J71" s="30">
        <f>SUM(F71:H71)</f>
        <v/>
      </c>
      <c r="K71" s="30">
        <f>I71-J71</f>
        <v/>
      </c>
    </row>
    <row r="72">
      <c r="A72" s="23" t="inlineStr">
        <is>
          <t>PRJ-070</t>
        </is>
      </c>
      <c r="B72" s="23" t="inlineStr">
        <is>
          <t>Marketing</t>
        </is>
      </c>
      <c r="C72" s="30" t="n">
        <v>40624.25</v>
      </c>
      <c r="D72" s="30" t="n">
        <v>26774.39</v>
      </c>
      <c r="E72" s="30" t="n">
        <v>1914.15</v>
      </c>
      <c r="F72" s="30">
        <f>SUM(C72:E72)</f>
        <v/>
      </c>
      <c r="G72" s="30">
        <f>F72*'Rates'!$B$3</f>
        <v/>
      </c>
      <c r="H72" s="30">
        <f>F72*'Rates'!$B$4</f>
        <v/>
      </c>
      <c r="I72" s="30" t="n">
        <v>82910</v>
      </c>
      <c r="J72" s="30">
        <f>SUM(F72:H72)</f>
        <v/>
      </c>
      <c r="K72" s="30">
        <f>I72-J72</f>
        <v/>
      </c>
    </row>
    <row r="73">
      <c r="A73" s="23" t="inlineStr">
        <is>
          <t>PRJ-071</t>
        </is>
      </c>
      <c r="B73" s="23" t="inlineStr">
        <is>
          <t>Operations</t>
        </is>
      </c>
      <c r="C73" s="30" t="n">
        <v>13648.25</v>
      </c>
      <c r="D73" s="30" t="n">
        <v>10818.2</v>
      </c>
      <c r="E73" s="30" t="n">
        <v>5889.23</v>
      </c>
      <c r="F73" s="30">
        <f>SUM(C73:E73)</f>
        <v/>
      </c>
      <c r="G73" s="30">
        <f>F73*'Rates'!$B$3</f>
        <v/>
      </c>
      <c r="H73" s="30">
        <f>F73*'Rates'!$B$4</f>
        <v/>
      </c>
      <c r="I73" s="30" t="n">
        <v>38557</v>
      </c>
      <c r="J73" s="30">
        <f>F73+G73</f>
        <v/>
      </c>
      <c r="K73" s="30">
        <f>I73-J73</f>
        <v/>
      </c>
    </row>
    <row r="74">
      <c r="A74" s="23" t="inlineStr">
        <is>
          <t>PRJ-072</t>
        </is>
      </c>
      <c r="B74" s="23" t="inlineStr">
        <is>
          <t>Marketing</t>
        </is>
      </c>
      <c r="C74" s="30" t="n">
        <v>58112.02</v>
      </c>
      <c r="D74" s="30" t="n">
        <v>30140.21</v>
      </c>
      <c r="E74" s="30" t="n">
        <v>2997.4</v>
      </c>
      <c r="F74" s="30">
        <f>SUM(C74:E74)</f>
        <v/>
      </c>
      <c r="G74" s="30">
        <f>F74*'Rates'!$B$3</f>
        <v/>
      </c>
      <c r="H74" s="30">
        <f>F74*'Rates'!$B$4</f>
        <v/>
      </c>
      <c r="I74" s="30" t="n">
        <v>117045</v>
      </c>
      <c r="J74" s="30">
        <f>SUM(F74:H74)</f>
        <v/>
      </c>
      <c r="K74" s="30">
        <f>I74-J74</f>
        <v/>
      </c>
    </row>
    <row r="75">
      <c r="A75" s="23" t="inlineStr">
        <is>
          <t>PRJ-073</t>
        </is>
      </c>
      <c r="B75" s="23" t="inlineStr">
        <is>
          <t>Research</t>
        </is>
      </c>
      <c r="C75" s="30" t="n">
        <v>48384.34</v>
      </c>
      <c r="D75" s="30" t="n">
        <v>8304.41</v>
      </c>
      <c r="E75" s="30" t="n">
        <v>3003.1</v>
      </c>
      <c r="F75" s="30">
        <f>SUM(C75:E75)</f>
        <v/>
      </c>
      <c r="G75" s="30">
        <f>F75*'Rates'!$B$3</f>
        <v/>
      </c>
      <c r="H75" s="30">
        <f>F75*'Rates'!$B$4</f>
        <v/>
      </c>
      <c r="I75" s="30" t="n">
        <v>75355</v>
      </c>
      <c r="J75" s="30">
        <f>SUM(F75:H75)</f>
        <v/>
      </c>
      <c r="K75" s="30">
        <f>I75-J75</f>
        <v/>
      </c>
    </row>
    <row r="76">
      <c r="A76" s="23" t="inlineStr">
        <is>
          <t>PRJ-074</t>
        </is>
      </c>
      <c r="B76" s="23" t="inlineStr">
        <is>
          <t>Operations</t>
        </is>
      </c>
      <c r="C76" s="30" t="n">
        <v>21520.98</v>
      </c>
      <c r="D76" s="30" t="n">
        <v>35041.49</v>
      </c>
      <c r="E76" s="30" t="n">
        <v>6498.7</v>
      </c>
      <c r="F76" s="30">
        <f>SUM(C76:E76)</f>
        <v/>
      </c>
      <c r="G76" s="30">
        <f>F76*'Rates'!$B$3</f>
        <v/>
      </c>
      <c r="H76" s="30">
        <f>F76*'Rates'!$B$4</f>
        <v/>
      </c>
      <c r="I76" s="30" t="n">
        <v>77966</v>
      </c>
      <c r="J76" s="30">
        <f>SUM(F76:H76)</f>
        <v/>
      </c>
      <c r="K76" s="30">
        <f>I76-J76</f>
        <v/>
      </c>
    </row>
    <row r="77">
      <c r="A77" s="23" t="inlineStr">
        <is>
          <t>PRJ-075</t>
        </is>
      </c>
      <c r="B77" s="23" t="inlineStr">
        <is>
          <t>Operations</t>
        </is>
      </c>
      <c r="C77" s="30" t="n">
        <v>9971.290000000001</v>
      </c>
      <c r="D77" s="30" t="n">
        <v>1917.05</v>
      </c>
      <c r="E77" s="30" t="n">
        <v>3783.56</v>
      </c>
      <c r="F77" s="30">
        <f>SUM(C77:E77)</f>
        <v/>
      </c>
      <c r="G77" s="30">
        <f>F77*'Rates'!$B$3</f>
        <v/>
      </c>
      <c r="H77" s="30">
        <f>F77*'Rates'!$B$4</f>
        <v/>
      </c>
      <c r="I77" s="30" t="n">
        <v>20148</v>
      </c>
      <c r="J77" s="30">
        <f>SUM(F77:H77)</f>
        <v/>
      </c>
      <c r="K77" s="30">
        <f>I77-J77</f>
        <v/>
      </c>
    </row>
    <row r="78">
      <c r="A78" s="23" t="inlineStr">
        <is>
          <t>PRJ-076</t>
        </is>
      </c>
      <c r="B78" s="23" t="inlineStr">
        <is>
          <t>Operations</t>
        </is>
      </c>
      <c r="C78" s="30" t="n">
        <v>68670.24000000001</v>
      </c>
      <c r="D78" s="30" t="n">
        <v>35305.83</v>
      </c>
      <c r="E78" s="30" t="n">
        <v>6538.84</v>
      </c>
      <c r="F78" s="30">
        <f>SUM(C78:E78)</f>
        <v/>
      </c>
      <c r="G78" s="30">
        <f>F78*'Rates'!$B$3</f>
        <v/>
      </c>
      <c r="H78" s="30">
        <f>F78*'Rates'!$B$4</f>
        <v/>
      </c>
      <c r="I78" s="30" t="n">
        <v>134959</v>
      </c>
      <c r="J78" s="30">
        <f>SUM(F78:H78)</f>
        <v/>
      </c>
      <c r="K78" s="30">
        <f>I78-J78</f>
        <v/>
      </c>
    </row>
    <row r="79">
      <c r="A79" s="23" t="inlineStr">
        <is>
          <t>PRJ-077</t>
        </is>
      </c>
      <c r="B79" s="23" t="inlineStr">
        <is>
          <t>Operations</t>
        </is>
      </c>
      <c r="C79" s="30" t="n">
        <v>46657.14</v>
      </c>
      <c r="D79" s="30" t="n">
        <v>24066.57</v>
      </c>
      <c r="E79" s="30" t="n">
        <v>8429.91</v>
      </c>
      <c r="F79" s="30">
        <f>SUM(C79:E79)</f>
        <v/>
      </c>
      <c r="G79" s="30">
        <f>F79*'Rates'!$B$3</f>
        <v/>
      </c>
      <c r="H79" s="30">
        <f>F79*'Rates'!$B$4</f>
        <v/>
      </c>
      <c r="I79" s="30" t="n">
        <v>95113</v>
      </c>
      <c r="J79" s="30">
        <f>SUM(F79:H79)</f>
        <v/>
      </c>
      <c r="K79" s="30">
        <f>I79-J79</f>
        <v/>
      </c>
    </row>
    <row r="80">
      <c r="A80" s="23" t="inlineStr">
        <is>
          <t>PRJ-078</t>
        </is>
      </c>
      <c r="B80" s="23" t="inlineStr">
        <is>
          <t>Marketing</t>
        </is>
      </c>
      <c r="C80" s="30" t="n">
        <v>21679.1</v>
      </c>
      <c r="D80" s="30" t="n">
        <v>2100.16</v>
      </c>
      <c r="E80" s="30" t="n">
        <v>8004.78</v>
      </c>
      <c r="F80" s="30">
        <f>SUM(C80:E80)</f>
        <v/>
      </c>
      <c r="G80" s="30">
        <f>F80*'Rates'!$B$3</f>
        <v/>
      </c>
      <c r="H80" s="30">
        <f>F80*'Rates'!$B$4</f>
        <v/>
      </c>
      <c r="I80" s="30" t="n">
        <v>40732</v>
      </c>
      <c r="J80" s="30">
        <f>SUM(F80:H80)</f>
        <v/>
      </c>
      <c r="K80" s="30">
        <f>I80-J80</f>
        <v/>
      </c>
    </row>
    <row r="81">
      <c r="A81" s="23" t="inlineStr">
        <is>
          <t>PRJ-079</t>
        </is>
      </c>
      <c r="B81" s="23" t="inlineStr">
        <is>
          <t>Operations</t>
        </is>
      </c>
      <c r="C81" s="30" t="n">
        <v>27865.57</v>
      </c>
      <c r="D81" s="30" t="n">
        <v>29940.76</v>
      </c>
      <c r="E81" s="30" t="n">
        <v>4076.36</v>
      </c>
      <c r="F81" s="30">
        <f>SUM(C81:E81)</f>
        <v/>
      </c>
      <c r="G81" s="30">
        <f>F81*'Rates'!$B$3</f>
        <v/>
      </c>
      <c r="H81" s="30">
        <f>F81*'Rates'!$B$4</f>
        <v/>
      </c>
      <c r="I81" s="30" t="n">
        <v>76600</v>
      </c>
      <c r="J81" s="30">
        <f>SUM(F81:H81)</f>
        <v/>
      </c>
      <c r="K81" s="30">
        <f>I81-J81</f>
        <v/>
      </c>
    </row>
    <row r="82">
      <c r="A82" s="23" t="inlineStr">
        <is>
          <t>PRJ-080</t>
        </is>
      </c>
      <c r="B82" s="23" t="inlineStr">
        <is>
          <t>Technology</t>
        </is>
      </c>
      <c r="C82" s="30" t="n">
        <v>53534.01</v>
      </c>
      <c r="D82" s="30" t="n">
        <v>36092.76</v>
      </c>
      <c r="E82" s="30" t="n">
        <v>1133.27</v>
      </c>
      <c r="F82" s="30">
        <f>SUM(C82:E82)</f>
        <v/>
      </c>
      <c r="G82" s="30">
        <f>F82*'Rates'!$B$3</f>
        <v/>
      </c>
      <c r="H82" s="30">
        <f>F82*'Rates'!$B$4</f>
        <v/>
      </c>
      <c r="I82" s="30" t="n">
        <v>110249</v>
      </c>
      <c r="J82" s="30">
        <f>SUM(F82:H82)</f>
        <v/>
      </c>
      <c r="K82" s="30">
        <f>I82-J82</f>
        <v/>
      </c>
    </row>
    <row r="83">
      <c r="A83" s="23" t="inlineStr">
        <is>
          <t>PRJ-081</t>
        </is>
      </c>
      <c r="B83" s="23" t="inlineStr">
        <is>
          <t>Technology</t>
        </is>
      </c>
      <c r="C83" s="30" t="n">
        <v>44389.38</v>
      </c>
      <c r="D83" s="30" t="n">
        <v>27816.75</v>
      </c>
      <c r="E83" s="30" t="n">
        <v>1430.43</v>
      </c>
      <c r="F83" s="30">
        <f>SUM(C83:E83)</f>
        <v/>
      </c>
      <c r="G83" s="30">
        <f>F83*'Rates'!$B$3</f>
        <v/>
      </c>
      <c r="H83" s="30">
        <f>F83*'Rates'!$B$4</f>
        <v/>
      </c>
      <c r="I83" s="30" t="n">
        <v>93475</v>
      </c>
      <c r="J83" s="30">
        <f>SUM(F83:H83)</f>
        <v/>
      </c>
      <c r="K83" s="30">
        <f>I83-J83</f>
        <v/>
      </c>
    </row>
    <row r="84">
      <c r="A84" s="23" t="inlineStr">
        <is>
          <t>PRJ-082</t>
        </is>
      </c>
      <c r="B84" s="23" t="inlineStr">
        <is>
          <t>Operations</t>
        </is>
      </c>
      <c r="C84" s="30" t="n">
        <v>8470</v>
      </c>
      <c r="D84" s="30" t="n">
        <v>19628.62</v>
      </c>
      <c r="E84" s="30" t="n">
        <v>9403.34</v>
      </c>
      <c r="F84" s="30">
        <f>SUM(C84:E84)</f>
        <v/>
      </c>
      <c r="G84" s="30">
        <f>F84*'Rates'!$B$3</f>
        <v/>
      </c>
      <c r="H84" s="30">
        <f>F84*'Rates'!$B$4</f>
        <v/>
      </c>
      <c r="I84" s="30" t="n">
        <v>46949</v>
      </c>
      <c r="J84" s="30">
        <f>SUM(F84:H84)</f>
        <v/>
      </c>
      <c r="K84" s="30">
        <f>I84-J84</f>
        <v/>
      </c>
    </row>
    <row r="85">
      <c r="A85" s="23" t="inlineStr">
        <is>
          <t>PRJ-083</t>
        </is>
      </c>
      <c r="B85" s="23" t="inlineStr">
        <is>
          <t>Marketing</t>
        </is>
      </c>
      <c r="C85" s="30" t="n">
        <v>21241.59</v>
      </c>
      <c r="D85" s="30" t="n">
        <v>36100.44</v>
      </c>
      <c r="E85" s="30" t="n">
        <v>3674.38</v>
      </c>
      <c r="F85" s="30">
        <f>SUM(C85:E85)</f>
        <v/>
      </c>
      <c r="G85" s="30">
        <f>F85*'Rates'!$B$3</f>
        <v/>
      </c>
      <c r="H85" s="30">
        <f>F85*'Rates'!$B$4</f>
        <v/>
      </c>
      <c r="I85" s="30" t="n">
        <v>73565</v>
      </c>
      <c r="J85" s="30">
        <f>SUM(F85:H85)</f>
        <v/>
      </c>
      <c r="K85" s="30">
        <f>I85-J85</f>
        <v/>
      </c>
    </row>
    <row r="86">
      <c r="A86" s="23" t="inlineStr">
        <is>
          <t>PRJ-084</t>
        </is>
      </c>
      <c r="B86" s="23" t="inlineStr">
        <is>
          <t>Research</t>
        </is>
      </c>
      <c r="C86" s="30" t="n">
        <v>25887.93</v>
      </c>
      <c r="D86" s="30" t="n">
        <v>5176.86</v>
      </c>
      <c r="E86" s="30" t="n">
        <v>4445.72</v>
      </c>
      <c r="F86" s="30">
        <f>SUM(C86:E86)</f>
        <v/>
      </c>
      <c r="G86" s="30">
        <f>F86*'Rates'!$B$3</f>
        <v/>
      </c>
      <c r="H86" s="30">
        <f>F86*'Rates'!$B$4</f>
        <v/>
      </c>
      <c r="I86" s="30" t="n">
        <v>44535</v>
      </c>
      <c r="J86" s="30">
        <f>SUM(F86:H86)</f>
        <v/>
      </c>
      <c r="K86" s="30">
        <f>I86-J86</f>
        <v/>
      </c>
    </row>
    <row r="87">
      <c r="A87" s="23" t="inlineStr">
        <is>
          <t>PRJ-085</t>
        </is>
      </c>
      <c r="B87" s="23" t="inlineStr">
        <is>
          <t>Technology</t>
        </is>
      </c>
      <c r="C87" s="30" t="n">
        <v>35201.75</v>
      </c>
      <c r="D87" s="30" t="n">
        <v>9246.049999999999</v>
      </c>
      <c r="E87" s="30" t="n">
        <v>3363.49</v>
      </c>
      <c r="F87" s="30">
        <f>SUM(C87:E87)</f>
        <v/>
      </c>
      <c r="G87" s="30">
        <f>F87*'Rates'!$B$3</f>
        <v/>
      </c>
      <c r="H87" s="30">
        <f>F87*'Rates'!$B$4</f>
        <v/>
      </c>
      <c r="I87" s="30" t="n">
        <v>57821</v>
      </c>
      <c r="J87" s="30">
        <f>SUM(F87:H87)</f>
        <v/>
      </c>
      <c r="K87" s="30">
        <f>I87-J87</f>
        <v/>
      </c>
    </row>
    <row r="88">
      <c r="A88" s="23" t="inlineStr">
        <is>
          <t>PRJ-086</t>
        </is>
      </c>
      <c r="B88" s="23" t="inlineStr">
        <is>
          <t>Research</t>
        </is>
      </c>
      <c r="C88" s="30" t="n">
        <v>39340.96</v>
      </c>
      <c r="D88" s="30" t="n">
        <v>6226.79</v>
      </c>
      <c r="E88" s="30" t="n">
        <v>9005.889999999999</v>
      </c>
      <c r="F88" s="30">
        <f>SUM(C88:E88)</f>
        <v/>
      </c>
      <c r="G88" s="30">
        <f>F88*'Rates'!$B$4</f>
        <v/>
      </c>
      <c r="H88" s="30">
        <f>F88*'Rates'!$B$4</f>
        <v/>
      </c>
      <c r="I88" s="30" t="n">
        <v>66564</v>
      </c>
      <c r="J88" s="30">
        <f>SUM(F88:H88)</f>
        <v/>
      </c>
      <c r="K88" s="30">
        <f>I88-J88</f>
        <v/>
      </c>
    </row>
    <row r="89">
      <c r="A89" s="23" t="inlineStr">
        <is>
          <t>PRJ-087</t>
        </is>
      </c>
      <c r="B89" s="23" t="inlineStr">
        <is>
          <t>Technology</t>
        </is>
      </c>
      <c r="C89" s="30" t="n">
        <v>21942.55</v>
      </c>
      <c r="D89" s="30" t="n">
        <v>30989.58</v>
      </c>
      <c r="E89" s="30" t="n">
        <v>7373.02</v>
      </c>
      <c r="F89" s="30">
        <f>SUM(C89:E89)</f>
        <v/>
      </c>
      <c r="G89" s="30">
        <f>F89*'Rates'!$B$3</f>
        <v/>
      </c>
      <c r="H89" s="30">
        <f>F89*'Rates'!$B$4</f>
        <v/>
      </c>
      <c r="I89" s="30" t="n">
        <v>72736</v>
      </c>
      <c r="J89" s="30">
        <f>SUM(F89:H89)</f>
        <v/>
      </c>
      <c r="K89" s="30">
        <f>I89-J89</f>
        <v/>
      </c>
    </row>
    <row r="90">
      <c r="A90" s="23" t="inlineStr">
        <is>
          <t>PRJ-088</t>
        </is>
      </c>
      <c r="B90" s="23" t="inlineStr">
        <is>
          <t>Research</t>
        </is>
      </c>
      <c r="C90" s="30" t="n">
        <v>63546.57</v>
      </c>
      <c r="D90" s="30" t="n">
        <v>16976.84</v>
      </c>
      <c r="E90" s="30" t="n">
        <v>7475.32</v>
      </c>
      <c r="F90" s="30">
        <f>SUM(C90:E90)</f>
        <v/>
      </c>
      <c r="G90" s="30">
        <f>F90*'Rates'!$B$3</f>
        <v/>
      </c>
      <c r="H90" s="30">
        <f>F90*'Rates'!$B$4</f>
        <v/>
      </c>
      <c r="I90" s="30" t="n">
        <v>109115</v>
      </c>
      <c r="J90" s="30">
        <f>SUM(F90:H90)</f>
        <v/>
      </c>
      <c r="K90" s="30">
        <f>I90-J90</f>
        <v/>
      </c>
    </row>
    <row r="91">
      <c r="A91" s="23" t="inlineStr">
        <is>
          <t>PRJ-089</t>
        </is>
      </c>
      <c r="B91" s="23" t="inlineStr">
        <is>
          <t>Technology</t>
        </is>
      </c>
      <c r="C91" s="30" t="n">
        <v>68959.5</v>
      </c>
      <c r="D91" s="30" t="n">
        <v>37283.84</v>
      </c>
      <c r="E91" s="30" t="n">
        <v>9888.18</v>
      </c>
      <c r="F91" s="30">
        <f>SUM(C91:E91)</f>
        <v/>
      </c>
      <c r="G91" s="30">
        <f>F91*'Rates'!$B$3</f>
        <v/>
      </c>
      <c r="H91" s="30">
        <f>F91*'Rates'!$B$4</f>
        <v/>
      </c>
      <c r="I91" s="30" t="n">
        <v>140936</v>
      </c>
      <c r="J91" s="30">
        <f>SUM(F91:H91)</f>
        <v/>
      </c>
      <c r="K91" s="30">
        <f>I91-J91</f>
        <v/>
      </c>
    </row>
    <row r="92">
      <c r="A92" s="23" t="inlineStr">
        <is>
          <t>PRJ-090</t>
        </is>
      </c>
      <c r="B92" s="23" t="inlineStr">
        <is>
          <t>Marketing</t>
        </is>
      </c>
      <c r="C92" s="30" t="n">
        <v>43962.02</v>
      </c>
      <c r="D92" s="30" t="n">
        <v>10709.41</v>
      </c>
      <c r="E92" s="30" t="n">
        <v>929.3</v>
      </c>
      <c r="F92" s="30">
        <f>SUM(C92:E92)</f>
        <v/>
      </c>
      <c r="G92" s="30">
        <f>F92*'Rates'!$B$3</f>
        <v/>
      </c>
      <c r="H92" s="30">
        <f>F92*'Rates'!$B$4</f>
        <v/>
      </c>
      <c r="I92" s="30" t="n">
        <v>67850</v>
      </c>
      <c r="J92" s="30">
        <f>SUM(F92:H92)</f>
        <v/>
      </c>
      <c r="K92" s="30">
        <f>I92-J92</f>
        <v/>
      </c>
    </row>
    <row r="93">
      <c r="A93" s="23" t="inlineStr">
        <is>
          <t>PRJ-091</t>
        </is>
      </c>
      <c r="B93" s="23" t="inlineStr">
        <is>
          <t>Operations</t>
        </is>
      </c>
      <c r="C93" s="30" t="n">
        <v>38028.89</v>
      </c>
      <c r="D93" s="30" t="n">
        <v>39405.66</v>
      </c>
      <c r="E93" s="30" t="n">
        <v>5391.52</v>
      </c>
      <c r="F93" s="30">
        <f>SUM(C93:E93)</f>
        <v/>
      </c>
      <c r="G93" s="30">
        <f>F93*'Rates'!$B$3</f>
        <v/>
      </c>
      <c r="H93" s="30">
        <f>F93*'Rates'!$B$4</f>
        <v/>
      </c>
      <c r="I93" s="30" t="n">
        <v>101127</v>
      </c>
      <c r="J93" s="30">
        <f>SUM(F93:H93)</f>
        <v/>
      </c>
      <c r="K93" s="30">
        <f>I93-J93</f>
        <v/>
      </c>
    </row>
    <row r="94">
      <c r="A94" s="23" t="inlineStr">
        <is>
          <t>PRJ-092</t>
        </is>
      </c>
      <c r="B94" s="23" t="inlineStr">
        <is>
          <t>Marketing</t>
        </is>
      </c>
      <c r="C94" s="30" t="n">
        <v>35154.6</v>
      </c>
      <c r="D94" s="30" t="n">
        <v>29568.93</v>
      </c>
      <c r="E94" s="30" t="n">
        <v>29.1</v>
      </c>
      <c r="F94" s="30">
        <f>SUM(C94:E94)</f>
        <v/>
      </c>
      <c r="G94" s="30">
        <f>F94*'Rates'!$B$3</f>
        <v/>
      </c>
      <c r="H94" s="30">
        <f>F94*'Rates'!$B$4</f>
        <v/>
      </c>
      <c r="I94" s="30" t="n">
        <v>76928</v>
      </c>
      <c r="J94" s="30">
        <f>SUM(F94:H94)</f>
        <v/>
      </c>
      <c r="K94" s="30">
        <f>I94-J94</f>
        <v/>
      </c>
    </row>
    <row r="95">
      <c r="A95" s="23" t="inlineStr">
        <is>
          <t>PRJ-093</t>
        </is>
      </c>
      <c r="B95" s="23" t="inlineStr">
        <is>
          <t>Research</t>
        </is>
      </c>
      <c r="C95" s="30" t="n">
        <v>39950</v>
      </c>
      <c r="D95" s="30" t="n">
        <v>22623.97</v>
      </c>
      <c r="E95" s="30" t="n">
        <v>2110.57</v>
      </c>
      <c r="F95" s="30">
        <f>SUM(C95:E95)</f>
        <v/>
      </c>
      <c r="G95" s="30">
        <f>F95*'Rates'!$B$3</f>
        <v/>
      </c>
      <c r="H95" s="30">
        <f>F95*'Rates'!$B$4</f>
        <v/>
      </c>
      <c r="I95" s="30" t="n">
        <v>80833</v>
      </c>
      <c r="J95" s="30">
        <f>SUM(F95:H95)</f>
        <v/>
      </c>
      <c r="K95" s="30">
        <f>I95-J95</f>
        <v/>
      </c>
    </row>
    <row r="96">
      <c r="A96" s="23" t="inlineStr">
        <is>
          <t>PRJ-094</t>
        </is>
      </c>
      <c r="B96" s="23" t="inlineStr">
        <is>
          <t>Operations</t>
        </is>
      </c>
      <c r="C96" s="30" t="n">
        <v>36869.32</v>
      </c>
      <c r="D96" s="30" t="n">
        <v>3308.07</v>
      </c>
      <c r="E96" s="30" t="n">
        <v>5994.34</v>
      </c>
      <c r="F96" s="30">
        <f>SUM(C96:E96)</f>
        <v/>
      </c>
      <c r="G96" s="30">
        <f>F96*'Rates'!$B$3</f>
        <v/>
      </c>
      <c r="H96" s="30">
        <f>F96*'Rates'!$B$4</f>
        <v/>
      </c>
      <c r="I96" s="30" t="n">
        <v>58213</v>
      </c>
      <c r="J96" s="30">
        <f>SUM(F96:H96)</f>
        <v/>
      </c>
      <c r="K96" s="30">
        <f>I96-J96</f>
        <v/>
      </c>
    </row>
    <row r="97">
      <c r="A97" s="23" t="inlineStr">
        <is>
          <t>PRJ-095</t>
        </is>
      </c>
      <c r="B97" s="23" t="inlineStr">
        <is>
          <t>Marketing</t>
        </is>
      </c>
      <c r="C97" s="30" t="n">
        <v>12319</v>
      </c>
      <c r="D97" s="30" t="n">
        <v>35577.76</v>
      </c>
      <c r="E97" s="30" t="n">
        <v>4058.49</v>
      </c>
      <c r="F97" s="30">
        <f>SUM(C97:E97)</f>
        <v/>
      </c>
      <c r="G97" s="30">
        <f>F97*'Rates'!$B$3</f>
        <v/>
      </c>
      <c r="H97" s="30">
        <f>F97*'Rates'!$B$4</f>
        <v/>
      </c>
      <c r="I97" s="30" t="n">
        <v>64368</v>
      </c>
      <c r="J97" s="30">
        <f>SUM(F97:H97)</f>
        <v/>
      </c>
      <c r="K97" s="30">
        <f>I97-J97</f>
        <v/>
      </c>
    </row>
    <row r="98">
      <c r="A98" s="23" t="inlineStr">
        <is>
          <t>PRJ-096</t>
        </is>
      </c>
      <c r="B98" s="23" t="inlineStr">
        <is>
          <t>Research</t>
        </is>
      </c>
      <c r="C98" s="30" t="n">
        <v>43477.44</v>
      </c>
      <c r="D98" s="30" t="n">
        <v>5854.9</v>
      </c>
      <c r="E98" s="30" t="n">
        <v>8494.540000000001</v>
      </c>
      <c r="F98" s="30">
        <f>SUM(C98:E98)</f>
        <v/>
      </c>
      <c r="G98" s="30">
        <f>F98*'Rates'!$B$3</f>
        <v/>
      </c>
      <c r="H98" s="30">
        <f>F98*'Rates'!$B$4</f>
        <v/>
      </c>
      <c r="I98" s="30" t="n">
        <v>73455</v>
      </c>
      <c r="J98" s="30">
        <f>SUM(F98:H98)</f>
        <v/>
      </c>
      <c r="K98" s="30">
        <f>I98-J98</f>
        <v/>
      </c>
    </row>
    <row r="99">
      <c r="A99" s="23" t="inlineStr">
        <is>
          <t>PRJ-097</t>
        </is>
      </c>
      <c r="B99" s="23" t="inlineStr">
        <is>
          <t>Marketing</t>
        </is>
      </c>
      <c r="C99" s="30" t="n">
        <v>27268.98</v>
      </c>
      <c r="D99" s="30" t="n">
        <v>21432.32</v>
      </c>
      <c r="E99" s="30" t="n">
        <v>8023.69</v>
      </c>
      <c r="F99" s="30">
        <f>SUM(C99:E99)</f>
        <v/>
      </c>
      <c r="G99" s="30">
        <f>F99*'Rates'!$B$3</f>
        <v/>
      </c>
      <c r="H99" s="30">
        <f>F99*'Rates'!$B$4</f>
        <v/>
      </c>
      <c r="I99" s="30" t="n">
        <v>68448</v>
      </c>
      <c r="J99" s="30">
        <f>SUM(F99:H99)</f>
        <v/>
      </c>
      <c r="K99" s="30">
        <f>I99-J99</f>
        <v/>
      </c>
    </row>
    <row r="100">
      <c r="A100" s="23" t="inlineStr">
        <is>
          <t>PRJ-098</t>
        </is>
      </c>
      <c r="B100" s="23" t="inlineStr">
        <is>
          <t>Research</t>
        </is>
      </c>
      <c r="C100" s="30" t="n">
        <v>21689.19</v>
      </c>
      <c r="D100" s="30" t="n">
        <v>13526.76</v>
      </c>
      <c r="E100" s="30" t="n">
        <v>5533.71</v>
      </c>
      <c r="F100" s="30">
        <f>SUM(C100:E100)</f>
        <v/>
      </c>
      <c r="G100" s="30">
        <f>F100*'Rates'!$B$3</f>
        <v/>
      </c>
      <c r="H100" s="30">
        <f>F100*'Rates'!$B$4</f>
        <v/>
      </c>
      <c r="I100" s="30" t="n">
        <v>48783</v>
      </c>
      <c r="J100" s="30">
        <f>SUM(F100:H100)</f>
        <v/>
      </c>
      <c r="K100" s="30">
        <f>I100-J100</f>
        <v/>
      </c>
    </row>
    <row r="101">
      <c r="A101" s="23" t="inlineStr">
        <is>
          <t>PRJ-099</t>
        </is>
      </c>
      <c r="B101" s="23" t="inlineStr">
        <is>
          <t>Research</t>
        </is>
      </c>
      <c r="C101" s="30" t="n">
        <v>59681.5</v>
      </c>
      <c r="D101" s="30" t="n">
        <v>26168.52</v>
      </c>
      <c r="E101" s="30" t="n">
        <v>4700.46</v>
      </c>
      <c r="F101" s="30">
        <f>SUM(C101:E101)</f>
        <v/>
      </c>
      <c r="G101" s="30">
        <f>F101*'Rates'!$B$3</f>
        <v/>
      </c>
      <c r="H101" s="30">
        <f>F101*'Rates'!$B$4</f>
        <v/>
      </c>
      <c r="I101" s="30" t="n">
        <v>115656</v>
      </c>
      <c r="J101" s="30">
        <f>SUM(F101:H101)</f>
        <v/>
      </c>
      <c r="K101" s="30">
        <f>I101-J101</f>
        <v/>
      </c>
    </row>
    <row r="102">
      <c r="A102" s="23" t="inlineStr">
        <is>
          <t>PRJ-100</t>
        </is>
      </c>
      <c r="B102" s="23" t="inlineStr">
        <is>
          <t>Marketing</t>
        </is>
      </c>
      <c r="C102" s="30" t="n">
        <v>23970.81</v>
      </c>
      <c r="D102" s="30" t="n">
        <v>32314.2</v>
      </c>
      <c r="E102" s="30" t="n">
        <v>4934.71</v>
      </c>
      <c r="F102" s="30">
        <f>SUM(C102:E102)</f>
        <v/>
      </c>
      <c r="G102" s="30">
        <f>F102*'Rates'!$B$3</f>
        <v/>
      </c>
      <c r="H102" s="30">
        <f>F102*'Rates'!$B$4</f>
        <v/>
      </c>
      <c r="I102" s="30" t="n">
        <v>73528</v>
      </c>
      <c r="J102" s="30">
        <f>SUM(F102:H102)</f>
        <v/>
      </c>
      <c r="K102" s="30">
        <f>I102-J102</f>
        <v/>
      </c>
    </row>
    <row r="103">
      <c r="A103" s="23" t="inlineStr">
        <is>
          <t>PRJ-101</t>
        </is>
      </c>
      <c r="B103" s="23" t="inlineStr">
        <is>
          <t>Operations</t>
        </is>
      </c>
      <c r="C103" s="30" t="n">
        <v>5636.96</v>
      </c>
      <c r="D103" s="30" t="n">
        <v>11747.8</v>
      </c>
      <c r="E103" s="30" t="n">
        <v>7838.79</v>
      </c>
      <c r="F103" s="30">
        <f>SUM(C103:E103)</f>
        <v/>
      </c>
      <c r="G103" s="30">
        <f>F103*'Rates'!$B$3</f>
        <v/>
      </c>
      <c r="H103" s="30">
        <f>F103*'Rates'!$B$4</f>
        <v/>
      </c>
      <c r="I103" s="30" t="n">
        <v>31051</v>
      </c>
      <c r="J103" s="30">
        <f>SUM(F103:H103)</f>
        <v/>
      </c>
      <c r="K103" s="30">
        <f>I103-J103</f>
        <v/>
      </c>
    </row>
    <row r="104">
      <c r="A104" s="23" t="inlineStr">
        <is>
          <t>PRJ-102</t>
        </is>
      </c>
      <c r="B104" s="23" t="inlineStr">
        <is>
          <t>Marketing</t>
        </is>
      </c>
      <c r="C104" s="30" t="n">
        <v>63168.22</v>
      </c>
      <c r="D104" s="30" t="n">
        <v>26118.03</v>
      </c>
      <c r="E104" s="30" t="n">
        <v>6116.74</v>
      </c>
      <c r="F104" s="30">
        <f>SUM(C104:E104)</f>
        <v/>
      </c>
      <c r="G104" s="30">
        <f>F104*'Rates'!$B$3</f>
        <v/>
      </c>
      <c r="H104" s="30">
        <f>F104*'Rates'!$B$4</f>
        <v/>
      </c>
      <c r="I104" s="30" t="n">
        <v>123142</v>
      </c>
      <c r="J104" s="30">
        <f>SUM(F104:H104)</f>
        <v/>
      </c>
      <c r="K104" s="30">
        <f>I104-J104</f>
        <v/>
      </c>
    </row>
    <row r="105">
      <c r="A105" s="23" t="inlineStr">
        <is>
          <t>PRJ-103</t>
        </is>
      </c>
      <c r="B105" s="23" t="inlineStr">
        <is>
          <t>Research</t>
        </is>
      </c>
      <c r="C105" s="30" t="n">
        <v>30215.72</v>
      </c>
      <c r="D105" s="30" t="n">
        <v>18769.12</v>
      </c>
      <c r="E105" s="30" t="n">
        <v>7454.15</v>
      </c>
      <c r="F105" s="30">
        <f>SUM(C105:E105)</f>
        <v/>
      </c>
      <c r="G105" s="30">
        <f>F105*'Rates'!$B$3</f>
        <v/>
      </c>
      <c r="H105" s="30">
        <f>F105*'Rates'!$B$4</f>
        <v/>
      </c>
      <c r="I105" s="30" t="n">
        <v>70797</v>
      </c>
      <c r="J105" s="30">
        <f>SUM(F105:H105)</f>
        <v/>
      </c>
      <c r="K105" s="30">
        <f>I105-J105</f>
        <v/>
      </c>
    </row>
    <row r="106">
      <c r="A106" s="23" t="inlineStr">
        <is>
          <t>PRJ-104</t>
        </is>
      </c>
      <c r="B106" s="23" t="inlineStr">
        <is>
          <t>Marketing</t>
        </is>
      </c>
      <c r="C106" s="30" t="n">
        <v>35233.68</v>
      </c>
      <c r="D106" s="30" t="n">
        <v>34324.84</v>
      </c>
      <c r="E106" s="30" t="n">
        <v>1716.46</v>
      </c>
      <c r="F106" s="30">
        <f>SUM(C106:E106)</f>
        <v/>
      </c>
      <c r="G106" s="30">
        <f>F106*'Rates'!$B$3</f>
        <v/>
      </c>
      <c r="H106" s="30">
        <f>F106*'Rates'!$B$4</f>
        <v/>
      </c>
      <c r="I106" s="30" t="n">
        <v>91869</v>
      </c>
      <c r="J106" s="30">
        <f>SUM(F106:H106)</f>
        <v/>
      </c>
      <c r="K106" s="30">
        <f>I106-J106</f>
        <v/>
      </c>
    </row>
    <row r="107">
      <c r="A107" s="23" t="inlineStr">
        <is>
          <t>PRJ-105</t>
        </is>
      </c>
      <c r="B107" s="23" t="inlineStr">
        <is>
          <t>Research</t>
        </is>
      </c>
      <c r="C107" s="30" t="n">
        <v>27101.14</v>
      </c>
      <c r="D107" s="30" t="n">
        <v>5757.21</v>
      </c>
      <c r="E107" s="30" t="n">
        <v>2931.45</v>
      </c>
      <c r="F107" s="30">
        <f>SUM(C107:E107)</f>
        <v/>
      </c>
      <c r="G107" s="30">
        <f>F107*'Rates'!$B$3</f>
        <v/>
      </c>
      <c r="H107" s="30">
        <f>F107*'Rates'!$B$4</f>
        <v/>
      </c>
      <c r="I107" s="30" t="n">
        <v>46178</v>
      </c>
      <c r="J107" s="30">
        <f>SUM(F107:H107)</f>
        <v/>
      </c>
      <c r="K107" s="30">
        <f>I107-J107</f>
        <v/>
      </c>
    </row>
    <row r="108">
      <c r="A108" s="23" t="inlineStr">
        <is>
          <t>PRJ-106</t>
        </is>
      </c>
      <c r="B108" s="23" t="inlineStr">
        <is>
          <t>Marketing</t>
        </is>
      </c>
      <c r="C108" s="30" t="n">
        <v>19846.97</v>
      </c>
      <c r="D108" s="30" t="n">
        <v>5167.87</v>
      </c>
      <c r="E108" s="30" t="n">
        <v>5052.38</v>
      </c>
      <c r="F108" s="30">
        <f>SUM(C108:E108)</f>
        <v/>
      </c>
      <c r="G108" s="30">
        <f>F108*'Rates'!$B$3</f>
        <v/>
      </c>
      <c r="H108" s="30">
        <f>F108*'Rates'!$B$4</f>
        <v/>
      </c>
      <c r="I108" s="30" t="n">
        <v>38052</v>
      </c>
      <c r="J108" s="30">
        <f>SUM(F108:H108)</f>
        <v/>
      </c>
      <c r="K108" s="30">
        <f>I108-J108</f>
        <v/>
      </c>
    </row>
    <row r="109">
      <c r="A109" s="23" t="inlineStr">
        <is>
          <t>PRJ-107</t>
        </is>
      </c>
      <c r="B109" s="23" t="inlineStr">
        <is>
          <t>Research</t>
        </is>
      </c>
      <c r="C109" s="30" t="n">
        <v>27949.96</v>
      </c>
      <c r="D109" s="30" t="n">
        <v>33840.61</v>
      </c>
      <c r="E109" s="30" t="n">
        <v>6184.33</v>
      </c>
      <c r="F109" s="30">
        <f>SUM(C109:E109)</f>
        <v/>
      </c>
      <c r="G109" s="30">
        <f>F109*'Rates'!$B$3</f>
        <v/>
      </c>
      <c r="H109" s="30">
        <f>F109*'Rates'!$B$4</f>
        <v/>
      </c>
      <c r="I109" s="30" t="n">
        <v>84153</v>
      </c>
      <c r="J109" s="30">
        <f>SUM(F109:H109)</f>
        <v/>
      </c>
      <c r="K109" s="30">
        <f>I109-J109</f>
        <v/>
      </c>
    </row>
    <row r="110">
      <c r="A110" s="23" t="inlineStr">
        <is>
          <t>PRJ-108</t>
        </is>
      </c>
      <c r="B110" s="23" t="inlineStr">
        <is>
          <t>Marketing</t>
        </is>
      </c>
      <c r="C110" s="30" t="n">
        <v>24285.21</v>
      </c>
      <c r="D110" s="30" t="n">
        <v>39846.88</v>
      </c>
      <c r="E110" s="30" t="n">
        <v>9835.969999999999</v>
      </c>
      <c r="F110" s="30">
        <f>SUM(C110:E110)</f>
        <v/>
      </c>
      <c r="G110" s="30">
        <f>F110*'Rates'!$B$3</f>
        <v/>
      </c>
      <c r="H110" s="30">
        <f>F110*'Rates'!$B$4</f>
        <v/>
      </c>
      <c r="I110" s="30" t="n">
        <v>88551</v>
      </c>
      <c r="J110" s="30">
        <f>SUM(F110:H110)</f>
        <v/>
      </c>
      <c r="K110" s="30">
        <f>I110-J110</f>
        <v/>
      </c>
    </row>
    <row r="111">
      <c r="A111" s="23" t="inlineStr">
        <is>
          <t>PRJ-109</t>
        </is>
      </c>
      <c r="B111" s="23" t="inlineStr">
        <is>
          <t>Operations</t>
        </is>
      </c>
      <c r="C111" s="30" t="n">
        <v>8966.059999999999</v>
      </c>
      <c r="D111" s="30" t="n">
        <v>32464.86</v>
      </c>
      <c r="E111" s="30" t="n">
        <v>404.79</v>
      </c>
      <c r="F111" s="30">
        <f>SUM(C111:E111)</f>
        <v/>
      </c>
      <c r="G111" s="30">
        <f>F111*'Rates'!$B$3</f>
        <v/>
      </c>
      <c r="H111" s="30">
        <f>F111*'Rates'!$B$4</f>
        <v/>
      </c>
      <c r="I111" s="30" t="n">
        <v>50815</v>
      </c>
      <c r="J111" s="30">
        <f>SUM(F111:H111)</f>
        <v/>
      </c>
      <c r="K111" s="30">
        <f>I111-J111</f>
        <v/>
      </c>
    </row>
    <row r="112">
      <c r="A112" s="23" t="inlineStr">
        <is>
          <t>PRJ-110</t>
        </is>
      </c>
      <c r="B112" s="23" t="inlineStr">
        <is>
          <t>Operations</t>
        </is>
      </c>
      <c r="C112" s="30" t="n">
        <v>37418.83</v>
      </c>
      <c r="D112" s="30" t="n">
        <v>2772.35</v>
      </c>
      <c r="E112" s="30" t="n">
        <v>1162.25</v>
      </c>
      <c r="F112" s="30">
        <f>SUM(C112:E112)</f>
        <v/>
      </c>
      <c r="G112" s="30">
        <f>F112*'Rates'!$B$3</f>
        <v/>
      </c>
      <c r="H112" s="30">
        <f>F112*'Rates'!$B$4</f>
        <v/>
      </c>
      <c r="I112" s="30" t="n">
        <v>50173</v>
      </c>
      <c r="J112" s="30">
        <f>SUM(F112:H112)</f>
        <v/>
      </c>
      <c r="K112" s="30">
        <f>I112-J112</f>
        <v/>
      </c>
    </row>
    <row r="113">
      <c r="A113" s="23" t="inlineStr">
        <is>
          <t>PRJ-111</t>
        </is>
      </c>
      <c r="B113" s="23" t="inlineStr">
        <is>
          <t>Research</t>
        </is>
      </c>
      <c r="C113" s="30" t="n">
        <v>7490.74</v>
      </c>
      <c r="D113" s="30" t="n">
        <v>33612.98</v>
      </c>
      <c r="E113" s="30" t="n">
        <v>6551.78</v>
      </c>
      <c r="F113" s="30">
        <f>SUM(C113:E113)</f>
        <v/>
      </c>
      <c r="G113" s="30">
        <f>F113*'Rates'!$B$3</f>
        <v/>
      </c>
      <c r="H113" s="30">
        <f>F113*'Rates'!$B$4</f>
        <v/>
      </c>
      <c r="I113" s="30" t="n">
        <v>60204</v>
      </c>
      <c r="J113" s="30">
        <f>SUM(F113:H113)</f>
        <v/>
      </c>
      <c r="K113" s="30">
        <f>I113-J113</f>
        <v/>
      </c>
    </row>
    <row r="114">
      <c r="A114" s="23" t="inlineStr">
        <is>
          <t>PRJ-112</t>
        </is>
      </c>
      <c r="B114" s="23" t="inlineStr">
        <is>
          <t>Operations</t>
        </is>
      </c>
      <c r="C114" s="30" t="n">
        <v>26565.65</v>
      </c>
      <c r="D114" s="30" t="n">
        <v>38372.02</v>
      </c>
      <c r="E114" s="30" t="n">
        <v>3127.18</v>
      </c>
      <c r="F114" s="30">
        <f>SUM(C114:E114)</f>
        <v/>
      </c>
      <c r="G114" s="30">
        <f>F114*'Rates'!$B$3</f>
        <v/>
      </c>
      <c r="H114" s="30">
        <f>F114*'Rates'!$B$4</f>
        <v/>
      </c>
      <c r="I114" s="30" t="n">
        <v>80598</v>
      </c>
      <c r="J114" s="30">
        <f>SUM(F114:H114)</f>
        <v/>
      </c>
      <c r="K114" s="30">
        <f>I114-J114</f>
        <v/>
      </c>
    </row>
    <row r="115">
      <c r="A115" s="23" t="inlineStr">
        <is>
          <t>PRJ-113</t>
        </is>
      </c>
      <c r="B115" s="23" t="inlineStr">
        <is>
          <t>Operations</t>
        </is>
      </c>
      <c r="C115" s="30" t="n">
        <v>41862.81</v>
      </c>
      <c r="D115" s="30" t="n">
        <v>38480.62</v>
      </c>
      <c r="E115" s="30" t="n">
        <v>1127.03</v>
      </c>
      <c r="F115" s="30">
        <f>SUM(C115:E115)</f>
        <v/>
      </c>
      <c r="G115" s="30">
        <f>F115*'Rates'!$B$3</f>
        <v/>
      </c>
      <c r="H115" s="30">
        <f>F115*'Rates'!$B$4</f>
        <v/>
      </c>
      <c r="I115" s="30" t="n">
        <v>97528</v>
      </c>
      <c r="J115" s="30">
        <f>SUM(F115:H115)</f>
        <v/>
      </c>
      <c r="K115" s="30">
        <f>I115-J115</f>
        <v/>
      </c>
    </row>
    <row r="116">
      <c r="A116" s="23" t="inlineStr">
        <is>
          <t>PRJ-114</t>
        </is>
      </c>
      <c r="B116" s="23" t="inlineStr">
        <is>
          <t>Technology</t>
        </is>
      </c>
      <c r="C116" s="30" t="n">
        <v>27527.53</v>
      </c>
      <c r="D116" s="30" t="n">
        <v>29535.78</v>
      </c>
      <c r="E116" s="30" t="n">
        <v>1676.95</v>
      </c>
      <c r="F116" s="30">
        <f>SUM(C116:E116)</f>
        <v/>
      </c>
      <c r="G116" s="30">
        <f>F116*'Rates'!$B$3</f>
        <v/>
      </c>
      <c r="H116" s="30">
        <f>F116*'Rates'!$B$4</f>
        <v/>
      </c>
      <c r="I116" s="30" t="n">
        <v>72774</v>
      </c>
      <c r="J116" s="30">
        <f>SUM(F116:H116)</f>
        <v/>
      </c>
      <c r="K116" s="30">
        <f>I116-J116</f>
        <v/>
      </c>
    </row>
    <row r="117">
      <c r="A117" s="23" t="inlineStr">
        <is>
          <t>PRJ-115</t>
        </is>
      </c>
      <c r="B117" s="23" t="inlineStr">
        <is>
          <t>Technology</t>
        </is>
      </c>
      <c r="C117" s="30" t="n">
        <v>9328.459999999999</v>
      </c>
      <c r="D117" s="30" t="n">
        <v>9244.27</v>
      </c>
      <c r="E117" s="30" t="n">
        <v>7249.43</v>
      </c>
      <c r="F117" s="30">
        <f>SUM(C117:E117)</f>
        <v/>
      </c>
      <c r="G117" s="30">
        <f>F117*'Rates'!$B$3</f>
        <v/>
      </c>
      <c r="H117" s="30">
        <f>F117*'Rates'!$B$4</f>
        <v/>
      </c>
      <c r="I117" s="30" t="n">
        <v>33160</v>
      </c>
      <c r="J117" s="30">
        <f>SUM(F117:H117)</f>
        <v/>
      </c>
      <c r="K117" s="30">
        <f>I117-J117</f>
        <v/>
      </c>
    </row>
    <row r="118">
      <c r="A118" s="23" t="inlineStr">
        <is>
          <t>PRJ-116</t>
        </is>
      </c>
      <c r="B118" s="23" t="inlineStr">
        <is>
          <t>Operations</t>
        </is>
      </c>
      <c r="C118" s="30" t="n">
        <v>64125.4</v>
      </c>
      <c r="D118" s="30" t="n">
        <v>22960.67</v>
      </c>
      <c r="E118" s="30" t="n">
        <v>7331.81</v>
      </c>
      <c r="F118" s="30">
        <f>SUM(C118:E118)</f>
        <v/>
      </c>
      <c r="G118" s="30">
        <f>F118*'Rates'!$B$3</f>
        <v/>
      </c>
      <c r="H118" s="30">
        <f>F118*'Rates'!$B$4</f>
        <v/>
      </c>
      <c r="I118" s="30" t="n">
        <v>119053</v>
      </c>
      <c r="J118" s="30">
        <f>SUM(F118:H118)</f>
        <v/>
      </c>
      <c r="K118" s="30">
        <f>I118-J118</f>
        <v/>
      </c>
    </row>
    <row r="119">
      <c r="A119" s="23" t="inlineStr">
        <is>
          <t>PRJ-117</t>
        </is>
      </c>
      <c r="B119" s="23" t="inlineStr">
        <is>
          <t>Technology</t>
        </is>
      </c>
      <c r="C119" s="30" t="n">
        <v>9710.700000000001</v>
      </c>
      <c r="D119" s="30" t="n">
        <v>18484.33</v>
      </c>
      <c r="E119" s="30" t="n">
        <v>8992.209999999999</v>
      </c>
      <c r="F119" s="30">
        <f>SUM(C119:E119)</f>
        <v/>
      </c>
      <c r="G119" s="30">
        <f>F119*'Rates'!$B$3</f>
        <v/>
      </c>
      <c r="H119" s="30">
        <f>F119*'Rates'!$B$4</f>
        <v/>
      </c>
      <c r="I119" s="30" t="n">
        <v>47952</v>
      </c>
      <c r="J119" s="30">
        <f>SUM(F119:H119)</f>
        <v/>
      </c>
      <c r="K119" s="30">
        <f>I119-J119</f>
        <v/>
      </c>
    </row>
    <row r="120">
      <c r="A120" s="23" t="inlineStr">
        <is>
          <t>PRJ-118</t>
        </is>
      </c>
      <c r="B120" s="23" t="inlineStr">
        <is>
          <t>Operations</t>
        </is>
      </c>
      <c r="C120" s="30" t="n">
        <v>35641.91</v>
      </c>
      <c r="D120" s="30" t="n">
        <v>20604.18</v>
      </c>
      <c r="E120" s="30" t="n">
        <v>6445.54</v>
      </c>
      <c r="F120" s="30">
        <f>SUM(C120:E120)</f>
        <v/>
      </c>
      <c r="G120" s="30">
        <f>F120*'Rates'!$B$3</f>
        <v/>
      </c>
      <c r="H120" s="30">
        <f>F120*'Rates'!$B$3</f>
        <v/>
      </c>
      <c r="I120" s="30" t="n">
        <v>77329</v>
      </c>
      <c r="J120" s="30">
        <f>SUM(F120:H120)</f>
        <v/>
      </c>
      <c r="K120" s="30">
        <f>I120-J120</f>
        <v/>
      </c>
    </row>
    <row r="121">
      <c r="A121" s="23" t="inlineStr">
        <is>
          <t>PRJ-119</t>
        </is>
      </c>
      <c r="B121" s="23" t="inlineStr">
        <is>
          <t>Marketing</t>
        </is>
      </c>
      <c r="C121" s="30" t="n">
        <v>5510.19</v>
      </c>
      <c r="D121" s="30" t="n">
        <v>35452.86</v>
      </c>
      <c r="E121" s="30" t="n">
        <v>4418.61</v>
      </c>
      <c r="F121" s="30">
        <f>SUM(C121:E121)</f>
        <v/>
      </c>
      <c r="G121" s="30">
        <f>F121*'Rates'!$B$3</f>
        <v/>
      </c>
      <c r="H121" s="30">
        <f>F121*'Rates'!$B$4</f>
        <v/>
      </c>
      <c r="I121" s="30" t="n">
        <v>57698</v>
      </c>
      <c r="J121" s="30">
        <f>SUM(F121:H121)</f>
        <v/>
      </c>
      <c r="K121" s="30">
        <f>I121-J121</f>
        <v/>
      </c>
    </row>
    <row r="122">
      <c r="A122" s="23" t="inlineStr">
        <is>
          <t>PRJ-120</t>
        </is>
      </c>
      <c r="B122" s="23" t="inlineStr">
        <is>
          <t>Research</t>
        </is>
      </c>
      <c r="C122" s="30" t="n">
        <v>26987.41</v>
      </c>
      <c r="D122" s="30" t="n">
        <v>25620.89</v>
      </c>
      <c r="E122" s="30" t="n">
        <v>9991.950000000001</v>
      </c>
      <c r="F122" s="30">
        <f>SUM(C122:E122)</f>
        <v/>
      </c>
      <c r="G122" s="30">
        <f>F122*'Rates'!$B$3</f>
        <v/>
      </c>
      <c r="H122" s="30">
        <f>F122*'Rates'!$B$4</f>
        <v/>
      </c>
      <c r="I122" s="30" t="n">
        <v>77234</v>
      </c>
      <c r="J122" s="30">
        <f>SUM(F122:H122)</f>
        <v/>
      </c>
      <c r="K122" s="30">
        <f>I122-J122</f>
        <v/>
      </c>
    </row>
    <row r="123">
      <c r="A123" s="23" t="inlineStr">
        <is>
          <t>PRJ-121</t>
        </is>
      </c>
      <c r="B123" s="23" t="inlineStr">
        <is>
          <t>Marketing</t>
        </is>
      </c>
      <c r="C123" s="30" t="n">
        <v>46977.44</v>
      </c>
      <c r="D123" s="30" t="n">
        <v>30428.72</v>
      </c>
      <c r="E123" s="30" t="n">
        <v>4427.48</v>
      </c>
      <c r="F123" s="30">
        <f>SUM(C123:E123)</f>
        <v/>
      </c>
      <c r="G123" s="30">
        <f>F123*'Rates'!$B$3</f>
        <v/>
      </c>
      <c r="H123" s="30">
        <f>F123*'Rates'!$B$4</f>
        <v/>
      </c>
      <c r="I123" s="30" t="n">
        <v>100531</v>
      </c>
      <c r="J123" s="30">
        <f>SUM(F123:H123)</f>
        <v/>
      </c>
      <c r="K123" s="30">
        <f>I123-J123</f>
        <v/>
      </c>
    </row>
    <row r="124">
      <c r="A124" s="23" t="inlineStr">
        <is>
          <t>PRJ-122</t>
        </is>
      </c>
      <c r="B124" s="23" t="inlineStr">
        <is>
          <t>Operations</t>
        </is>
      </c>
      <c r="C124" s="30" t="n">
        <v>18310.87</v>
      </c>
      <c r="D124" s="30" t="n">
        <v>8269.700000000001</v>
      </c>
      <c r="E124" s="30" t="n">
        <v>3939.85</v>
      </c>
      <c r="F124" s="30">
        <f>SUM(C124:E124)</f>
        <v/>
      </c>
      <c r="G124" s="30">
        <f>F124*'Rates'!$B$3</f>
        <v/>
      </c>
      <c r="H124" s="30">
        <f>F124*'Rates'!$B$4</f>
        <v/>
      </c>
      <c r="I124" s="30" t="n">
        <v>36614</v>
      </c>
      <c r="J124" s="30">
        <f>SUM(F124:H124)</f>
        <v/>
      </c>
      <c r="K124" s="30">
        <f>I124-J124</f>
        <v/>
      </c>
    </row>
    <row r="125">
      <c r="A125" s="23" t="inlineStr">
        <is>
          <t>PRJ-123</t>
        </is>
      </c>
      <c r="B125" s="23" t="inlineStr">
        <is>
          <t>Marketing</t>
        </is>
      </c>
      <c r="C125" s="30" t="n">
        <v>19196.44</v>
      </c>
      <c r="D125" s="30" t="n">
        <v>9756.370000000001</v>
      </c>
      <c r="E125" s="30" t="n">
        <v>8583.23</v>
      </c>
      <c r="F125" s="30">
        <f>SUM(C125:E125)</f>
        <v/>
      </c>
      <c r="G125" s="30">
        <f>F125*'Rates'!$B$3</f>
        <v/>
      </c>
      <c r="H125" s="30">
        <f>F125*'Rates'!$B$4</f>
        <v/>
      </c>
      <c r="I125" s="30" t="n">
        <v>45836</v>
      </c>
      <c r="J125" s="30">
        <f>SUM(F125:H125)</f>
        <v/>
      </c>
      <c r="K125" s="30">
        <f>I125-J125</f>
        <v/>
      </c>
    </row>
    <row r="126">
      <c r="A126" s="23" t="inlineStr">
        <is>
          <t>PRJ-124</t>
        </is>
      </c>
      <c r="B126" s="23" t="inlineStr">
        <is>
          <t>Operations</t>
        </is>
      </c>
      <c r="C126" s="30" t="n">
        <v>12851.05</v>
      </c>
      <c r="D126" s="30" t="n">
        <v>34464.82</v>
      </c>
      <c r="E126" s="30" t="n">
        <v>8714.24</v>
      </c>
      <c r="F126" s="30">
        <f>SUM(C126:E126)</f>
        <v/>
      </c>
      <c r="G126" s="30">
        <f>F126*'Rates'!$B$3</f>
        <v/>
      </c>
      <c r="H126" s="30">
        <f>F126*'Rates'!$B$4</f>
        <v/>
      </c>
      <c r="I126" s="30" t="n">
        <v>67208</v>
      </c>
      <c r="J126" s="30">
        <f>SUM(F126:H126)</f>
        <v/>
      </c>
      <c r="K126" s="30">
        <f>I126-J126</f>
        <v/>
      </c>
    </row>
    <row r="127">
      <c r="A127" s="23" t="inlineStr">
        <is>
          <t>PRJ-125</t>
        </is>
      </c>
      <c r="B127" s="23" t="inlineStr">
        <is>
          <t>Technology</t>
        </is>
      </c>
      <c r="C127" s="30" t="n">
        <v>53457.54</v>
      </c>
      <c r="D127" s="30" t="n">
        <v>35816.81</v>
      </c>
      <c r="E127" s="30" t="n">
        <v>5086.17</v>
      </c>
      <c r="F127" s="30">
        <f>SUM(C127:E127)</f>
        <v/>
      </c>
      <c r="G127" s="30">
        <f>F127*'Rates'!$B$3</f>
        <v/>
      </c>
      <c r="H127" s="30">
        <f>F127*'Rates'!$B$4</f>
        <v/>
      </c>
      <c r="I127" s="30" t="n">
        <v>111397</v>
      </c>
      <c r="J127" s="30">
        <f>SUM(F127:H127)</f>
        <v/>
      </c>
      <c r="K127" s="30">
        <f>I127-J127</f>
        <v/>
      </c>
    </row>
    <row r="128">
      <c r="A128" s="23" t="inlineStr">
        <is>
          <t>PRJ-126</t>
        </is>
      </c>
      <c r="B128" s="23" t="inlineStr">
        <is>
          <t>Operations</t>
        </is>
      </c>
      <c r="C128" s="30" t="n">
        <v>62499.37</v>
      </c>
      <c r="D128" s="30" t="n">
        <v>31477.75</v>
      </c>
      <c r="E128" s="30" t="n">
        <v>8894.389999999999</v>
      </c>
      <c r="F128" s="30">
        <f>SUM(C128:E128)</f>
        <v/>
      </c>
      <c r="G128" s="30">
        <f>F128*'Rates'!$B$3</f>
        <v/>
      </c>
      <c r="H128" s="30">
        <f>F128*'Rates'!$B$4</f>
        <v/>
      </c>
      <c r="I128" s="30" t="n">
        <v>129511</v>
      </c>
      <c r="J128" s="30">
        <f>SUM(F128:H128)</f>
        <v/>
      </c>
      <c r="K128" s="30">
        <f>I128-J128</f>
        <v/>
      </c>
    </row>
    <row r="129">
      <c r="A129" s="23" t="inlineStr">
        <is>
          <t>PRJ-127</t>
        </is>
      </c>
      <c r="B129" s="23" t="inlineStr">
        <is>
          <t>Research</t>
        </is>
      </c>
      <c r="C129" s="30" t="n">
        <v>29335.86</v>
      </c>
      <c r="D129" s="30" t="n">
        <v>8122.2</v>
      </c>
      <c r="E129" s="30" t="n">
        <v>7766.41</v>
      </c>
      <c r="F129" s="30">
        <f>SUM(C129:E129)</f>
        <v/>
      </c>
      <c r="G129" s="30">
        <f>F129*'Rates'!$B$3</f>
        <v/>
      </c>
      <c r="H129" s="30">
        <f>F129*'Rates'!$B$4</f>
        <v/>
      </c>
      <c r="I129" s="30" t="n">
        <v>54018</v>
      </c>
      <c r="J129" s="30">
        <f>SUM(F129:H129)</f>
        <v/>
      </c>
      <c r="K129" s="30">
        <f>I129-J129</f>
        <v/>
      </c>
    </row>
    <row r="130">
      <c r="A130" s="23" t="inlineStr">
        <is>
          <t>PRJ-128</t>
        </is>
      </c>
      <c r="B130" s="23" t="inlineStr">
        <is>
          <t>Operations</t>
        </is>
      </c>
      <c r="C130" s="30" t="n">
        <v>27860.83</v>
      </c>
      <c r="D130" s="30" t="n">
        <v>21969.81</v>
      </c>
      <c r="E130" s="30" t="n">
        <v>8409.690000000001</v>
      </c>
      <c r="F130" s="30">
        <f>SUM(C130:E130)</f>
        <v/>
      </c>
      <c r="G130" s="30">
        <f>F130*'Rates'!$B$3</f>
        <v/>
      </c>
      <c r="H130" s="30">
        <f>F130*'Rates'!$B$4</f>
        <v/>
      </c>
      <c r="I130" s="30" t="n">
        <v>72239</v>
      </c>
      <c r="J130" s="30">
        <f>SUM(F130:H130)</f>
        <v/>
      </c>
      <c r="K130" s="30">
        <f>I130-J130</f>
        <v/>
      </c>
    </row>
    <row r="131">
      <c r="A131" s="23" t="inlineStr">
        <is>
          <t>PRJ-129</t>
        </is>
      </c>
      <c r="B131" s="23" t="inlineStr">
        <is>
          <t>Operations</t>
        </is>
      </c>
      <c r="C131" s="30" t="n">
        <v>21593.88</v>
      </c>
      <c r="D131" s="30" t="n">
        <v>11288.32</v>
      </c>
      <c r="E131" s="30" t="n">
        <v>9881.809999999999</v>
      </c>
      <c r="F131" s="30">
        <f>SUM(C131:E131)</f>
        <v/>
      </c>
      <c r="G131" s="30">
        <f>F131*'Rates'!$B$3</f>
        <v/>
      </c>
      <c r="H131" s="30">
        <f>F131*'Rates'!$B$4</f>
        <v/>
      </c>
      <c r="I131" s="30" t="n">
        <v>54861</v>
      </c>
      <c r="J131" s="30">
        <f>SUM(F131:H131)</f>
        <v/>
      </c>
      <c r="K131" s="30">
        <f>I131-J131</f>
        <v/>
      </c>
    </row>
    <row r="132">
      <c r="A132" s="23" t="inlineStr">
        <is>
          <t>PRJ-130</t>
        </is>
      </c>
      <c r="B132" s="23" t="inlineStr">
        <is>
          <t>Research</t>
        </is>
      </c>
      <c r="C132" s="30" t="n">
        <v>69231.14999999999</v>
      </c>
      <c r="D132" s="30" t="n">
        <v>25173.5</v>
      </c>
      <c r="E132" s="30" t="n">
        <v>7880.15</v>
      </c>
      <c r="F132" s="30">
        <f>SUM(C132:E132)</f>
        <v/>
      </c>
      <c r="G132" s="30">
        <f>F132*'Rates'!$B$3</f>
        <v/>
      </c>
      <c r="H132" s="30">
        <f>F132*'Rates'!$B$4</f>
        <v/>
      </c>
      <c r="I132" s="30" t="n">
        <v>131874</v>
      </c>
      <c r="J132" s="30">
        <f>SUM(F132:H132)</f>
        <v/>
      </c>
      <c r="K132" s="30">
        <f>I132-J132</f>
        <v/>
      </c>
    </row>
    <row r="133">
      <c r="A133" s="23" t="inlineStr">
        <is>
          <t>PRJ-131</t>
        </is>
      </c>
      <c r="B133" s="23" t="inlineStr">
        <is>
          <t>Operations</t>
        </is>
      </c>
      <c r="C133" s="30" t="n">
        <v>12538.85</v>
      </c>
      <c r="D133" s="30" t="n">
        <v>17418.48</v>
      </c>
      <c r="E133" s="30" t="n">
        <v>1429.33</v>
      </c>
      <c r="F133" s="30">
        <f>SUM(C133:E133)</f>
        <v/>
      </c>
      <c r="G133" s="30">
        <f>F133*'Rates'!$B$3</f>
        <v/>
      </c>
      <c r="H133" s="30">
        <f>F133*'Rates'!$B$4</f>
        <v/>
      </c>
      <c r="I133" s="30" t="n">
        <v>38929</v>
      </c>
      <c r="J133" s="30">
        <f>SUM(F133:H133)</f>
        <v/>
      </c>
      <c r="K133" s="30">
        <f>I133-J133</f>
        <v/>
      </c>
    </row>
    <row r="134">
      <c r="A134" s="23" t="inlineStr">
        <is>
          <t>PRJ-132</t>
        </is>
      </c>
      <c r="B134" s="23" t="inlineStr">
        <is>
          <t>Operations</t>
        </is>
      </c>
      <c r="C134" s="30" t="n">
        <v>33571.04</v>
      </c>
      <c r="D134" s="30" t="n">
        <v>12917.05</v>
      </c>
      <c r="E134" s="30" t="n">
        <v>5410.31</v>
      </c>
      <c r="F134" s="30">
        <f>SUM(C134:E134)</f>
        <v/>
      </c>
      <c r="G134" s="30">
        <f>F134*'Rates'!$B$3</f>
        <v/>
      </c>
      <c r="H134" s="30">
        <f>F134*'Rates'!$B$4</f>
        <v/>
      </c>
      <c r="I134" s="30" t="n">
        <v>64908</v>
      </c>
      <c r="J134" s="30">
        <f>SUM(F134:H134)</f>
        <v/>
      </c>
      <c r="K134" s="30">
        <f>I134-J134</f>
        <v/>
      </c>
    </row>
    <row r="135">
      <c r="A135" s="23" t="inlineStr">
        <is>
          <t>PRJ-133</t>
        </is>
      </c>
      <c r="B135" s="23" t="inlineStr">
        <is>
          <t>Operations</t>
        </is>
      </c>
      <c r="C135" s="30" t="n">
        <v>13169.32</v>
      </c>
      <c r="D135" s="30" t="n">
        <v>26269.11</v>
      </c>
      <c r="E135" s="30" t="n">
        <v>3120</v>
      </c>
      <c r="F135" s="30">
        <f>SUM(C135:E135)</f>
        <v/>
      </c>
      <c r="G135" s="30">
        <f>F135*'Rates'!$B$3</f>
        <v/>
      </c>
      <c r="H135" s="30">
        <f>F135*'Rates'!$B$4</f>
        <v/>
      </c>
      <c r="I135" s="30" t="n">
        <v>55161</v>
      </c>
      <c r="J135" s="30">
        <f>SUM(F135:H135)</f>
        <v/>
      </c>
      <c r="K135" s="30">
        <f>I135-J135</f>
        <v/>
      </c>
    </row>
    <row r="136">
      <c r="A136" s="23" t="inlineStr">
        <is>
          <t>PRJ-134</t>
        </is>
      </c>
      <c r="B136" s="23" t="inlineStr">
        <is>
          <t>Operations</t>
        </is>
      </c>
      <c r="C136" s="30" t="n">
        <v>69325.57000000001</v>
      </c>
      <c r="D136" s="30" t="n">
        <v>37953.3</v>
      </c>
      <c r="E136" s="30" t="n">
        <v>5434.52</v>
      </c>
      <c r="F136" s="30">
        <f>SUM(C136:E136)</f>
        <v/>
      </c>
      <c r="G136" s="30">
        <f>F136*'Rates'!$B$3</f>
        <v/>
      </c>
      <c r="H136" s="30">
        <f>F136*'Rates'!$B$4</f>
        <v/>
      </c>
      <c r="I136" s="30" t="n">
        <v>139591</v>
      </c>
      <c r="J136" s="30">
        <f>SUM(F136:H136)</f>
        <v/>
      </c>
      <c r="K136" s="30">
        <f>I136-J136</f>
        <v/>
      </c>
    </row>
    <row r="137">
      <c r="A137" s="23" t="inlineStr">
        <is>
          <t>PRJ-135</t>
        </is>
      </c>
      <c r="B137" s="23" t="inlineStr">
        <is>
          <t>Marketing</t>
        </is>
      </c>
      <c r="C137" s="30" t="n">
        <v>52866.88</v>
      </c>
      <c r="D137" s="30" t="n">
        <v>17671.67</v>
      </c>
      <c r="E137" s="30" t="n">
        <v>4032.87</v>
      </c>
      <c r="F137" s="30">
        <f>SUM(C137:E137)</f>
        <v/>
      </c>
      <c r="G137" s="30">
        <f>F137*'Rates'!$B$3</f>
        <v/>
      </c>
      <c r="H137" s="30">
        <f>F137*'Rates'!$B$4</f>
        <v/>
      </c>
      <c r="I137" s="30" t="n">
        <v>90619</v>
      </c>
      <c r="J137" s="30">
        <f>SUM(F137:H137)</f>
        <v/>
      </c>
      <c r="K137" s="30">
        <f>I137-J137</f>
        <v/>
      </c>
    </row>
    <row r="138">
      <c r="A138" s="23" t="inlineStr">
        <is>
          <t>PRJ-136</t>
        </is>
      </c>
      <c r="B138" s="23" t="inlineStr">
        <is>
          <t>Marketing</t>
        </is>
      </c>
      <c r="C138" s="30" t="n">
        <v>14622.75</v>
      </c>
      <c r="D138" s="30" t="n">
        <v>23109.23</v>
      </c>
      <c r="E138" s="30" t="n">
        <v>9569.879999999999</v>
      </c>
      <c r="F138" s="30">
        <f>SUM(C138:E138)</f>
        <v/>
      </c>
      <c r="G138" s="30">
        <f>F138*'Rates'!$B$3</f>
        <v/>
      </c>
      <c r="H138" s="30">
        <f>F138*'Rates'!$B$4</f>
        <v/>
      </c>
      <c r="I138" s="30" t="n">
        <v>55971</v>
      </c>
      <c r="J138" s="30">
        <f>SUM(F138:H138)</f>
        <v/>
      </c>
      <c r="K138" s="30">
        <f>I138-J138</f>
        <v/>
      </c>
    </row>
    <row r="139">
      <c r="A139" s="23" t="inlineStr">
        <is>
          <t>PRJ-137</t>
        </is>
      </c>
      <c r="B139" s="23" t="inlineStr">
        <is>
          <t>Marketing</t>
        </is>
      </c>
      <c r="C139" s="30" t="n">
        <v>8507.299999999999</v>
      </c>
      <c r="D139" s="30" t="n">
        <v>7734.16</v>
      </c>
      <c r="E139" s="30" t="n">
        <v>2502</v>
      </c>
      <c r="F139" s="30">
        <f>SUM(C139:E139)</f>
        <v/>
      </c>
      <c r="G139" s="30">
        <f>F139*'Rates'!$B$3</f>
        <v/>
      </c>
      <c r="H139" s="30">
        <f>F139*'Rates'!$B$4</f>
        <v/>
      </c>
      <c r="I139" s="30" t="n">
        <v>23919</v>
      </c>
      <c r="J139" s="30">
        <f>SUM(F139:H139)</f>
        <v/>
      </c>
      <c r="K139" s="30">
        <f>I139-J139</f>
        <v/>
      </c>
    </row>
    <row r="140">
      <c r="A140" s="23" t="inlineStr">
        <is>
          <t>PRJ-138</t>
        </is>
      </c>
      <c r="B140" s="23" t="inlineStr">
        <is>
          <t>Marketing</t>
        </is>
      </c>
      <c r="C140" s="30" t="n">
        <v>41336.19</v>
      </c>
      <c r="D140" s="30" t="n">
        <v>38179.32</v>
      </c>
      <c r="E140" s="30" t="n">
        <v>3799.94</v>
      </c>
      <c r="F140" s="30">
        <f>SUM(C140:E140)</f>
        <v/>
      </c>
      <c r="G140" s="30">
        <f>F140*'Rates'!$B$3</f>
        <v/>
      </c>
      <c r="H140" s="30">
        <f>F140*'Rates'!$B$4</f>
        <v/>
      </c>
      <c r="I140" s="30" t="n">
        <v>98911</v>
      </c>
      <c r="J140" s="30">
        <f>SUM(F140:H140)</f>
        <v/>
      </c>
      <c r="K140" s="30">
        <f>I140-J140</f>
        <v/>
      </c>
    </row>
    <row r="141">
      <c r="A141" s="23" t="inlineStr">
        <is>
          <t>PRJ-139</t>
        </is>
      </c>
      <c r="B141" s="23" t="inlineStr">
        <is>
          <t>Operations</t>
        </is>
      </c>
      <c r="C141" s="30" t="n">
        <v>7472.68</v>
      </c>
      <c r="D141" s="30" t="n">
        <v>25832.58</v>
      </c>
      <c r="E141" s="30" t="n">
        <v>2879.87</v>
      </c>
      <c r="F141" s="30">
        <f>SUM(C141:E141)</f>
        <v/>
      </c>
      <c r="G141" s="30">
        <f>F141*'Rates'!$B$3</f>
        <v/>
      </c>
      <c r="H141" s="30">
        <f>F141*'Rates'!$B$4</f>
        <v/>
      </c>
      <c r="I141" s="30" t="n">
        <v>46464</v>
      </c>
      <c r="J141" s="30">
        <f>SUM(F141:H141)</f>
        <v/>
      </c>
      <c r="K141" s="30">
        <f>I141-J141</f>
        <v/>
      </c>
    </row>
    <row r="142">
      <c r="A142" s="23" t="inlineStr">
        <is>
          <t>PRJ-140</t>
        </is>
      </c>
      <c r="B142" s="23" t="inlineStr">
        <is>
          <t>Technology</t>
        </is>
      </c>
      <c r="C142" s="30" t="n">
        <v>60338.87</v>
      </c>
      <c r="D142" s="30" t="n">
        <v>11775.68</v>
      </c>
      <c r="E142" s="30" t="n">
        <v>7129.55</v>
      </c>
      <c r="F142" s="30">
        <f>SUM(C142:E142)</f>
        <v/>
      </c>
      <c r="G142" s="30">
        <f>F142*'Rates'!$B$3</f>
        <v/>
      </c>
      <c r="H142" s="30">
        <f>F142*'Rates'!$B$4</f>
        <v/>
      </c>
      <c r="I142" s="30" t="n">
        <v>95725</v>
      </c>
      <c r="J142" s="30">
        <f>SUM(F142:H142)</f>
        <v/>
      </c>
      <c r="K142" s="30">
        <f>I142-J142</f>
        <v/>
      </c>
    </row>
    <row r="143">
      <c r="A143" s="23" t="inlineStr">
        <is>
          <t>PRJ-141</t>
        </is>
      </c>
      <c r="B143" s="23" t="inlineStr">
        <is>
          <t>Technology</t>
        </is>
      </c>
      <c r="C143" s="30" t="n">
        <v>59128.47</v>
      </c>
      <c r="D143" s="30" t="n">
        <v>38862.6</v>
      </c>
      <c r="E143" s="30" t="n">
        <v>2782.64</v>
      </c>
      <c r="F143" s="30">
        <f>SUM(C143:E143)</f>
        <v/>
      </c>
      <c r="G143" s="30">
        <f>F143*'Rates'!$B$3</f>
        <v/>
      </c>
      <c r="H143" s="30">
        <f>F143*'Rates'!$B$4</f>
        <v/>
      </c>
      <c r="I143" s="30" t="n">
        <v>129430</v>
      </c>
      <c r="J143" s="30">
        <f>SUM(F143:H143)</f>
        <v/>
      </c>
      <c r="K143" s="30">
        <f>I143-J143</f>
        <v/>
      </c>
    </row>
    <row r="144">
      <c r="A144" s="23" t="inlineStr">
        <is>
          <t>PRJ-142</t>
        </is>
      </c>
      <c r="B144" s="23" t="inlineStr">
        <is>
          <t>Operations</t>
        </is>
      </c>
      <c r="C144" s="30" t="n">
        <v>63533.44</v>
      </c>
      <c r="D144" s="30" t="n">
        <v>6566.27</v>
      </c>
      <c r="E144" s="30" t="n">
        <v>5443.02</v>
      </c>
      <c r="F144" s="30">
        <f>SUM(C144:E144)</f>
        <v/>
      </c>
      <c r="G144" s="30">
        <f>F144*'Rates'!$B$3</f>
        <v/>
      </c>
      <c r="H144" s="30">
        <f>F144*'Rates'!$B$4</f>
        <v/>
      </c>
      <c r="I144" s="30" t="n">
        <v>91363</v>
      </c>
      <c r="J144" s="30">
        <f>SUM(F144:H144)</f>
        <v/>
      </c>
      <c r="K144" s="30">
        <f>I144-J144</f>
        <v/>
      </c>
    </row>
    <row r="145">
      <c r="A145" s="23" t="inlineStr">
        <is>
          <t>PRJ-143</t>
        </is>
      </c>
      <c r="B145" s="23" t="inlineStr">
        <is>
          <t>Technology</t>
        </is>
      </c>
      <c r="C145" s="30" t="n">
        <v>37390.62</v>
      </c>
      <c r="D145" s="30" t="n">
        <v>29215.36</v>
      </c>
      <c r="E145" s="30" t="n">
        <v>7153.09</v>
      </c>
      <c r="F145" s="30">
        <f>SUM(C145:E145)</f>
        <v/>
      </c>
      <c r="G145" s="30">
        <f>F145*'Rates'!$B$3</f>
        <v/>
      </c>
      <c r="H145" s="30">
        <f>F145*'Rates'!$B$4</f>
        <v/>
      </c>
      <c r="I145" s="30" t="n">
        <v>90382</v>
      </c>
      <c r="J145" s="30">
        <f>SUM(F145:H145)</f>
        <v/>
      </c>
      <c r="K145" s="30">
        <f>I145+J145</f>
        <v/>
      </c>
    </row>
    <row r="146">
      <c r="A146" s="23" t="inlineStr">
        <is>
          <t>PRJ-144</t>
        </is>
      </c>
      <c r="B146" s="23" t="inlineStr">
        <is>
          <t>Operations</t>
        </is>
      </c>
      <c r="C146" s="30" t="n">
        <v>25554.74</v>
      </c>
      <c r="D146" s="30" t="n">
        <v>32812.68</v>
      </c>
      <c r="E146" s="30" t="n">
        <v>5124.86</v>
      </c>
      <c r="F146" s="30">
        <f>SUM(C146:E146)</f>
        <v/>
      </c>
      <c r="G146" s="30">
        <f>F146*'Rates'!$B$3</f>
        <v/>
      </c>
      <c r="H146" s="30">
        <f>F146*'Rates'!$B$4</f>
        <v/>
      </c>
      <c r="I146" s="30" t="n">
        <v>80485</v>
      </c>
      <c r="J146" s="30">
        <f>SUM(F146:H146)</f>
        <v/>
      </c>
      <c r="K146" s="30">
        <f>I146-J146</f>
        <v/>
      </c>
    </row>
    <row r="147">
      <c r="A147" s="23" t="inlineStr">
        <is>
          <t>PRJ-145</t>
        </is>
      </c>
      <c r="B147" s="23" t="inlineStr">
        <is>
          <t>Technology</t>
        </is>
      </c>
      <c r="C147" s="30" t="n">
        <v>49086.05</v>
      </c>
      <c r="D147" s="30" t="n">
        <v>31745.38</v>
      </c>
      <c r="E147" s="30" t="n">
        <v>8153.7</v>
      </c>
      <c r="F147" s="30">
        <f>SUM(C147:E147)</f>
        <v/>
      </c>
      <c r="G147" s="30">
        <f>F147*'Rates'!$B$3</f>
        <v/>
      </c>
      <c r="H147" s="30">
        <f>F147*'Rates'!$B$4</f>
        <v/>
      </c>
      <c r="I147" s="30" t="n">
        <v>114975</v>
      </c>
      <c r="J147" s="30">
        <f>SUM(F147:H147)</f>
        <v/>
      </c>
      <c r="K147" s="30">
        <f>I147-J147</f>
        <v/>
      </c>
    </row>
    <row r="148">
      <c r="A148" s="23" t="inlineStr">
        <is>
          <t>PRJ-146</t>
        </is>
      </c>
      <c r="B148" s="23" t="inlineStr">
        <is>
          <t>Research</t>
        </is>
      </c>
      <c r="C148" s="30" t="n">
        <v>33968.94</v>
      </c>
      <c r="D148" s="30" t="n">
        <v>1983.38</v>
      </c>
      <c r="E148" s="30" t="n">
        <v>3073.4</v>
      </c>
      <c r="F148" s="30">
        <f>SUM(C148:E148)</f>
        <v/>
      </c>
      <c r="G148" s="30">
        <f>F148*'Rates'!$B$3</f>
        <v/>
      </c>
      <c r="H148" s="30">
        <f>F148*'Rates'!$B$4</f>
        <v/>
      </c>
      <c r="I148" s="30" t="n">
        <v>48954</v>
      </c>
      <c r="J148" s="30">
        <f>SUM(F148:H148)</f>
        <v/>
      </c>
      <c r="K148" s="30">
        <f>I148-J148</f>
        <v/>
      </c>
    </row>
    <row r="149">
      <c r="A149" s="23" t="inlineStr">
        <is>
          <t>PRJ-147</t>
        </is>
      </c>
      <c r="B149" s="23" t="inlineStr">
        <is>
          <t>Research</t>
        </is>
      </c>
      <c r="C149" s="30" t="n">
        <v>28822.26</v>
      </c>
      <c r="D149" s="30" t="n">
        <v>17260.68</v>
      </c>
      <c r="E149" s="30" t="n">
        <v>2674.5</v>
      </c>
      <c r="F149" s="30">
        <f>SUM(C149:E149)</f>
        <v/>
      </c>
      <c r="G149" s="30">
        <f>F149*'Rates'!$B$3</f>
        <v/>
      </c>
      <c r="H149" s="30">
        <f>F149*'Rates'!$B$4</f>
        <v/>
      </c>
      <c r="I149" s="30" t="n">
        <v>61799</v>
      </c>
      <c r="J149" s="30">
        <f>SUM(F149:H149)</f>
        <v/>
      </c>
      <c r="K149" s="30">
        <f>I149-J149</f>
        <v/>
      </c>
    </row>
    <row r="150">
      <c r="A150" s="23" t="inlineStr">
        <is>
          <t>PRJ-148</t>
        </is>
      </c>
      <c r="B150" s="23" t="inlineStr">
        <is>
          <t>Marketing</t>
        </is>
      </c>
      <c r="C150" s="30" t="n">
        <v>50531.9</v>
      </c>
      <c r="D150" s="30" t="n">
        <v>29430.89</v>
      </c>
      <c r="E150" s="30" t="n">
        <v>5678.06</v>
      </c>
      <c r="F150" s="30">
        <f>SUM(C150:E150)</f>
        <v/>
      </c>
      <c r="G150" s="30">
        <f>F150*'Rates'!$B$3</f>
        <v/>
      </c>
      <c r="H150" s="30">
        <f>F150*'Rates'!$B$4</f>
        <v/>
      </c>
      <c r="I150" s="30" t="n">
        <v>107013</v>
      </c>
      <c r="J150" s="30">
        <f>SUM(F150:H150)</f>
        <v/>
      </c>
      <c r="K150" s="30">
        <f>I150-J150</f>
        <v/>
      </c>
    </row>
    <row r="151">
      <c r="A151" s="23" t="inlineStr">
        <is>
          <t>PRJ-149</t>
        </is>
      </c>
      <c r="B151" s="23" t="inlineStr">
        <is>
          <t>Operations</t>
        </is>
      </c>
      <c r="C151" s="30" t="n">
        <v>59646.34</v>
      </c>
      <c r="D151" s="30" t="n">
        <v>31553.84</v>
      </c>
      <c r="E151" s="30" t="n">
        <v>9085.49</v>
      </c>
      <c r="F151" s="30">
        <f>SUM(C151:E151)</f>
        <v/>
      </c>
      <c r="G151" s="30">
        <f>F151*'Rates'!$B$3</f>
        <v/>
      </c>
      <c r="H151" s="30">
        <f>F151*'Rates'!$B$4</f>
        <v/>
      </c>
      <c r="I151" s="30" t="n">
        <v>123689</v>
      </c>
      <c r="J151" s="30">
        <f>SUM(F151:H151)</f>
        <v/>
      </c>
      <c r="K151" s="30">
        <f>I151-J151</f>
        <v/>
      </c>
    </row>
    <row r="152">
      <c r="A152" s="23" t="inlineStr">
        <is>
          <t>PRJ-150</t>
        </is>
      </c>
      <c r="B152" s="23" t="inlineStr">
        <is>
          <t>Technology</t>
        </is>
      </c>
      <c r="C152" s="30" t="n">
        <v>17588.93</v>
      </c>
      <c r="D152" s="30" t="n">
        <v>17020.28</v>
      </c>
      <c r="E152" s="30" t="n">
        <v>9883.57</v>
      </c>
      <c r="F152" s="30">
        <f>SUM(C152:E152)</f>
        <v/>
      </c>
      <c r="G152" s="30">
        <f>F152*'Rates'!$B$3</f>
        <v/>
      </c>
      <c r="H152" s="30">
        <f>F152*'Rates'!$B$4</f>
        <v/>
      </c>
      <c r="I152" s="30" t="n">
        <v>53908</v>
      </c>
      <c r="J152" s="30">
        <f>SUM(F152:H152)</f>
        <v/>
      </c>
      <c r="K152" s="30">
        <f>I152-J152</f>
        <v/>
      </c>
    </row>
    <row r="153">
      <c r="A153" s="23" t="inlineStr">
        <is>
          <t>PRJ-151</t>
        </is>
      </c>
      <c r="B153" s="23" t="inlineStr">
        <is>
          <t>Technology</t>
        </is>
      </c>
      <c r="C153" s="30" t="n">
        <v>52798.52</v>
      </c>
      <c r="D153" s="30" t="n">
        <v>3920.73</v>
      </c>
      <c r="E153" s="30" t="n">
        <v>2072.98</v>
      </c>
      <c r="F153" s="30">
        <f>SUM(C153:E153)</f>
        <v/>
      </c>
      <c r="G153" s="30">
        <f>F153*'Rates'!$B$3</f>
        <v/>
      </c>
      <c r="H153" s="30">
        <f>F153*'Rates'!$B$4</f>
        <v/>
      </c>
      <c r="I153" s="30" t="n">
        <v>69437</v>
      </c>
      <c r="J153" s="30">
        <f>SUM(F153:H153)</f>
        <v/>
      </c>
      <c r="K153" s="30">
        <f>I153-J153</f>
        <v/>
      </c>
    </row>
    <row r="154">
      <c r="A154" s="23" t="inlineStr">
        <is>
          <t>PRJ-152</t>
        </is>
      </c>
      <c r="B154" s="23" t="inlineStr">
        <is>
          <t>Technology</t>
        </is>
      </c>
      <c r="C154" s="30" t="n">
        <v>35005.72</v>
      </c>
      <c r="D154" s="30" t="n">
        <v>20825.32</v>
      </c>
      <c r="E154" s="30" t="n">
        <v>3825.44</v>
      </c>
      <c r="F154" s="30">
        <f>SUM(C154:E154)</f>
        <v/>
      </c>
      <c r="G154" s="30">
        <f>F154*'Rates'!$B$3</f>
        <v/>
      </c>
      <c r="H154" s="30">
        <f>F154*'Rates'!$B$4</f>
        <v/>
      </c>
      <c r="I154" s="30" t="n">
        <v>77470</v>
      </c>
      <c r="J154" s="30">
        <f>SUM(F154:H154)</f>
        <v/>
      </c>
      <c r="K154" s="30">
        <f>I154-J154</f>
        <v/>
      </c>
    </row>
    <row r="155">
      <c r="A155" s="23" t="inlineStr">
        <is>
          <t>PRJ-153</t>
        </is>
      </c>
      <c r="B155" s="23" t="inlineStr">
        <is>
          <t>Research</t>
        </is>
      </c>
      <c r="C155" s="30" t="n">
        <v>36364.5</v>
      </c>
      <c r="D155" s="30" t="n">
        <v>4992.18</v>
      </c>
      <c r="E155" s="30" t="n">
        <v>4287.68</v>
      </c>
      <c r="F155" s="30">
        <f>SUM(C155:E155)</f>
        <v/>
      </c>
      <c r="G155" s="30">
        <f>F155*'Rates'!$B$3</f>
        <v/>
      </c>
      <c r="H155" s="30">
        <f>F155*'Rates'!$B$4</f>
        <v/>
      </c>
      <c r="I155" s="30" t="n">
        <v>54726</v>
      </c>
      <c r="J155" s="30">
        <f>SUM(F155:H155)</f>
        <v/>
      </c>
      <c r="K155" s="30">
        <f>I155-J155</f>
        <v/>
      </c>
    </row>
    <row r="156">
      <c r="A156" s="23" t="inlineStr">
        <is>
          <t>PRJ-154</t>
        </is>
      </c>
      <c r="B156" s="23" t="inlineStr">
        <is>
          <t>Technology</t>
        </is>
      </c>
      <c r="C156" s="30" t="n">
        <v>58210.18</v>
      </c>
      <c r="D156" s="30" t="n">
        <v>2141.06</v>
      </c>
      <c r="E156" s="30" t="n">
        <v>4143.42</v>
      </c>
      <c r="F156" s="30">
        <f>SUM(C156:E156)</f>
        <v/>
      </c>
      <c r="G156" s="30">
        <f>F156*'Rates'!$B$3</f>
        <v/>
      </c>
      <c r="H156" s="30">
        <f>F156*'Rates'!$B$4</f>
        <v/>
      </c>
      <c r="I156" s="30" t="n">
        <v>77234</v>
      </c>
      <c r="J156" s="30">
        <f>SUM(F156:H156)</f>
        <v/>
      </c>
      <c r="K156" s="30">
        <f>I156-J156</f>
        <v/>
      </c>
    </row>
    <row r="157">
      <c r="A157" s="23" t="inlineStr">
        <is>
          <t>PRJ-155</t>
        </is>
      </c>
      <c r="B157" s="23" t="inlineStr">
        <is>
          <t>Operations</t>
        </is>
      </c>
      <c r="C157" s="30" t="n">
        <v>18350.46</v>
      </c>
      <c r="D157" s="30" t="n">
        <v>11079.14</v>
      </c>
      <c r="E157" s="30" t="n">
        <v>7044.46</v>
      </c>
      <c r="F157" s="30">
        <f>SUM(C157:E157)</f>
        <v/>
      </c>
      <c r="G157" s="30">
        <f>F157*'Rates'!$B$3</f>
        <v/>
      </c>
      <c r="H157" s="30">
        <f>F157*'Rates'!$B$4</f>
        <v/>
      </c>
      <c r="I157" s="30" t="n">
        <v>46293</v>
      </c>
      <c r="J157" s="30">
        <f>SUM(F157:H157)</f>
        <v/>
      </c>
      <c r="K157" s="30">
        <f>I157-J157</f>
        <v/>
      </c>
    </row>
    <row r="158">
      <c r="A158" s="23" t="inlineStr">
        <is>
          <t>PRJ-156</t>
        </is>
      </c>
      <c r="B158" s="23" t="inlineStr">
        <is>
          <t>Operations</t>
        </is>
      </c>
      <c r="C158" s="30" t="n">
        <v>26419.22</v>
      </c>
      <c r="D158" s="30" t="n">
        <v>31240.22</v>
      </c>
      <c r="E158" s="30" t="n">
        <v>1358.13</v>
      </c>
      <c r="F158" s="30">
        <f>SUM(C158:E158)</f>
        <v/>
      </c>
      <c r="G158" s="30">
        <f>F158*'Rates'!$B$3</f>
        <v/>
      </c>
      <c r="H158" s="30">
        <f>F158*'Rates'!$B$4</f>
        <v/>
      </c>
      <c r="I158" s="30" t="n">
        <v>69822</v>
      </c>
      <c r="J158" s="30">
        <f>SUM(F158:H158)</f>
        <v/>
      </c>
      <c r="K158" s="30">
        <f>I158-J158</f>
        <v/>
      </c>
    </row>
    <row r="159">
      <c r="A159" s="23" t="inlineStr">
        <is>
          <t>PRJ-157</t>
        </is>
      </c>
      <c r="B159" s="23" t="inlineStr">
        <is>
          <t>Operations</t>
        </is>
      </c>
      <c r="C159" s="30" t="n">
        <v>8185.37</v>
      </c>
      <c r="D159" s="30" t="n">
        <v>13076.88</v>
      </c>
      <c r="E159" s="30" t="n">
        <v>5255.56</v>
      </c>
      <c r="F159" s="30">
        <f>SUM(C159:E159)</f>
        <v/>
      </c>
      <c r="G159" s="30">
        <f>F159*'Rates'!$B$3</f>
        <v/>
      </c>
      <c r="H159" s="30">
        <f>F159*'Rates'!$B$4</f>
        <v/>
      </c>
      <c r="I159" s="30" t="n">
        <v>33334</v>
      </c>
      <c r="J159" s="30">
        <f>SUM(F159:H159)</f>
        <v/>
      </c>
      <c r="K159" s="30">
        <f>I159-J159</f>
        <v/>
      </c>
    </row>
    <row r="160">
      <c r="A160" s="23" t="inlineStr">
        <is>
          <t>PRJ-158</t>
        </is>
      </c>
      <c r="B160" s="23" t="inlineStr">
        <is>
          <t>Research</t>
        </is>
      </c>
      <c r="C160" s="30" t="n">
        <v>62009.11</v>
      </c>
      <c r="D160" s="30" t="n">
        <v>15624.52</v>
      </c>
      <c r="E160" s="30" t="n">
        <v>4977.86</v>
      </c>
      <c r="F160" s="30">
        <f>SUM(C160:E160)</f>
        <v/>
      </c>
      <c r="G160" s="30">
        <f>F160*'Rates'!$B$3</f>
        <v/>
      </c>
      <c r="H160" s="30">
        <f>F160*'Rates'!$B$4</f>
        <v/>
      </c>
      <c r="I160" s="30" t="n">
        <v>106134</v>
      </c>
      <c r="J160" s="30">
        <f>SUM(F160:H160)</f>
        <v/>
      </c>
      <c r="K160" s="30">
        <f>I160-J160</f>
        <v/>
      </c>
    </row>
    <row r="161">
      <c r="A161" s="23" t="inlineStr">
        <is>
          <t>PRJ-159</t>
        </is>
      </c>
      <c r="B161" s="23" t="inlineStr">
        <is>
          <t>Marketing</t>
        </is>
      </c>
      <c r="C161" s="30" t="n">
        <v>8550.799999999999</v>
      </c>
      <c r="D161" s="30" t="n">
        <v>1745.98</v>
      </c>
      <c r="E161" s="30" t="n">
        <v>6827.31</v>
      </c>
      <c r="F161" s="30">
        <f>SUM(C161:E161)</f>
        <v/>
      </c>
      <c r="G161" s="30">
        <f>F161*'Rates'!$B$3</f>
        <v/>
      </c>
      <c r="H161" s="30">
        <f>F161*'Rates'!$B$4</f>
        <v/>
      </c>
      <c r="I161" s="30" t="n">
        <v>21562</v>
      </c>
      <c r="J161" s="30">
        <f>SUM(F161:H161)</f>
        <v/>
      </c>
      <c r="K161" s="30">
        <f>I161-J161</f>
        <v/>
      </c>
    </row>
    <row r="162">
      <c r="A162" s="24" t="inlineStr">
        <is>
          <t>PRJ-160</t>
        </is>
      </c>
      <c r="B162" s="24" t="inlineStr">
        <is>
          <t>Research</t>
        </is>
      </c>
      <c r="C162" s="31" t="n">
        <v>50558.64</v>
      </c>
      <c r="D162" s="31" t="n">
        <v>17785.22</v>
      </c>
      <c r="E162" s="31" t="n">
        <v>4749.08</v>
      </c>
      <c r="F162" s="31">
        <f>SUM(C162:E162)</f>
        <v/>
      </c>
      <c r="G162" s="31">
        <f>F162*'Rates'!$B$3</f>
        <v/>
      </c>
      <c r="H162" s="31">
        <f>F162*'Rates'!$B$4</f>
        <v/>
      </c>
      <c r="I162" s="31" t="n">
        <v>89139</v>
      </c>
      <c r="J162" s="31">
        <f>SUM(F162:H162)</f>
        <v/>
      </c>
      <c r="K162" s="31">
        <f>I162-J162</f>
        <v/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3" t="inlineStr">
        <is>
          <t>Department Summary</t>
        </is>
      </c>
    </row>
    <row r="2" ht="28" customHeight="1">
      <c r="A2" s="14" t="inlineStr">
        <is>
          <t>Department</t>
        </is>
      </c>
      <c r="B2" s="21" t="inlineStr">
        <is>
          <t>Total Cost</t>
        </is>
      </c>
      <c r="C2" s="21" t="inlineStr">
        <is>
          <t>Subtotal</t>
        </is>
      </c>
      <c r="D2" s="15" t="inlineStr">
        <is>
          <t>Variance</t>
        </is>
      </c>
    </row>
    <row r="3">
      <c r="A3" s="22" t="inlineStr">
        <is>
          <t>Research</t>
        </is>
      </c>
      <c r="B3" s="29">
        <f>SUMIF('Projects'!$B$3:$B$162,A3,'Projects'!$J$3:$J$162)</f>
        <v/>
      </c>
      <c r="C3" s="29">
        <f>SUMIF('Projects'!$B$3:$B$162,A3,'Projects'!$F$3:$F$162)</f>
        <v/>
      </c>
      <c r="D3" s="29">
        <f>SUMIF('Projects'!$B$3:$B$162,A3,'Projects'!$K$3:$K$162)</f>
        <v/>
      </c>
    </row>
    <row r="4">
      <c r="A4" s="23" t="inlineStr">
        <is>
          <t>Operations</t>
        </is>
      </c>
      <c r="B4" s="30">
        <f>SUMIF('Projects'!$B$3:$B$161,A4,'Projects'!$J$3:$J$161)</f>
        <v/>
      </c>
      <c r="C4" s="30">
        <f>SUMIF('Projects'!$B$3:$B$162,A4,'Projects'!$F$3:$F$162)</f>
        <v/>
      </c>
      <c r="D4" s="30">
        <f>SUMIF('Projects'!$B$3:$B$162,A4,'Projects'!$K$3:$K$162)</f>
        <v/>
      </c>
    </row>
    <row r="5">
      <c r="A5" s="23" t="inlineStr">
        <is>
          <t>Marketing</t>
        </is>
      </c>
      <c r="B5" s="30">
        <f>SUMIF('Projects'!$B$3:$B$162,A5,'Projects'!$J$3:$J$162)</f>
        <v/>
      </c>
      <c r="C5" s="30">
        <f>SUMIF('Projects'!$B$3:$B$162,A5,'Projects'!$E$3:$E$162)</f>
        <v/>
      </c>
      <c r="D5" s="30">
        <f>SUMIF('Projects'!$B$3:$B$162,A5,'Projects'!$K$3:$K$162)</f>
        <v/>
      </c>
    </row>
    <row r="6">
      <c r="A6" s="24" t="inlineStr">
        <is>
          <t>Technology</t>
        </is>
      </c>
      <c r="B6" s="31">
        <f>SUMIF('Projects'!$B$3:$B$162,A6,'Projects'!$J$3:$J$162)</f>
        <v/>
      </c>
      <c r="C6" s="31">
        <f>SUMIF('Projects'!$B$3:$B$162,A6,'Projects'!$F$3:$F$162)</f>
        <v/>
      </c>
      <c r="D6" s="31">
        <f>SUMIF('Projects'!$B$3:$B$162,A6,'Projects'!$K$3:$K$162)</f>
        <v/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