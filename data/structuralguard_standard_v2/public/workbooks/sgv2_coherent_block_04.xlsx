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fig" sheetId="2" state="visible" r:id="rId2"/>
    <sheet name="Grad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4" pivotButton="0" quotePrefix="0" xfId="0"/>
    <xf numFmtId="1" fontId="0" fillId="0" borderId="5" pivotButton="0" quotePrefix="0" xfId="0"/>
    <xf numFmtId="1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" fontId="0" fillId="0" borderId="4" pivotButton="0" quotePrefix="0" xfId="0"/>
    <xf numFmtId="164" fontId="0" fillId="0" borderId="4" pivotButton="0" quotePrefix="0" xfId="0"/>
    <xf numFmtId="1" fontId="0" fillId="0" borderId="5" pivotButton="0" quotePrefix="0" xfId="0"/>
    <xf numFmtId="164" fontId="0" fillId="0" borderId="5" pivotButton="0" quotePrefix="0" xfId="0"/>
    <xf numFmtId="1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Student grade review</t>
        </is>
      </c>
    </row>
    <row r="4">
      <c r="A4" s="5" t="inlineStr">
        <is>
          <t>Random seed</t>
        </is>
      </c>
      <c r="B4" t="n">
        <v>44077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Pass mark</t>
        </is>
      </c>
      <c r="B3" s="16" t="n">
        <v>60</v>
      </c>
    </row>
    <row r="4">
      <c r="A4" t="inlineStr">
        <is>
          <t>Maximum mark</t>
        </is>
      </c>
      <c r="B4" s="16" t="n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3" t="inlineStr">
        <is>
          <t>Student Grade Review</t>
        </is>
      </c>
    </row>
    <row r="2" ht="28" customHeight="1">
      <c r="A2" s="14" t="inlineStr">
        <is>
          <t>Student ID</t>
        </is>
      </c>
      <c r="B2" s="20" t="inlineStr">
        <is>
          <t>Math</t>
        </is>
      </c>
      <c r="C2" s="20" t="inlineStr">
        <is>
          <t>English</t>
        </is>
      </c>
      <c r="D2" s="20" t="inlineStr">
        <is>
          <t>Science</t>
        </is>
      </c>
      <c r="E2" s="20" t="inlineStr">
        <is>
          <t>History</t>
        </is>
      </c>
      <c r="F2" s="20" t="inlineStr">
        <is>
          <t>Computing</t>
        </is>
      </c>
      <c r="G2" s="20" t="inlineStr">
        <is>
          <t>Average</t>
        </is>
      </c>
      <c r="H2" s="20" t="inlineStr">
        <is>
          <t>Status</t>
        </is>
      </c>
      <c r="I2" s="20" t="inlineStr">
        <is>
          <t>Highest</t>
        </is>
      </c>
      <c r="J2" s="20" t="inlineStr">
        <is>
          <t>Lowest</t>
        </is>
      </c>
      <c r="K2" s="15" t="inlineStr">
        <is>
          <t>Spread</t>
        </is>
      </c>
    </row>
    <row r="3">
      <c r="A3" s="21" t="inlineStr">
        <is>
          <t>STU-0001</t>
        </is>
      </c>
      <c r="B3" s="30" t="n">
        <v>87</v>
      </c>
      <c r="C3" s="30" t="n">
        <v>54</v>
      </c>
      <c r="D3" s="30" t="n">
        <v>81</v>
      </c>
      <c r="E3" s="30" t="n">
        <v>81</v>
      </c>
      <c r="F3" s="30" t="n">
        <v>78</v>
      </c>
      <c r="G3" s="31">
        <f>ROUND(AVERAGE(B3:F3),1)</f>
        <v/>
      </c>
      <c r="H3" s="21">
        <f>IF(MIN(B3:F3)&gt;='Config'!$B$3,"PASS","REVIEW")</f>
        <v/>
      </c>
      <c r="I3" s="21">
        <f>MAX(B3:F3)</f>
        <v/>
      </c>
      <c r="J3" s="21">
        <f>MIN(B3:F3)</f>
        <v/>
      </c>
      <c r="K3" s="21">
        <f>I3-J3</f>
        <v/>
      </c>
    </row>
    <row r="4">
      <c r="A4" s="22" t="inlineStr">
        <is>
          <t>STU-0002</t>
        </is>
      </c>
      <c r="B4" s="32" t="n">
        <v>35</v>
      </c>
      <c r="C4" s="32" t="n">
        <v>80</v>
      </c>
      <c r="D4" s="32" t="n">
        <v>89</v>
      </c>
      <c r="E4" s="32" t="n">
        <v>81</v>
      </c>
      <c r="F4" s="32" t="n">
        <v>59</v>
      </c>
      <c r="G4" s="33">
        <f>ROUND(AVERAGE(B4:F4),1)</f>
        <v/>
      </c>
      <c r="H4" s="22">
        <f>IF(MIN(B4:F4)&gt;='Config'!$B$3,"PASS","REVIEW")</f>
        <v/>
      </c>
      <c r="I4" s="22">
        <f>MAX(B4:F4)</f>
        <v/>
      </c>
      <c r="J4" s="22">
        <f>MIN(B4:F4)</f>
        <v/>
      </c>
      <c r="K4" s="22">
        <f>I4-J4</f>
        <v/>
      </c>
    </row>
    <row r="5">
      <c r="A5" s="22" t="inlineStr">
        <is>
          <t>STU-0003</t>
        </is>
      </c>
      <c r="B5" s="32" t="n">
        <v>67</v>
      </c>
      <c r="C5" s="32" t="n">
        <v>71</v>
      </c>
      <c r="D5" s="32" t="n">
        <v>78</v>
      </c>
      <c r="E5" s="32" t="n">
        <v>71</v>
      </c>
      <c r="F5" s="32" t="n">
        <v>49</v>
      </c>
      <c r="G5" s="33">
        <f>ROUND(AVERAGE(B5:F5),1)</f>
        <v/>
      </c>
      <c r="H5" s="22">
        <f>IF(MIN(B5:F5)&gt;='Config'!$B$3,"PASS","REVIEW")</f>
        <v/>
      </c>
      <c r="I5" s="22">
        <f>MAX(B5:F5)</f>
        <v/>
      </c>
      <c r="J5" s="22">
        <f>MIN(B5:F5)</f>
        <v/>
      </c>
      <c r="K5" s="22">
        <f>I5-J5</f>
        <v/>
      </c>
    </row>
    <row r="6">
      <c r="A6" s="22" t="inlineStr">
        <is>
          <t>STU-0004</t>
        </is>
      </c>
      <c r="B6" s="32" t="n">
        <v>71</v>
      </c>
      <c r="C6" s="32" t="n">
        <v>73</v>
      </c>
      <c r="D6" s="32" t="n">
        <v>64</v>
      </c>
      <c r="E6" s="32" t="n">
        <v>55</v>
      </c>
      <c r="F6" s="32" t="n">
        <v>67</v>
      </c>
      <c r="G6" s="33">
        <f>ROUND(AVERAGE(B6:F6),1)</f>
        <v/>
      </c>
      <c r="H6" s="22">
        <f>IF(MIN(B6:F6)&gt;='Config'!$B$3,"PASS","REVIEW")</f>
        <v/>
      </c>
      <c r="I6" s="22">
        <f>MAX(B6:F6)</f>
        <v/>
      </c>
      <c r="J6" s="22">
        <f>MIN(B6:F6)</f>
        <v/>
      </c>
      <c r="K6" s="22">
        <f>I6-J6</f>
        <v/>
      </c>
    </row>
    <row r="7">
      <c r="A7" s="22" t="inlineStr">
        <is>
          <t>STU-0005</t>
        </is>
      </c>
      <c r="B7" s="32" t="n">
        <v>85</v>
      </c>
      <c r="C7" s="32" t="n">
        <v>79</v>
      </c>
      <c r="D7" s="32" t="n">
        <v>84</v>
      </c>
      <c r="E7" s="32" t="n">
        <v>36</v>
      </c>
      <c r="F7" s="32" t="n">
        <v>96</v>
      </c>
      <c r="G7" s="33">
        <f>ROUND(AVERAGE(B7:F7),1)</f>
        <v/>
      </c>
      <c r="H7" s="22">
        <f>IF(MIN(B7:F7)&gt;='Config'!$B$3,"PASS","REVIEW")</f>
        <v/>
      </c>
      <c r="I7" s="22">
        <f>MAX(B7:F7)</f>
        <v/>
      </c>
      <c r="J7" s="22">
        <f>MIN(B7:F7)</f>
        <v/>
      </c>
      <c r="K7" s="22">
        <f>I7-J7</f>
        <v/>
      </c>
    </row>
    <row r="8">
      <c r="A8" s="22" t="inlineStr">
        <is>
          <t>STU-0006</t>
        </is>
      </c>
      <c r="B8" s="32" t="n">
        <v>94</v>
      </c>
      <c r="C8" s="32" t="n">
        <v>45</v>
      </c>
      <c r="D8" s="32" t="n">
        <v>64</v>
      </c>
      <c r="E8" s="32" t="n">
        <v>92</v>
      </c>
      <c r="F8" s="32" t="n">
        <v>84</v>
      </c>
      <c r="G8" s="33">
        <f>ROUND(AVERAGE(B8:F8),1)</f>
        <v/>
      </c>
      <c r="H8" s="22">
        <f>IF(MIN(B8:F8)&gt;='Config'!$B$3,"PASS","REVIEW")</f>
        <v/>
      </c>
      <c r="I8" s="22">
        <f>MAX(B8:F8)</f>
        <v/>
      </c>
      <c r="J8" s="22">
        <f>MIN(B8:F8)</f>
        <v/>
      </c>
      <c r="K8" s="22">
        <f>I8-J8</f>
        <v/>
      </c>
    </row>
    <row r="9">
      <c r="A9" s="22" t="inlineStr">
        <is>
          <t>STU-0007</t>
        </is>
      </c>
      <c r="B9" s="32" t="n">
        <v>96</v>
      </c>
      <c r="C9" s="32" t="n">
        <v>40</v>
      </c>
      <c r="D9" s="32" t="n">
        <v>64</v>
      </c>
      <c r="E9" s="32" t="n">
        <v>57</v>
      </c>
      <c r="F9" s="32" t="n">
        <v>46</v>
      </c>
      <c r="G9" s="33">
        <f>ROUND(AVERAGE(B9:F9),1)</f>
        <v/>
      </c>
      <c r="H9" s="22">
        <f>IF(MIN(B9:F9)&gt;='Config'!$B$3,"PASS","REVIEW")</f>
        <v/>
      </c>
      <c r="I9" s="22">
        <f>MAX(B9:F9)</f>
        <v/>
      </c>
      <c r="J9" s="22">
        <f>MIN(B9:F9)</f>
        <v/>
      </c>
      <c r="K9" s="22">
        <f>I9-J9</f>
        <v/>
      </c>
    </row>
    <row r="10">
      <c r="A10" s="22" t="inlineStr">
        <is>
          <t>STU-0008</t>
        </is>
      </c>
      <c r="B10" s="32" t="n">
        <v>94</v>
      </c>
      <c r="C10" s="32" t="n">
        <v>70</v>
      </c>
      <c r="D10" s="32" t="n">
        <v>60</v>
      </c>
      <c r="E10" s="32" t="n">
        <v>96</v>
      </c>
      <c r="F10" s="32" t="n">
        <v>75</v>
      </c>
      <c r="G10" s="33">
        <f>ROUND(AVERAGE(B10:F10),1)</f>
        <v/>
      </c>
      <c r="H10" s="22">
        <f>IF(MIN(B10:F10)&gt;='Config'!$B$3,"PASS","REVIEW")</f>
        <v/>
      </c>
      <c r="I10" s="22">
        <f>MAX(B10:F10)</f>
        <v/>
      </c>
      <c r="J10" s="22">
        <f>MIN(B10:F10)</f>
        <v/>
      </c>
      <c r="K10" s="22">
        <f>I10-J10</f>
        <v/>
      </c>
    </row>
    <row r="11">
      <c r="A11" s="22" t="inlineStr">
        <is>
          <t>STU-0009</t>
        </is>
      </c>
      <c r="B11" s="32" t="n">
        <v>51</v>
      </c>
      <c r="C11" s="32" t="n">
        <v>94</v>
      </c>
      <c r="D11" s="32" t="n">
        <v>67</v>
      </c>
      <c r="E11" s="32" t="n">
        <v>88</v>
      </c>
      <c r="F11" s="32" t="n">
        <v>49</v>
      </c>
      <c r="G11" s="33">
        <f>ROUND(AVERAGE(B11:F11),1)</f>
        <v/>
      </c>
      <c r="H11" s="22">
        <f>IF(MIN(B11:F11)&gt;='Config'!$B$3,"PASS","REVIEW")</f>
        <v/>
      </c>
      <c r="I11" s="22">
        <f>MAX(B11:F11)</f>
        <v/>
      </c>
      <c r="J11" s="22">
        <f>MIN(B11:F11)</f>
        <v/>
      </c>
      <c r="K11" s="22">
        <f>I11-J11</f>
        <v/>
      </c>
    </row>
    <row r="12">
      <c r="A12" s="22" t="inlineStr">
        <is>
          <t>STU-0010</t>
        </is>
      </c>
      <c r="B12" s="32" t="n">
        <v>55</v>
      </c>
      <c r="C12" s="32" t="n">
        <v>44</v>
      </c>
      <c r="D12" s="32" t="n">
        <v>78</v>
      </c>
      <c r="E12" s="32" t="n">
        <v>49</v>
      </c>
      <c r="F12" s="32" t="n">
        <v>45</v>
      </c>
      <c r="G12" s="33">
        <f>ROUND(AVERAGE(B12:F12),1)</f>
        <v/>
      </c>
      <c r="H12" s="22">
        <f>IF(MIN(B12:F12)&gt;='Config'!$B$3,"PASS","REVIEW")</f>
        <v/>
      </c>
      <c r="I12" s="22">
        <f>MAX(B12:F12)</f>
        <v/>
      </c>
      <c r="J12" s="22">
        <f>MIN(B12:F12)</f>
        <v/>
      </c>
      <c r="K12" s="22">
        <f>I12-J12</f>
        <v/>
      </c>
    </row>
    <row r="13">
      <c r="A13" s="22" t="inlineStr">
        <is>
          <t>STU-0011</t>
        </is>
      </c>
      <c r="B13" s="32" t="n">
        <v>36</v>
      </c>
      <c r="C13" s="32" t="n">
        <v>53</v>
      </c>
      <c r="D13" s="32" t="n">
        <v>70</v>
      </c>
      <c r="E13" s="32" t="n">
        <v>95</v>
      </c>
      <c r="F13" s="32" t="n">
        <v>47</v>
      </c>
      <c r="G13" s="33">
        <f>ROUND(AVERAGE(B13:F13),1)</f>
        <v/>
      </c>
      <c r="H13" s="22">
        <f>IF(MIN(B13:F13)&gt;='Config'!$B$3,"PASS","REVIEW")</f>
        <v/>
      </c>
      <c r="I13" s="22">
        <f>MAX(B13:F13)</f>
        <v/>
      </c>
      <c r="J13" s="22">
        <f>MIN(B13:F13)</f>
        <v/>
      </c>
      <c r="K13" s="22">
        <f>I13-J13</f>
        <v/>
      </c>
    </row>
    <row r="14">
      <c r="A14" s="22" t="inlineStr">
        <is>
          <t>STU-0012</t>
        </is>
      </c>
      <c r="B14" s="32" t="n">
        <v>71</v>
      </c>
      <c r="C14" s="32" t="n">
        <v>58</v>
      </c>
      <c r="D14" s="32" t="n">
        <v>35</v>
      </c>
      <c r="E14" s="32" t="n">
        <v>51</v>
      </c>
      <c r="F14" s="32" t="n">
        <v>86</v>
      </c>
      <c r="G14" s="33">
        <f>ROUND(AVERAGE(B14:F14),1)</f>
        <v/>
      </c>
      <c r="H14" s="22">
        <f>IF(MIN(B14:F14)&gt;='Config'!$B$3,"PASS","REVIEW")</f>
        <v/>
      </c>
      <c r="I14" s="22">
        <f>MAX(B14:F14)</f>
        <v/>
      </c>
      <c r="J14" s="22">
        <f>MIN(B14:F14)</f>
        <v/>
      </c>
      <c r="K14" s="22">
        <f>I14-J14</f>
        <v/>
      </c>
    </row>
    <row r="15">
      <c r="A15" s="22" t="inlineStr">
        <is>
          <t>STU-0013</t>
        </is>
      </c>
      <c r="B15" s="32" t="n">
        <v>84</v>
      </c>
      <c r="C15" s="32" t="n">
        <v>72</v>
      </c>
      <c r="D15" s="32" t="n">
        <v>39</v>
      </c>
      <c r="E15" s="32" t="n">
        <v>75</v>
      </c>
      <c r="F15" s="32" t="n">
        <v>66</v>
      </c>
      <c r="G15" s="33">
        <f>ROUND(AVERAGE(B15:F15),1)</f>
        <v/>
      </c>
      <c r="H15" s="22">
        <f>IF(MIN(B15:F15)&gt;='Config'!$B$3,"PASS","REVIEW")</f>
        <v/>
      </c>
      <c r="I15" s="22">
        <f>MAX(B15:F15)</f>
        <v/>
      </c>
      <c r="J15" s="22">
        <f>MIN(B15:F15)</f>
        <v/>
      </c>
      <c r="K15" s="22">
        <f>I15-J15</f>
        <v/>
      </c>
    </row>
    <row r="16">
      <c r="A16" s="22" t="inlineStr">
        <is>
          <t>STU-0014</t>
        </is>
      </c>
      <c r="B16" s="32" t="n">
        <v>97</v>
      </c>
      <c r="C16" s="32" t="n">
        <v>100</v>
      </c>
      <c r="D16" s="32" t="n">
        <v>44</v>
      </c>
      <c r="E16" s="32" t="n">
        <v>90</v>
      </c>
      <c r="F16" s="32" t="n">
        <v>38</v>
      </c>
      <c r="G16" s="33">
        <f>ROUND(AVERAGE(B16:E16),1)</f>
        <v/>
      </c>
      <c r="H16" s="22">
        <f>IF(MIN(B16:F16)&gt;='Config'!$B$3,"PASS","REVIEW")</f>
        <v/>
      </c>
      <c r="I16" s="22">
        <f>MAX(B16:F16)</f>
        <v/>
      </c>
      <c r="J16" s="22">
        <f>MIN(B16:F16)</f>
        <v/>
      </c>
      <c r="K16" s="22">
        <f>I16-J16</f>
        <v/>
      </c>
    </row>
    <row r="17">
      <c r="A17" s="22" t="inlineStr">
        <is>
          <t>STU-0015</t>
        </is>
      </c>
      <c r="B17" s="32" t="n">
        <v>100</v>
      </c>
      <c r="C17" s="32" t="n">
        <v>97</v>
      </c>
      <c r="D17" s="32" t="n">
        <v>75</v>
      </c>
      <c r="E17" s="32" t="n">
        <v>85</v>
      </c>
      <c r="F17" s="32" t="n">
        <v>72</v>
      </c>
      <c r="G17" s="33">
        <f>ROUND(AVERAGE(B17:E17),1)</f>
        <v/>
      </c>
      <c r="H17" s="22">
        <f>IF(MIN(B17:F17)&gt;='Config'!$B$3,"PASS","REVIEW")</f>
        <v/>
      </c>
      <c r="I17" s="22">
        <f>MAX(B17:F17)</f>
        <v/>
      </c>
      <c r="J17" s="22">
        <f>MIN(B17:F17)</f>
        <v/>
      </c>
      <c r="K17" s="22">
        <f>I17-J17</f>
        <v/>
      </c>
    </row>
    <row r="18">
      <c r="A18" s="22" t="inlineStr">
        <is>
          <t>STU-0016</t>
        </is>
      </c>
      <c r="B18" s="32" t="n">
        <v>65</v>
      </c>
      <c r="C18" s="32" t="n">
        <v>74</v>
      </c>
      <c r="D18" s="32" t="n">
        <v>93</v>
      </c>
      <c r="E18" s="32" t="n">
        <v>66</v>
      </c>
      <c r="F18" s="32" t="n">
        <v>76</v>
      </c>
      <c r="G18" s="33">
        <f>ROUND(AVERAGE(B18:E18),1)</f>
        <v/>
      </c>
      <c r="H18" s="22">
        <f>IF(MIN(B18:F18)&gt;='Config'!$B$3,"PASS","REVIEW")</f>
        <v/>
      </c>
      <c r="I18" s="22">
        <f>MAX(B18:F18)</f>
        <v/>
      </c>
      <c r="J18" s="22">
        <f>MIN(B18:F18)</f>
        <v/>
      </c>
      <c r="K18" s="22">
        <f>I18-J18</f>
        <v/>
      </c>
    </row>
    <row r="19">
      <c r="A19" s="22" t="inlineStr">
        <is>
          <t>STU-0017</t>
        </is>
      </c>
      <c r="B19" s="32" t="n">
        <v>50</v>
      </c>
      <c r="C19" s="32" t="n">
        <v>81</v>
      </c>
      <c r="D19" s="32" t="n">
        <v>63</v>
      </c>
      <c r="E19" s="32" t="n">
        <v>99</v>
      </c>
      <c r="F19" s="32" t="n">
        <v>58</v>
      </c>
      <c r="G19" s="33">
        <f>ROUND(AVERAGE(B19:E19),1)</f>
        <v/>
      </c>
      <c r="H19" s="22">
        <f>IF(MIN(B19:F19)&gt;='Config'!$B$3,"PASS","REVIEW")</f>
        <v/>
      </c>
      <c r="I19" s="22">
        <f>MAX(B19:F19)</f>
        <v/>
      </c>
      <c r="J19" s="22">
        <f>MIN(B19:F19)</f>
        <v/>
      </c>
      <c r="K19" s="22">
        <f>I19-J19</f>
        <v/>
      </c>
    </row>
    <row r="20">
      <c r="A20" s="22" t="inlineStr">
        <is>
          <t>STU-0018</t>
        </is>
      </c>
      <c r="B20" s="32" t="n">
        <v>67</v>
      </c>
      <c r="C20" s="32" t="n">
        <v>57</v>
      </c>
      <c r="D20" s="32" t="n">
        <v>89</v>
      </c>
      <c r="E20" s="32" t="n">
        <v>70</v>
      </c>
      <c r="F20" s="32" t="n">
        <v>67</v>
      </c>
      <c r="G20" s="33">
        <f>ROUND(AVERAGE(B20:E20),1)</f>
        <v/>
      </c>
      <c r="H20" s="22">
        <f>IF(MIN(B20:F20)&gt;='Config'!$B$3,"PASS","REVIEW")</f>
        <v/>
      </c>
      <c r="I20" s="22">
        <f>MAX(B20:F20)</f>
        <v/>
      </c>
      <c r="J20" s="22">
        <f>MIN(B20:F20)</f>
        <v/>
      </c>
      <c r="K20" s="22">
        <f>I20-J20</f>
        <v/>
      </c>
    </row>
    <row r="21">
      <c r="A21" s="22" t="inlineStr">
        <is>
          <t>STU-0019</t>
        </is>
      </c>
      <c r="B21" s="32" t="n">
        <v>39</v>
      </c>
      <c r="C21" s="32" t="n">
        <v>40</v>
      </c>
      <c r="D21" s="32" t="n">
        <v>40</v>
      </c>
      <c r="E21" s="32" t="n">
        <v>73</v>
      </c>
      <c r="F21" s="32" t="n">
        <v>97</v>
      </c>
      <c r="G21" s="33">
        <f>ROUND(AVERAGE(B21:E21),1)</f>
        <v/>
      </c>
      <c r="H21" s="22">
        <f>IF(MIN(B21:F21)&gt;='Config'!$B$3,"PASS","REVIEW")</f>
        <v/>
      </c>
      <c r="I21" s="22">
        <f>MAX(B21:F21)</f>
        <v/>
      </c>
      <c r="J21" s="22">
        <f>MIN(B21:F21)</f>
        <v/>
      </c>
      <c r="K21" s="22">
        <f>I21-J21</f>
        <v/>
      </c>
    </row>
    <row r="22">
      <c r="A22" s="22" t="inlineStr">
        <is>
          <t>STU-0020</t>
        </is>
      </c>
      <c r="B22" s="32" t="n">
        <v>54</v>
      </c>
      <c r="C22" s="32" t="n">
        <v>100</v>
      </c>
      <c r="D22" s="32" t="n">
        <v>63</v>
      </c>
      <c r="E22" s="32" t="n">
        <v>40</v>
      </c>
      <c r="F22" s="32" t="n">
        <v>74</v>
      </c>
      <c r="G22" s="33">
        <f>ROUND(AVERAGE(B22:E22),1)</f>
        <v/>
      </c>
      <c r="H22" s="22">
        <f>IF(MIN(B22:F22)&gt;='Config'!$B$3,"PASS","REVIEW")</f>
        <v/>
      </c>
      <c r="I22" s="22">
        <f>MAX(B22:F22)</f>
        <v/>
      </c>
      <c r="J22" s="22">
        <f>MIN(B22:F22)</f>
        <v/>
      </c>
      <c r="K22" s="22">
        <f>I22-J22</f>
        <v/>
      </c>
    </row>
    <row r="23">
      <c r="A23" s="22" t="inlineStr">
        <is>
          <t>STU-0021</t>
        </is>
      </c>
      <c r="B23" s="32" t="n">
        <v>78</v>
      </c>
      <c r="C23" s="32" t="n">
        <v>79</v>
      </c>
      <c r="D23" s="32" t="n">
        <v>39</v>
      </c>
      <c r="E23" s="32" t="n">
        <v>90</v>
      </c>
      <c r="F23" s="32" t="n">
        <v>41</v>
      </c>
      <c r="G23" s="33">
        <f>ROUND(AVERAGE(B23:E23),1)</f>
        <v/>
      </c>
      <c r="H23" s="22">
        <f>IF(MIN(B23:F23)&gt;='Config'!$B$3,"PASS","REVIEW")</f>
        <v/>
      </c>
      <c r="I23" s="22">
        <f>MAX(B23:F23)</f>
        <v/>
      </c>
      <c r="J23" s="22">
        <f>MIN(B23:F23)</f>
        <v/>
      </c>
      <c r="K23" s="22">
        <f>I23-J23</f>
        <v/>
      </c>
    </row>
    <row r="24">
      <c r="A24" s="22" t="inlineStr">
        <is>
          <t>STU-0022</t>
        </is>
      </c>
      <c r="B24" s="32" t="n">
        <v>74</v>
      </c>
      <c r="C24" s="32" t="n">
        <v>61</v>
      </c>
      <c r="D24" s="32" t="n">
        <v>89</v>
      </c>
      <c r="E24" s="32" t="n">
        <v>41</v>
      </c>
      <c r="F24" s="32" t="n">
        <v>65</v>
      </c>
      <c r="G24" s="33">
        <f>ROUND(AVERAGE(B24:E24),1)</f>
        <v/>
      </c>
      <c r="H24" s="22">
        <f>IF(MIN(B24:F24)&gt;='Config'!$B$3,"PASS","REVIEW")</f>
        <v/>
      </c>
      <c r="I24" s="22">
        <f>MAX(B24:F24)</f>
        <v/>
      </c>
      <c r="J24" s="22">
        <f>MIN(B24:F24)</f>
        <v/>
      </c>
      <c r="K24" s="22">
        <f>I24-J24</f>
        <v/>
      </c>
    </row>
    <row r="25">
      <c r="A25" s="22" t="inlineStr">
        <is>
          <t>STU-0023</t>
        </is>
      </c>
      <c r="B25" s="32" t="n">
        <v>63</v>
      </c>
      <c r="C25" s="32" t="n">
        <v>69</v>
      </c>
      <c r="D25" s="32" t="n">
        <v>63</v>
      </c>
      <c r="E25" s="32" t="n">
        <v>80</v>
      </c>
      <c r="F25" s="32" t="n">
        <v>76</v>
      </c>
      <c r="G25" s="33">
        <f>ROUND(AVERAGE(B25:E25),1)</f>
        <v/>
      </c>
      <c r="H25" s="22">
        <f>IF(MIN(B25:F25)&gt;='Config'!$B$3,"PASS","REVIEW")</f>
        <v/>
      </c>
      <c r="I25" s="22">
        <f>MAX(B25:F25)</f>
        <v/>
      </c>
      <c r="J25" s="22">
        <f>MIN(B25:F25)</f>
        <v/>
      </c>
      <c r="K25" s="22">
        <f>I25-J25</f>
        <v/>
      </c>
    </row>
    <row r="26">
      <c r="A26" s="22" t="inlineStr">
        <is>
          <t>STU-0024</t>
        </is>
      </c>
      <c r="B26" s="32" t="n">
        <v>42</v>
      </c>
      <c r="C26" s="32" t="n">
        <v>93</v>
      </c>
      <c r="D26" s="32" t="n">
        <v>61</v>
      </c>
      <c r="E26" s="32" t="n">
        <v>90</v>
      </c>
      <c r="F26" s="32" t="n">
        <v>78</v>
      </c>
      <c r="G26" s="33">
        <f>ROUND(AVERAGE(B26:E26),1)</f>
        <v/>
      </c>
      <c r="H26" s="22">
        <f>IF(MIN(B26:F26)&gt;='Config'!$B$3,"PASS","REVIEW")</f>
        <v/>
      </c>
      <c r="I26" s="22">
        <f>MAX(B26:F26)</f>
        <v/>
      </c>
      <c r="J26" s="22">
        <f>MIN(B26:F26)</f>
        <v/>
      </c>
      <c r="K26" s="22">
        <f>I26-J26</f>
        <v/>
      </c>
    </row>
    <row r="27">
      <c r="A27" s="22" t="inlineStr">
        <is>
          <t>STU-0025</t>
        </is>
      </c>
      <c r="B27" s="32" t="n">
        <v>90</v>
      </c>
      <c r="C27" s="32" t="n">
        <v>81</v>
      </c>
      <c r="D27" s="32" t="n">
        <v>87</v>
      </c>
      <c r="E27" s="32" t="n">
        <v>40</v>
      </c>
      <c r="F27" s="32" t="n">
        <v>61</v>
      </c>
      <c r="G27" s="33">
        <f>ROUND(AVERAGE(B27:E27),1)</f>
        <v/>
      </c>
      <c r="H27" s="22">
        <f>IF(MIN(B27:F27)&gt;='Config'!$B$3,"PASS","REVIEW")</f>
        <v/>
      </c>
      <c r="I27" s="22">
        <f>MAX(B27:F27)</f>
        <v/>
      </c>
      <c r="J27" s="22">
        <f>MIN(B27:F27)</f>
        <v/>
      </c>
      <c r="K27" s="22">
        <f>I27-J27</f>
        <v/>
      </c>
    </row>
    <row r="28">
      <c r="A28" s="22" t="inlineStr">
        <is>
          <t>STU-0026</t>
        </is>
      </c>
      <c r="B28" s="32" t="n">
        <v>52</v>
      </c>
      <c r="C28" s="32" t="n">
        <v>56</v>
      </c>
      <c r="D28" s="32" t="n">
        <v>99</v>
      </c>
      <c r="E28" s="32" t="n">
        <v>67</v>
      </c>
      <c r="F28" s="32" t="n">
        <v>79</v>
      </c>
      <c r="G28" s="33">
        <f>ROUND(AVERAGE(B28:E28),1)</f>
        <v/>
      </c>
      <c r="H28" s="22">
        <f>IF(MIN(B28:F28)&gt;='Config'!$B$3,"PASS","REVIEW")</f>
        <v/>
      </c>
      <c r="I28" s="22">
        <f>MAX(B28:F28)</f>
        <v/>
      </c>
      <c r="J28" s="22">
        <f>MIN(B28:F28)</f>
        <v/>
      </c>
      <c r="K28" s="22">
        <f>I28-J28</f>
        <v/>
      </c>
    </row>
    <row r="29">
      <c r="A29" s="22" t="inlineStr">
        <is>
          <t>STU-0027</t>
        </is>
      </c>
      <c r="B29" s="32" t="n">
        <v>93</v>
      </c>
      <c r="C29" s="32" t="n">
        <v>91</v>
      </c>
      <c r="D29" s="32" t="n">
        <v>53</v>
      </c>
      <c r="E29" s="32" t="n">
        <v>61</v>
      </c>
      <c r="F29" s="32" t="n">
        <v>78</v>
      </c>
      <c r="G29" s="33">
        <f>ROUND(AVERAGE(B29:E29),1)</f>
        <v/>
      </c>
      <c r="H29" s="22">
        <f>IF(MIN(B29:F29)&gt;='Config'!$B$3,"PASS","REVIEW")</f>
        <v/>
      </c>
      <c r="I29" s="22">
        <f>MAX(B29:F29)</f>
        <v/>
      </c>
      <c r="J29" s="22">
        <f>MIN(B29:F29)</f>
        <v/>
      </c>
      <c r="K29" s="22">
        <f>I29-J29</f>
        <v/>
      </c>
    </row>
    <row r="30">
      <c r="A30" s="22" t="inlineStr">
        <is>
          <t>STU-0028</t>
        </is>
      </c>
      <c r="B30" s="32" t="n">
        <v>45</v>
      </c>
      <c r="C30" s="32" t="n">
        <v>63</v>
      </c>
      <c r="D30" s="32" t="n">
        <v>90</v>
      </c>
      <c r="E30" s="32" t="n">
        <v>56</v>
      </c>
      <c r="F30" s="32" t="n">
        <v>48</v>
      </c>
      <c r="G30" s="33">
        <f>ROUND(AVERAGE(B30:E30),1)</f>
        <v/>
      </c>
      <c r="H30" s="22">
        <f>IF(MIN(B30:F30)&gt;='Config'!$B$3,"PASS","REVIEW")</f>
        <v/>
      </c>
      <c r="I30" s="22">
        <f>MAX(B30:F30)</f>
        <v/>
      </c>
      <c r="J30" s="22">
        <f>MIN(B30:F30)</f>
        <v/>
      </c>
      <c r="K30" s="22">
        <f>I30-J30</f>
        <v/>
      </c>
    </row>
    <row r="31">
      <c r="A31" s="22" t="inlineStr">
        <is>
          <t>STU-0029</t>
        </is>
      </c>
      <c r="B31" s="32" t="n">
        <v>81</v>
      </c>
      <c r="C31" s="32" t="n">
        <v>50</v>
      </c>
      <c r="D31" s="32" t="n">
        <v>80</v>
      </c>
      <c r="E31" s="32" t="n">
        <v>61</v>
      </c>
      <c r="F31" s="32" t="n">
        <v>55</v>
      </c>
      <c r="G31" s="33">
        <f>ROUND(AVERAGE(B31:E31),1)</f>
        <v/>
      </c>
      <c r="H31" s="22">
        <f>IF(MIN(B31:F31)&gt;='Config'!$B$3,"PASS","REVIEW")</f>
        <v/>
      </c>
      <c r="I31" s="22">
        <f>MAX(B31:F31)</f>
        <v/>
      </c>
      <c r="J31" s="22">
        <f>MIN(B31:F31)</f>
        <v/>
      </c>
      <c r="K31" s="22">
        <f>I31-J31</f>
        <v/>
      </c>
    </row>
    <row r="32">
      <c r="A32" s="22" t="inlineStr">
        <is>
          <t>STU-0030</t>
        </is>
      </c>
      <c r="B32" s="32" t="n">
        <v>37</v>
      </c>
      <c r="C32" s="32" t="n">
        <v>57</v>
      </c>
      <c r="D32" s="32" t="n">
        <v>100</v>
      </c>
      <c r="E32" s="32" t="n">
        <v>97</v>
      </c>
      <c r="F32" s="32" t="n">
        <v>82</v>
      </c>
      <c r="G32" s="33">
        <f>ROUND(AVERAGE(B32:E32),1)</f>
        <v/>
      </c>
      <c r="H32" s="22">
        <f>IF(MIN(B32:F32)&gt;='Config'!$B$3,"PASS","REVIEW")</f>
        <v/>
      </c>
      <c r="I32" s="22">
        <f>MAX(B32:F32)</f>
        <v/>
      </c>
      <c r="J32" s="22">
        <f>MIN(B32:F32)</f>
        <v/>
      </c>
      <c r="K32" s="22">
        <f>I32-J32</f>
        <v/>
      </c>
    </row>
    <row r="33">
      <c r="A33" s="22" t="inlineStr">
        <is>
          <t>STU-0031</t>
        </is>
      </c>
      <c r="B33" s="32" t="n">
        <v>74</v>
      </c>
      <c r="C33" s="32" t="n">
        <v>42</v>
      </c>
      <c r="D33" s="32" t="n">
        <v>39</v>
      </c>
      <c r="E33" s="32" t="n">
        <v>66</v>
      </c>
      <c r="F33" s="32" t="n">
        <v>100</v>
      </c>
      <c r="G33" s="33">
        <f>ROUND(AVERAGE(B33:E33),1)</f>
        <v/>
      </c>
      <c r="H33" s="22">
        <f>IF(MIN(B33:F33)&gt;='Config'!$B$3,"PASS","REVIEW")</f>
        <v/>
      </c>
      <c r="I33" s="22">
        <f>MAX(B33:F33)</f>
        <v/>
      </c>
      <c r="J33" s="22">
        <f>MIN(B33:F33)</f>
        <v/>
      </c>
      <c r="K33" s="22">
        <f>I33-J33</f>
        <v/>
      </c>
    </row>
    <row r="34">
      <c r="A34" s="22" t="inlineStr">
        <is>
          <t>STU-0032</t>
        </is>
      </c>
      <c r="B34" s="32" t="n">
        <v>86</v>
      </c>
      <c r="C34" s="32" t="n">
        <v>67</v>
      </c>
      <c r="D34" s="32" t="n">
        <v>84</v>
      </c>
      <c r="E34" s="32" t="n">
        <v>65</v>
      </c>
      <c r="F34" s="32" t="n">
        <v>57</v>
      </c>
      <c r="G34" s="33">
        <f>ROUND(AVERAGE(B34:E34),1)</f>
        <v/>
      </c>
      <c r="H34" s="22">
        <f>IF(MIN(B34:F34)&gt;='Config'!$B$3,"PASS","REVIEW")</f>
        <v/>
      </c>
      <c r="I34" s="22">
        <f>MAX(B34:F34)</f>
        <v/>
      </c>
      <c r="J34" s="22">
        <f>MIN(B34:F34)</f>
        <v/>
      </c>
      <c r="K34" s="22">
        <f>I34-J34</f>
        <v/>
      </c>
    </row>
    <row r="35">
      <c r="A35" s="22" t="inlineStr">
        <is>
          <t>STU-0033</t>
        </is>
      </c>
      <c r="B35" s="32" t="n">
        <v>48</v>
      </c>
      <c r="C35" s="32" t="n">
        <v>94</v>
      </c>
      <c r="D35" s="32" t="n">
        <v>72</v>
      </c>
      <c r="E35" s="32" t="n">
        <v>54</v>
      </c>
      <c r="F35" s="32" t="n">
        <v>97</v>
      </c>
      <c r="G35" s="33">
        <f>ROUND(AVERAGE(B35:E35),1)</f>
        <v/>
      </c>
      <c r="H35" s="22">
        <f>IF(MIN(B35:F35)&gt;='Config'!$B$3,"PASS","REVIEW")</f>
        <v/>
      </c>
      <c r="I35" s="22">
        <f>MAX(B35:F35)</f>
        <v/>
      </c>
      <c r="J35" s="22">
        <f>MIN(B35:F35)</f>
        <v/>
      </c>
      <c r="K35" s="22">
        <f>I35-J35</f>
        <v/>
      </c>
    </row>
    <row r="36">
      <c r="A36" s="22" t="inlineStr">
        <is>
          <t>STU-0034</t>
        </is>
      </c>
      <c r="B36" s="32" t="n">
        <v>98</v>
      </c>
      <c r="C36" s="32" t="n">
        <v>72</v>
      </c>
      <c r="D36" s="32" t="n">
        <v>85</v>
      </c>
      <c r="E36" s="32" t="n">
        <v>84</v>
      </c>
      <c r="F36" s="32" t="n">
        <v>58</v>
      </c>
      <c r="G36" s="33">
        <f>ROUND(AVERAGE(B36:F36),1)</f>
        <v/>
      </c>
      <c r="H36" s="22">
        <f>IF(MIN(B36:F36)&gt;='Config'!$B$3,"PASS","REVIEW")</f>
        <v/>
      </c>
      <c r="I36" s="22">
        <f>MAX(B36:F36)</f>
        <v/>
      </c>
      <c r="J36" s="22">
        <f>MIN(B36:F36)</f>
        <v/>
      </c>
      <c r="K36" s="22">
        <f>I36-J36</f>
        <v/>
      </c>
    </row>
    <row r="37">
      <c r="A37" s="22" t="inlineStr">
        <is>
          <t>STU-0035</t>
        </is>
      </c>
      <c r="B37" s="32" t="n">
        <v>86</v>
      </c>
      <c r="C37" s="32" t="n">
        <v>53</v>
      </c>
      <c r="D37" s="32" t="n">
        <v>53</v>
      </c>
      <c r="E37" s="32" t="n">
        <v>37</v>
      </c>
      <c r="F37" s="32" t="n">
        <v>72</v>
      </c>
      <c r="G37" s="33">
        <f>ROUND(AVERAGE(B37:F37),1)</f>
        <v/>
      </c>
      <c r="H37" s="22">
        <f>IF(MIN(B37:F37)&gt;='Config'!$B$3,"PASS","REVIEW")</f>
        <v/>
      </c>
      <c r="I37" s="22">
        <f>MAX(B37:F37)</f>
        <v/>
      </c>
      <c r="J37" s="22">
        <f>MIN(B37:F37)</f>
        <v/>
      </c>
      <c r="K37" s="22">
        <f>I37-J37</f>
        <v/>
      </c>
    </row>
    <row r="38">
      <c r="A38" s="22" t="inlineStr">
        <is>
          <t>STU-0036</t>
        </is>
      </c>
      <c r="B38" s="32" t="n">
        <v>46</v>
      </c>
      <c r="C38" s="32" t="n">
        <v>76</v>
      </c>
      <c r="D38" s="32" t="n">
        <v>35</v>
      </c>
      <c r="E38" s="32" t="n">
        <v>84</v>
      </c>
      <c r="F38" s="32" t="n">
        <v>72</v>
      </c>
      <c r="G38" s="33">
        <f>ROUND(AVERAGE(B38:F38),1)</f>
        <v/>
      </c>
      <c r="H38" s="22">
        <f>IF(MIN(B38:F38)&gt;='Config'!$B$3,"PASS","REVIEW")</f>
        <v/>
      </c>
      <c r="I38" s="22">
        <f>MAX(B38:F38)</f>
        <v/>
      </c>
      <c r="J38" s="22">
        <f>MIN(B38:F38)</f>
        <v/>
      </c>
      <c r="K38" s="22">
        <f>I38-J38</f>
        <v/>
      </c>
    </row>
    <row r="39">
      <c r="A39" s="22" t="inlineStr">
        <is>
          <t>STU-0037</t>
        </is>
      </c>
      <c r="B39" s="32" t="n">
        <v>43</v>
      </c>
      <c r="C39" s="32" t="n">
        <v>35</v>
      </c>
      <c r="D39" s="32" t="n">
        <v>51</v>
      </c>
      <c r="E39" s="32" t="n">
        <v>83</v>
      </c>
      <c r="F39" s="32" t="n">
        <v>82</v>
      </c>
      <c r="G39" s="33">
        <f>ROUND(AVERAGE(B39:F39),1)</f>
        <v/>
      </c>
      <c r="H39" s="22">
        <f>IF(MIN(B39:F39)&gt;='Config'!$B$3,"PASS","REVIEW")</f>
        <v/>
      </c>
      <c r="I39" s="22">
        <f>MAX(B39:F39)</f>
        <v/>
      </c>
      <c r="J39" s="22">
        <f>MIN(B39:F39)</f>
        <v/>
      </c>
      <c r="K39" s="22">
        <f>I39-J39</f>
        <v/>
      </c>
    </row>
    <row r="40">
      <c r="A40" s="22" t="inlineStr">
        <is>
          <t>STU-0038</t>
        </is>
      </c>
      <c r="B40" s="32" t="n">
        <v>40</v>
      </c>
      <c r="C40" s="32" t="n">
        <v>51</v>
      </c>
      <c r="D40" s="32" t="n">
        <v>50</v>
      </c>
      <c r="E40" s="32" t="n">
        <v>98</v>
      </c>
      <c r="F40" s="32" t="n">
        <v>53</v>
      </c>
      <c r="G40" s="33">
        <f>ROUND(AVERAGE(B40:F40),1)</f>
        <v/>
      </c>
      <c r="H40" s="22">
        <f>IF(MIN(B40:F40)&gt;='Config'!$B$3,"PASS","REVIEW")</f>
        <v/>
      </c>
      <c r="I40" s="22">
        <f>MAX(B40:F40)</f>
        <v/>
      </c>
      <c r="J40" s="22">
        <f>MIN(B40:F40)</f>
        <v/>
      </c>
      <c r="K40" s="22">
        <f>I40-J40</f>
        <v/>
      </c>
    </row>
    <row r="41">
      <c r="A41" s="22" t="inlineStr">
        <is>
          <t>STU-0039</t>
        </is>
      </c>
      <c r="B41" s="32" t="n">
        <v>51</v>
      </c>
      <c r="C41" s="32" t="n">
        <v>40</v>
      </c>
      <c r="D41" s="32" t="n">
        <v>75</v>
      </c>
      <c r="E41" s="32" t="n">
        <v>38</v>
      </c>
      <c r="F41" s="32" t="n">
        <v>92</v>
      </c>
      <c r="G41" s="33">
        <f>ROUND(AVERAGE(B41:F41),1)</f>
        <v/>
      </c>
      <c r="H41" s="22">
        <f>IF(MIN(B41:F41)&gt;='Config'!$B$3,"PASS","REVIEW")</f>
        <v/>
      </c>
      <c r="I41" s="22">
        <f>MAX(B41:F41)</f>
        <v/>
      </c>
      <c r="J41" s="22">
        <f>MIN(B41:F41)</f>
        <v/>
      </c>
      <c r="K41" s="22">
        <f>I41-J41</f>
        <v/>
      </c>
    </row>
    <row r="42">
      <c r="A42" s="22" t="inlineStr">
        <is>
          <t>STU-0040</t>
        </is>
      </c>
      <c r="B42" s="32" t="n">
        <v>74</v>
      </c>
      <c r="C42" s="32" t="n">
        <v>38</v>
      </c>
      <c r="D42" s="32" t="n">
        <v>66</v>
      </c>
      <c r="E42" s="32" t="n">
        <v>52</v>
      </c>
      <c r="F42" s="32" t="n">
        <v>96</v>
      </c>
      <c r="G42" s="33">
        <f>ROUND(AVERAGE(B42:F42),1)</f>
        <v/>
      </c>
      <c r="H42" s="22">
        <f>IF(MIN(B42:F42)&gt;='Config'!$B$3,"PASS","REVIEW")</f>
        <v/>
      </c>
      <c r="I42" s="22">
        <f>MAX(B42:F42)</f>
        <v/>
      </c>
      <c r="J42" s="22">
        <f>MIN(B42:F42)</f>
        <v/>
      </c>
      <c r="K42" s="22">
        <f>I42-J42</f>
        <v/>
      </c>
    </row>
    <row r="43">
      <c r="A43" s="22" t="inlineStr">
        <is>
          <t>STU-0041</t>
        </is>
      </c>
      <c r="B43" s="32" t="n">
        <v>57</v>
      </c>
      <c r="C43" s="32" t="n">
        <v>72</v>
      </c>
      <c r="D43" s="32" t="n">
        <v>42</v>
      </c>
      <c r="E43" s="32" t="n">
        <v>43</v>
      </c>
      <c r="F43" s="32" t="n">
        <v>55</v>
      </c>
      <c r="G43" s="33">
        <f>ROUND(AVERAGE(B43:F43),1)</f>
        <v/>
      </c>
      <c r="H43" s="22">
        <f>IF(MIN(B43:F43)&gt;='Config'!$B$3,"PASS","REVIEW")</f>
        <v/>
      </c>
      <c r="I43" s="22">
        <f>MAX(B43:F43)</f>
        <v/>
      </c>
      <c r="J43" s="22">
        <f>MIN(B43:F43)</f>
        <v/>
      </c>
      <c r="K43" s="22">
        <f>I43-J43</f>
        <v/>
      </c>
    </row>
    <row r="44">
      <c r="A44" s="22" t="inlineStr">
        <is>
          <t>STU-0042</t>
        </is>
      </c>
      <c r="B44" s="32" t="n">
        <v>88</v>
      </c>
      <c r="C44" s="32" t="n">
        <v>66</v>
      </c>
      <c r="D44" s="32" t="n">
        <v>88</v>
      </c>
      <c r="E44" s="32" t="n">
        <v>46</v>
      </c>
      <c r="F44" s="32" t="n">
        <v>88</v>
      </c>
      <c r="G44" s="33">
        <f>ROUND(AVERAGE(B44:F44),1)</f>
        <v/>
      </c>
      <c r="H44" s="22">
        <f>IF(MIN(B44:F44)&gt;='Config'!$B$3,"PASS","REVIEW")</f>
        <v/>
      </c>
      <c r="I44" s="22">
        <f>MAX(B44:F44)</f>
        <v/>
      </c>
      <c r="J44" s="22">
        <f>MIN(B44:F44)</f>
        <v/>
      </c>
      <c r="K44" s="22">
        <f>I44-J44</f>
        <v/>
      </c>
    </row>
    <row r="45">
      <c r="A45" s="22" t="inlineStr">
        <is>
          <t>STU-0043</t>
        </is>
      </c>
      <c r="B45" s="32" t="n">
        <v>85</v>
      </c>
      <c r="C45" s="32" t="n">
        <v>92</v>
      </c>
      <c r="D45" s="32" t="n">
        <v>85</v>
      </c>
      <c r="E45" s="32" t="n">
        <v>85</v>
      </c>
      <c r="F45" s="32" t="n">
        <v>66</v>
      </c>
      <c r="G45" s="33">
        <f>ROUND(AVERAGE(B45:F45),1)</f>
        <v/>
      </c>
      <c r="H45" s="22">
        <f>IF(MIN(B45:F45)&gt;='Config'!$B$3,"PASS","REVIEW")</f>
        <v/>
      </c>
      <c r="I45" s="22">
        <f>MAX(B45:F45)</f>
        <v/>
      </c>
      <c r="J45" s="22">
        <f>MIN(B45:F45)</f>
        <v/>
      </c>
      <c r="K45" s="22">
        <f>I45-J45</f>
        <v/>
      </c>
    </row>
    <row r="46">
      <c r="A46" s="22" t="inlineStr">
        <is>
          <t>STU-0044</t>
        </is>
      </c>
      <c r="B46" s="32" t="n">
        <v>75</v>
      </c>
      <c r="C46" s="32" t="n">
        <v>79</v>
      </c>
      <c r="D46" s="32" t="n">
        <v>99</v>
      </c>
      <c r="E46" s="32" t="n">
        <v>68</v>
      </c>
      <c r="F46" s="32" t="n">
        <v>40</v>
      </c>
      <c r="G46" s="33">
        <f>ROUND(AVERAGE(B46:F46),1)</f>
        <v/>
      </c>
      <c r="H46" s="22">
        <f>IF(MIN(B46:F46)&gt;='Config'!$B$3,"PASS","REVIEW")</f>
        <v/>
      </c>
      <c r="I46" s="22">
        <f>MAX(B46:F46)</f>
        <v/>
      </c>
      <c r="J46" s="22">
        <f>MIN(B46:F46)</f>
        <v/>
      </c>
      <c r="K46" s="22">
        <f>I46-J46</f>
        <v/>
      </c>
    </row>
    <row r="47">
      <c r="A47" s="22" t="inlineStr">
        <is>
          <t>STU-0045</t>
        </is>
      </c>
      <c r="B47" s="32" t="n">
        <v>77</v>
      </c>
      <c r="C47" s="32" t="n">
        <v>36</v>
      </c>
      <c r="D47" s="32" t="n">
        <v>51</v>
      </c>
      <c r="E47" s="32" t="n">
        <v>96</v>
      </c>
      <c r="F47" s="32" t="n">
        <v>76</v>
      </c>
      <c r="G47" s="33">
        <f>ROUND(AVERAGE(B47:F47),1)</f>
        <v/>
      </c>
      <c r="H47" s="22">
        <f>IF(MIN(B47:F47)&gt;='Config'!$B$3,"PASS","REVIEW")</f>
        <v/>
      </c>
      <c r="I47" s="22">
        <f>MAX(B47:F47)</f>
        <v/>
      </c>
      <c r="J47" s="22">
        <f>MIN(B47:F47)</f>
        <v/>
      </c>
      <c r="K47" s="22">
        <f>I47-J47</f>
        <v/>
      </c>
    </row>
    <row r="48">
      <c r="A48" s="22" t="inlineStr">
        <is>
          <t>STU-0046</t>
        </is>
      </c>
      <c r="B48" s="32" t="n">
        <v>54</v>
      </c>
      <c r="C48" s="32" t="n">
        <v>35</v>
      </c>
      <c r="D48" s="32" t="n">
        <v>82</v>
      </c>
      <c r="E48" s="32" t="n">
        <v>53</v>
      </c>
      <c r="F48" s="32" t="n">
        <v>74</v>
      </c>
      <c r="G48" s="33">
        <f>ROUND(AVERAGE(B48:F48),1)</f>
        <v/>
      </c>
      <c r="H48" s="22">
        <f>IF(MIN(B48:F48)&gt;='Config'!$B$3,"PASS","REVIEW")</f>
        <v/>
      </c>
      <c r="I48" s="22">
        <f>MAX(B48:F48)</f>
        <v/>
      </c>
      <c r="J48" s="22">
        <f>MIN(B48:F48)</f>
        <v/>
      </c>
      <c r="K48" s="22">
        <f>I48-J48</f>
        <v/>
      </c>
    </row>
    <row r="49">
      <c r="A49" s="22" t="inlineStr">
        <is>
          <t>STU-0047</t>
        </is>
      </c>
      <c r="B49" s="32" t="n">
        <v>80</v>
      </c>
      <c r="C49" s="32" t="n">
        <v>80</v>
      </c>
      <c r="D49" s="32" t="n">
        <v>99</v>
      </c>
      <c r="E49" s="32" t="n">
        <v>66</v>
      </c>
      <c r="F49" s="32" t="n">
        <v>83</v>
      </c>
      <c r="G49" s="33">
        <f>ROUND(AVERAGE(B49:F49),1)</f>
        <v/>
      </c>
      <c r="H49" s="22">
        <f>IF(MIN(B49:F49)&gt;='Config'!$B$3,"PASS","REVIEW")</f>
        <v/>
      </c>
      <c r="I49" s="22">
        <f>MAX(B49:F49)</f>
        <v/>
      </c>
      <c r="J49" s="22">
        <f>MIN(B49:F49)</f>
        <v/>
      </c>
      <c r="K49" s="22">
        <f>I49-J49</f>
        <v/>
      </c>
    </row>
    <row r="50">
      <c r="A50" s="22" t="inlineStr">
        <is>
          <t>STU-0048</t>
        </is>
      </c>
      <c r="B50" s="32" t="n">
        <v>62</v>
      </c>
      <c r="C50" s="32" t="n">
        <v>49</v>
      </c>
      <c r="D50" s="32" t="n">
        <v>60</v>
      </c>
      <c r="E50" s="32" t="n">
        <v>88</v>
      </c>
      <c r="F50" s="32" t="n">
        <v>94</v>
      </c>
      <c r="G50" s="33">
        <f>ROUND(AVERAGE(B50:F50),1)</f>
        <v/>
      </c>
      <c r="H50" s="22">
        <f>IF(MIN(B50:F50)&gt;='Config'!$B$3,"PASS","REVIEW")</f>
        <v/>
      </c>
      <c r="I50" s="22">
        <f>MAX(B50:F50)</f>
        <v/>
      </c>
      <c r="J50" s="22">
        <f>MIN(B50:F50)</f>
        <v/>
      </c>
      <c r="K50" s="22">
        <f>I50-J50</f>
        <v/>
      </c>
    </row>
    <row r="51">
      <c r="A51" s="22" t="inlineStr">
        <is>
          <t>STU-0049</t>
        </is>
      </c>
      <c r="B51" s="32" t="n">
        <v>81</v>
      </c>
      <c r="C51" s="32" t="n">
        <v>37</v>
      </c>
      <c r="D51" s="32" t="n">
        <v>99</v>
      </c>
      <c r="E51" s="32" t="n">
        <v>50</v>
      </c>
      <c r="F51" s="32" t="n">
        <v>99</v>
      </c>
      <c r="G51" s="33">
        <f>ROUND(AVERAGE(B51:F51),1)</f>
        <v/>
      </c>
      <c r="H51" s="22">
        <f>IF(MIN(B51:F51)&gt;='Config'!$B$3,"PASS","REVIEW")</f>
        <v/>
      </c>
      <c r="I51" s="22">
        <f>MAX(B51:F51)</f>
        <v/>
      </c>
      <c r="J51" s="22">
        <f>MIN(B51:F51)</f>
        <v/>
      </c>
      <c r="K51" s="22">
        <f>I51-J51</f>
        <v/>
      </c>
    </row>
    <row r="52">
      <c r="A52" s="22" t="inlineStr">
        <is>
          <t>STU-0050</t>
        </is>
      </c>
      <c r="B52" s="32" t="n">
        <v>62</v>
      </c>
      <c r="C52" s="32" t="n">
        <v>86</v>
      </c>
      <c r="D52" s="32" t="n">
        <v>45</v>
      </c>
      <c r="E52" s="32" t="n">
        <v>68</v>
      </c>
      <c r="F52" s="32" t="n">
        <v>60</v>
      </c>
      <c r="G52" s="33">
        <f>ROUND(AVERAGE(B52:F52),1)</f>
        <v/>
      </c>
      <c r="H52" s="22">
        <f>IF(MIN(B52:F52)&gt;='Config'!$B$3,"PASS","REVIEW")</f>
        <v/>
      </c>
      <c r="I52" s="22">
        <f>MAX(B52:F52)</f>
        <v/>
      </c>
      <c r="J52" s="22">
        <f>MIN(B52:F52)</f>
        <v/>
      </c>
      <c r="K52" s="22">
        <f>I52-J52</f>
        <v/>
      </c>
    </row>
    <row r="53">
      <c r="A53" s="22" t="inlineStr">
        <is>
          <t>STU-0051</t>
        </is>
      </c>
      <c r="B53" s="32" t="n">
        <v>59</v>
      </c>
      <c r="C53" s="32" t="n">
        <v>71</v>
      </c>
      <c r="D53" s="32" t="n">
        <v>83</v>
      </c>
      <c r="E53" s="32" t="n">
        <v>87</v>
      </c>
      <c r="F53" s="32" t="n">
        <v>82</v>
      </c>
      <c r="G53" s="33">
        <f>ROUND(AVERAGE(B53:F53),1)</f>
        <v/>
      </c>
      <c r="H53" s="22">
        <f>IF(MIN(B53:F53)&gt;='Config'!$B$3,"PASS","REVIEW")</f>
        <v/>
      </c>
      <c r="I53" s="22">
        <f>MAX(B53:F53)</f>
        <v/>
      </c>
      <c r="J53" s="22">
        <f>MIN(B53:F53)</f>
        <v/>
      </c>
      <c r="K53" s="22">
        <f>I53-J53</f>
        <v/>
      </c>
    </row>
    <row r="54">
      <c r="A54" s="22" t="inlineStr">
        <is>
          <t>STU-0052</t>
        </is>
      </c>
      <c r="B54" s="32" t="n">
        <v>63</v>
      </c>
      <c r="C54" s="32" t="n">
        <v>58</v>
      </c>
      <c r="D54" s="32" t="n">
        <v>100</v>
      </c>
      <c r="E54" s="32" t="n">
        <v>36</v>
      </c>
      <c r="F54" s="32" t="n">
        <v>86</v>
      </c>
      <c r="G54" s="33">
        <f>ROUND(AVERAGE(B54:F54),1)</f>
        <v/>
      </c>
      <c r="H54" s="22">
        <f>IF(MIN(B54:F54)&gt;='Config'!$B$3,"PASS","REVIEW")</f>
        <v/>
      </c>
      <c r="I54" s="22">
        <f>MAX(B54:F54)</f>
        <v/>
      </c>
      <c r="J54" s="22">
        <f>MIN(B54:F54)</f>
        <v/>
      </c>
      <c r="K54" s="22">
        <f>I54-J54</f>
        <v/>
      </c>
    </row>
    <row r="55">
      <c r="A55" s="22" t="inlineStr">
        <is>
          <t>STU-0053</t>
        </is>
      </c>
      <c r="B55" s="32" t="n">
        <v>60</v>
      </c>
      <c r="C55" s="32" t="n">
        <v>66</v>
      </c>
      <c r="D55" s="32" t="n">
        <v>65</v>
      </c>
      <c r="E55" s="32" t="n">
        <v>94</v>
      </c>
      <c r="F55" s="32" t="n">
        <v>76</v>
      </c>
      <c r="G55" s="33">
        <f>ROUND(AVERAGE(B55:F55),1)</f>
        <v/>
      </c>
      <c r="H55" s="22">
        <f>IF(MIN(B55:F55)&gt;='Config'!$B$3,"PASS","REVIEW")</f>
        <v/>
      </c>
      <c r="I55" s="22">
        <f>MAX(B55:F55)</f>
        <v/>
      </c>
      <c r="J55" s="22">
        <f>MIN(B55:F55)</f>
        <v/>
      </c>
      <c r="K55" s="22">
        <f>I55-J55</f>
        <v/>
      </c>
    </row>
    <row r="56">
      <c r="A56" s="22" t="inlineStr">
        <is>
          <t>STU-0054</t>
        </is>
      </c>
      <c r="B56" s="32" t="n">
        <v>51</v>
      </c>
      <c r="C56" s="32" t="n">
        <v>44</v>
      </c>
      <c r="D56" s="32" t="n">
        <v>39</v>
      </c>
      <c r="E56" s="32" t="n">
        <v>48</v>
      </c>
      <c r="F56" s="32" t="n">
        <v>94</v>
      </c>
      <c r="G56" s="33">
        <f>ROUND(AVERAGE(B56:F56),1)</f>
        <v/>
      </c>
      <c r="H56" s="22">
        <f>IF(MIN(B56:F56)&gt;='Config'!$B$3,"PASS","REVIEW")</f>
        <v/>
      </c>
      <c r="I56" s="22">
        <f>MAX(B56:F56)</f>
        <v/>
      </c>
      <c r="J56" s="22">
        <f>MIN(B56:F56)</f>
        <v/>
      </c>
      <c r="K56" s="22">
        <f>I56-J56</f>
        <v/>
      </c>
    </row>
    <row r="57">
      <c r="A57" s="22" t="inlineStr">
        <is>
          <t>STU-0055</t>
        </is>
      </c>
      <c r="B57" s="32" t="n">
        <v>55</v>
      </c>
      <c r="C57" s="32" t="n">
        <v>90</v>
      </c>
      <c r="D57" s="32" t="n">
        <v>65</v>
      </c>
      <c r="E57" s="32" t="n">
        <v>79</v>
      </c>
      <c r="F57" s="32" t="n">
        <v>95</v>
      </c>
      <c r="G57" s="33">
        <f>ROUND(AVERAGE(B57:F57),1)</f>
        <v/>
      </c>
      <c r="H57" s="22">
        <f>IF(MIN(B57:F57)&gt;='Config'!$B$3,"PASS","REVIEW")</f>
        <v/>
      </c>
      <c r="I57" s="22">
        <f>MAX(B57:F57)</f>
        <v/>
      </c>
      <c r="J57" s="22">
        <f>MIN(B57:F57)</f>
        <v/>
      </c>
      <c r="K57" s="22">
        <f>I57-J57</f>
        <v/>
      </c>
    </row>
    <row r="58">
      <c r="A58" s="22" t="inlineStr">
        <is>
          <t>STU-0056</t>
        </is>
      </c>
      <c r="B58" s="32" t="n">
        <v>90</v>
      </c>
      <c r="C58" s="32" t="n">
        <v>48</v>
      </c>
      <c r="D58" s="32" t="n">
        <v>95</v>
      </c>
      <c r="E58" s="32" t="n">
        <v>100</v>
      </c>
      <c r="F58" s="32" t="n">
        <v>48</v>
      </c>
      <c r="G58" s="33">
        <f>ROUND(AVERAGE(B58:F58),1)</f>
        <v/>
      </c>
      <c r="H58" s="22">
        <f>IF(MIN(B58:F58)&gt;='Config'!$B$3,"PASS","REVIEW")</f>
        <v/>
      </c>
      <c r="I58" s="22">
        <f>MAX(B58:F58)</f>
        <v/>
      </c>
      <c r="J58" s="22">
        <f>MIN(B58:F58)</f>
        <v/>
      </c>
      <c r="K58" s="22">
        <f>I58-J58</f>
        <v/>
      </c>
    </row>
    <row r="59">
      <c r="A59" s="22" t="inlineStr">
        <is>
          <t>STU-0057</t>
        </is>
      </c>
      <c r="B59" s="32" t="n">
        <v>61</v>
      </c>
      <c r="C59" s="32" t="n">
        <v>49</v>
      </c>
      <c r="D59" s="32" t="n">
        <v>86</v>
      </c>
      <c r="E59" s="32" t="n">
        <v>46</v>
      </c>
      <c r="F59" s="32" t="n">
        <v>97</v>
      </c>
      <c r="G59" s="33">
        <f>ROUND(AVERAGE(B59:F59),1)</f>
        <v/>
      </c>
      <c r="H59" s="22">
        <f>IF(MIN(B59:F59)&gt;='Config'!$B$3,"PASS","REVIEW")</f>
        <v/>
      </c>
      <c r="I59" s="22">
        <f>MAX(B59:F59)</f>
        <v/>
      </c>
      <c r="J59" s="22">
        <f>MIN(B59:F59)</f>
        <v/>
      </c>
      <c r="K59" s="22">
        <f>I59-J59</f>
        <v/>
      </c>
    </row>
    <row r="60">
      <c r="A60" s="22" t="inlineStr">
        <is>
          <t>STU-0058</t>
        </is>
      </c>
      <c r="B60" s="32" t="n">
        <v>99</v>
      </c>
      <c r="C60" s="32" t="n">
        <v>90</v>
      </c>
      <c r="D60" s="32" t="n">
        <v>81</v>
      </c>
      <c r="E60" s="32" t="n">
        <v>37</v>
      </c>
      <c r="F60" s="32" t="n">
        <v>91</v>
      </c>
      <c r="G60" s="33">
        <f>ROUND(AVERAGE(B60:F60),1)</f>
        <v/>
      </c>
      <c r="H60" s="22">
        <f>IF(MIN(B60:F60)&gt;='Config'!$B$3,"PASS","REVIEW")</f>
        <v/>
      </c>
      <c r="I60" s="22">
        <f>MAX(B60:F60)</f>
        <v/>
      </c>
      <c r="J60" s="22">
        <f>MIN(B60:F60)</f>
        <v/>
      </c>
      <c r="K60" s="22">
        <f>I60-J60</f>
        <v/>
      </c>
    </row>
    <row r="61">
      <c r="A61" s="22" t="inlineStr">
        <is>
          <t>STU-0059</t>
        </is>
      </c>
      <c r="B61" s="32" t="n">
        <v>70</v>
      </c>
      <c r="C61" s="32" t="n">
        <v>63</v>
      </c>
      <c r="D61" s="32" t="n">
        <v>46</v>
      </c>
      <c r="E61" s="32" t="n">
        <v>57</v>
      </c>
      <c r="F61" s="32" t="n">
        <v>81</v>
      </c>
      <c r="G61" s="33">
        <f>ROUND(AVERAGE(B61:F61),1)</f>
        <v/>
      </c>
      <c r="H61" s="22">
        <f>IF(MIN(B61:F61)&gt;='Config'!$B$3,"PASS","REVIEW")</f>
        <v/>
      </c>
      <c r="I61" s="22">
        <f>MAX(B61:F61)</f>
        <v/>
      </c>
      <c r="J61" s="22">
        <f>MIN(B61:F61)</f>
        <v/>
      </c>
      <c r="K61" s="22">
        <f>I61-J61</f>
        <v/>
      </c>
    </row>
    <row r="62">
      <c r="A62" s="22" t="inlineStr">
        <is>
          <t>STU-0060</t>
        </is>
      </c>
      <c r="B62" s="32" t="n">
        <v>35</v>
      </c>
      <c r="C62" s="32" t="n">
        <v>63</v>
      </c>
      <c r="D62" s="32" t="n">
        <v>35</v>
      </c>
      <c r="E62" s="32" t="n">
        <v>81</v>
      </c>
      <c r="F62" s="32" t="n">
        <v>40</v>
      </c>
      <c r="G62" s="33">
        <f>ROUND(AVERAGE(B62:F62),1)</f>
        <v/>
      </c>
      <c r="H62" s="22">
        <f>IF(MIN(B62:F62)&gt;='Config'!$B$3,"PASS","REVIEW")</f>
        <v/>
      </c>
      <c r="I62" s="22">
        <f>MAX(B62:F62)</f>
        <v/>
      </c>
      <c r="J62" s="22">
        <f>MIN(B62:F62)</f>
        <v/>
      </c>
      <c r="K62" s="22">
        <f>I62-J62</f>
        <v/>
      </c>
    </row>
    <row r="63">
      <c r="A63" s="22" t="inlineStr">
        <is>
          <t>STU-0061</t>
        </is>
      </c>
      <c r="B63" s="32" t="n">
        <v>35</v>
      </c>
      <c r="C63" s="32" t="n">
        <v>86</v>
      </c>
      <c r="D63" s="32" t="n">
        <v>62</v>
      </c>
      <c r="E63" s="32" t="n">
        <v>61</v>
      </c>
      <c r="F63" s="32" t="n">
        <v>73</v>
      </c>
      <c r="G63" s="33">
        <f>ROUND(AVERAGE(B63:F63),1)</f>
        <v/>
      </c>
      <c r="H63" s="22">
        <f>IF(MIN(B63:F63)&gt;='Config'!$B$3,"PASS","REVIEW")</f>
        <v/>
      </c>
      <c r="I63" s="22">
        <f>MAX(B63:F63)</f>
        <v/>
      </c>
      <c r="J63" s="22">
        <f>MIN(B63:F63)</f>
        <v/>
      </c>
      <c r="K63" s="22">
        <f>I63-J63</f>
        <v/>
      </c>
    </row>
    <row r="64">
      <c r="A64" s="22" t="inlineStr">
        <is>
          <t>STU-0062</t>
        </is>
      </c>
      <c r="B64" s="32" t="n">
        <v>65</v>
      </c>
      <c r="C64" s="32" t="n">
        <v>46</v>
      </c>
      <c r="D64" s="32" t="n">
        <v>100</v>
      </c>
      <c r="E64" s="32" t="n">
        <v>42</v>
      </c>
      <c r="F64" s="32" t="n">
        <v>100</v>
      </c>
      <c r="G64" s="33">
        <f>ROUND(AVERAGE(B64:F64),1)</f>
        <v/>
      </c>
      <c r="H64" s="22">
        <f>IF(MIN(B64:F64)&gt;='Config'!$B$3,"PASS","REVIEW")</f>
        <v/>
      </c>
      <c r="I64" s="22">
        <f>MAX(B64:F64)</f>
        <v/>
      </c>
      <c r="J64" s="22">
        <f>MIN(B64:F64)</f>
        <v/>
      </c>
      <c r="K64" s="22">
        <f>I64-J64</f>
        <v/>
      </c>
    </row>
    <row r="65">
      <c r="A65" s="22" t="inlineStr">
        <is>
          <t>STU-0063</t>
        </is>
      </c>
      <c r="B65" s="32" t="n">
        <v>44</v>
      </c>
      <c r="C65" s="32" t="n">
        <v>46</v>
      </c>
      <c r="D65" s="32" t="n">
        <v>99</v>
      </c>
      <c r="E65" s="32" t="n">
        <v>96</v>
      </c>
      <c r="F65" s="32" t="n">
        <v>74</v>
      </c>
      <c r="G65" s="33">
        <f>ROUND(AVERAGE(B65:F65),1)</f>
        <v/>
      </c>
      <c r="H65" s="22">
        <f>IF(MIN(B65:F65)&gt;='Config'!$B$3,"PASS","REVIEW")</f>
        <v/>
      </c>
      <c r="I65" s="22">
        <f>MAX(B65:F65)</f>
        <v/>
      </c>
      <c r="J65" s="22">
        <f>MIN(B65:F65)</f>
        <v/>
      </c>
      <c r="K65" s="22">
        <f>I65-J65</f>
        <v/>
      </c>
    </row>
    <row r="66">
      <c r="A66" s="22" t="inlineStr">
        <is>
          <t>STU-0064</t>
        </is>
      </c>
      <c r="B66" s="32" t="n">
        <v>61</v>
      </c>
      <c r="C66" s="32" t="n">
        <v>80</v>
      </c>
      <c r="D66" s="32" t="n">
        <v>55</v>
      </c>
      <c r="E66" s="32" t="n">
        <v>70</v>
      </c>
      <c r="F66" s="32" t="n">
        <v>91</v>
      </c>
      <c r="G66" s="33">
        <f>ROUND(AVERAGE(B66:F66),1)</f>
        <v/>
      </c>
      <c r="H66" s="22">
        <f>IF(MIN(B66:F66)&gt;='Config'!$B$3,"PASS","REVIEW")</f>
        <v/>
      </c>
      <c r="I66" s="22">
        <f>MAX(B66:F66)</f>
        <v/>
      </c>
      <c r="J66" s="22">
        <f>MIN(B66:F66)</f>
        <v/>
      </c>
      <c r="K66" s="22">
        <f>I66-J66</f>
        <v/>
      </c>
    </row>
    <row r="67">
      <c r="A67" s="22" t="inlineStr">
        <is>
          <t>STU-0065</t>
        </is>
      </c>
      <c r="B67" s="32" t="n">
        <v>68</v>
      </c>
      <c r="C67" s="32" t="n">
        <v>55</v>
      </c>
      <c r="D67" s="32" t="n">
        <v>53</v>
      </c>
      <c r="E67" s="32" t="n">
        <v>90</v>
      </c>
      <c r="F67" s="32" t="n">
        <v>81</v>
      </c>
      <c r="G67" s="33">
        <f>ROUND(AVERAGE(B67:F67),1)</f>
        <v/>
      </c>
      <c r="H67" s="22">
        <f>IF(MIN(B67:F67)&gt;='Config'!$B$3,"PASS","REVIEW")</f>
        <v/>
      </c>
      <c r="I67" s="22">
        <f>MAX(B67:F67)</f>
        <v/>
      </c>
      <c r="J67" s="22">
        <f>MIN(B67:F67)</f>
        <v/>
      </c>
      <c r="K67" s="22">
        <f>I67-J67</f>
        <v/>
      </c>
    </row>
    <row r="68">
      <c r="A68" s="22" t="inlineStr">
        <is>
          <t>STU-0066</t>
        </is>
      </c>
      <c r="B68" s="32" t="n">
        <v>68</v>
      </c>
      <c r="C68" s="32" t="n">
        <v>52</v>
      </c>
      <c r="D68" s="32" t="n">
        <v>40</v>
      </c>
      <c r="E68" s="32" t="n">
        <v>60</v>
      </c>
      <c r="F68" s="32" t="n">
        <v>49</v>
      </c>
      <c r="G68" s="33">
        <f>ROUND(AVERAGE(B68:F68),1)</f>
        <v/>
      </c>
      <c r="H68" s="22">
        <f>IF(MIN(B68:F68)&gt;='Config'!$B$3,"PASS","REVIEW")</f>
        <v/>
      </c>
      <c r="I68" s="22">
        <f>MAX(B68:F68)</f>
        <v/>
      </c>
      <c r="J68" s="22">
        <f>MIN(B68:F68)</f>
        <v/>
      </c>
      <c r="K68" s="22">
        <f>I68-J68</f>
        <v/>
      </c>
    </row>
    <row r="69">
      <c r="A69" s="22" t="inlineStr">
        <is>
          <t>STU-0067</t>
        </is>
      </c>
      <c r="B69" s="32" t="n">
        <v>81</v>
      </c>
      <c r="C69" s="32" t="n">
        <v>43</v>
      </c>
      <c r="D69" s="32" t="n">
        <v>100</v>
      </c>
      <c r="E69" s="32" t="n">
        <v>64</v>
      </c>
      <c r="F69" s="32" t="n">
        <v>46</v>
      </c>
      <c r="G69" s="33">
        <f>ROUND(AVERAGE(B69:F69),1)</f>
        <v/>
      </c>
      <c r="H69" s="22">
        <f>IF(MIN(B69:F69)&gt;='Config'!$B$3,"PASS","REVIEW")</f>
        <v/>
      </c>
      <c r="I69" s="22">
        <f>MAX(B69:F69)</f>
        <v/>
      </c>
      <c r="J69" s="22">
        <f>MIN(B69:F69)</f>
        <v/>
      </c>
      <c r="K69" s="22">
        <f>I69-J69</f>
        <v/>
      </c>
    </row>
    <row r="70">
      <c r="A70" s="22" t="inlineStr">
        <is>
          <t>STU-0068</t>
        </is>
      </c>
      <c r="B70" s="32" t="n">
        <v>44</v>
      </c>
      <c r="C70" s="32" t="n">
        <v>82</v>
      </c>
      <c r="D70" s="32" t="n">
        <v>56</v>
      </c>
      <c r="E70" s="32" t="n">
        <v>66</v>
      </c>
      <c r="F70" s="32" t="n">
        <v>97</v>
      </c>
      <c r="G70" s="33">
        <f>ROUND(AVERAGE(B70:F70),1)</f>
        <v/>
      </c>
      <c r="H70" s="22">
        <f>IF(MIN(B70:F70)&gt;='Config'!$B$3,"PASS","REVIEW")</f>
        <v/>
      </c>
      <c r="I70" s="22">
        <f>MAX(B70:F70)</f>
        <v/>
      </c>
      <c r="J70" s="22">
        <f>MIN(B70:F70)</f>
        <v/>
      </c>
      <c r="K70" s="22">
        <f>I70-J70</f>
        <v/>
      </c>
    </row>
    <row r="71">
      <c r="A71" s="22" t="inlineStr">
        <is>
          <t>STU-0069</t>
        </is>
      </c>
      <c r="B71" s="32" t="n">
        <v>51</v>
      </c>
      <c r="C71" s="32" t="n">
        <v>90</v>
      </c>
      <c r="D71" s="32" t="n">
        <v>69</v>
      </c>
      <c r="E71" s="32" t="n">
        <v>47</v>
      </c>
      <c r="F71" s="32" t="n">
        <v>61</v>
      </c>
      <c r="G71" s="33">
        <f>ROUND(AVERAGE(B71:F71),1)</f>
        <v/>
      </c>
      <c r="H71" s="22">
        <f>IF(MIN(B71:F71)&gt;='Config'!$B$3,"PASS","REVIEW")</f>
        <v/>
      </c>
      <c r="I71" s="22">
        <f>MAX(B71:F71)</f>
        <v/>
      </c>
      <c r="J71" s="22">
        <f>MIN(B71:F71)</f>
        <v/>
      </c>
      <c r="K71" s="22">
        <f>I71-J71</f>
        <v/>
      </c>
    </row>
    <row r="72">
      <c r="A72" s="22" t="inlineStr">
        <is>
          <t>STU-0070</t>
        </is>
      </c>
      <c r="B72" s="32" t="n">
        <v>74</v>
      </c>
      <c r="C72" s="32" t="n">
        <v>93</v>
      </c>
      <c r="D72" s="32" t="n">
        <v>76</v>
      </c>
      <c r="E72" s="32" t="n">
        <v>37</v>
      </c>
      <c r="F72" s="32" t="n">
        <v>74</v>
      </c>
      <c r="G72" s="33">
        <f>ROUND(AVERAGE(B72:F72),1)</f>
        <v/>
      </c>
      <c r="H72" s="22">
        <f>IF(MIN(B72:F72)&gt;='Config'!$B$3,"PASS","REVIEW")</f>
        <v/>
      </c>
      <c r="I72" s="22">
        <f>MAX(B72:F72)</f>
        <v/>
      </c>
      <c r="J72" s="22">
        <f>MIN(B72:F72)</f>
        <v/>
      </c>
      <c r="K72" s="22">
        <f>I72-J72</f>
        <v/>
      </c>
    </row>
    <row r="73">
      <c r="A73" s="22" t="inlineStr">
        <is>
          <t>STU-0071</t>
        </is>
      </c>
      <c r="B73" s="32" t="n">
        <v>67</v>
      </c>
      <c r="C73" s="32" t="n">
        <v>61</v>
      </c>
      <c r="D73" s="32" t="n">
        <v>97</v>
      </c>
      <c r="E73" s="32" t="n">
        <v>99</v>
      </c>
      <c r="F73" s="32" t="n">
        <v>61</v>
      </c>
      <c r="G73" s="33">
        <f>ROUND(AVERAGE(B73:F73),1)</f>
        <v/>
      </c>
      <c r="H73" s="22">
        <f>IF(MIN(B73:F73)&gt;='Config'!$B$3,"PASS","REVIEW")</f>
        <v/>
      </c>
      <c r="I73" s="22">
        <f>MAX(B73:F73)</f>
        <v/>
      </c>
      <c r="J73" s="22">
        <f>MIN(B73:F73)</f>
        <v/>
      </c>
      <c r="K73" s="22">
        <f>I73-J73</f>
        <v/>
      </c>
    </row>
    <row r="74">
      <c r="A74" s="22" t="inlineStr">
        <is>
          <t>STU-0072</t>
        </is>
      </c>
      <c r="B74" s="32" t="n">
        <v>38</v>
      </c>
      <c r="C74" s="32" t="n">
        <v>63</v>
      </c>
      <c r="D74" s="32" t="n">
        <v>38</v>
      </c>
      <c r="E74" s="32" t="n">
        <v>47</v>
      </c>
      <c r="F74" s="32" t="n">
        <v>46</v>
      </c>
      <c r="G74" s="33">
        <f>ROUND(AVERAGE(B74:F74),1)</f>
        <v/>
      </c>
      <c r="H74" s="22">
        <f>IF(MIN(B74:F74)&gt;='Config'!$B$3,"PASS","REVIEW")</f>
        <v/>
      </c>
      <c r="I74" s="22">
        <f>MAX(B74:F74)</f>
        <v/>
      </c>
      <c r="J74" s="22">
        <f>MIN(B74:F74)</f>
        <v/>
      </c>
      <c r="K74" s="22">
        <f>I74-J74</f>
        <v/>
      </c>
    </row>
    <row r="75">
      <c r="A75" s="22" t="inlineStr">
        <is>
          <t>STU-0073</t>
        </is>
      </c>
      <c r="B75" s="32" t="n">
        <v>48</v>
      </c>
      <c r="C75" s="32" t="n">
        <v>51</v>
      </c>
      <c r="D75" s="32" t="n">
        <v>51</v>
      </c>
      <c r="E75" s="32" t="n">
        <v>85</v>
      </c>
      <c r="F75" s="32" t="n">
        <v>66</v>
      </c>
      <c r="G75" s="33">
        <f>ROUND(AVERAGE(B75:F75),1)</f>
        <v/>
      </c>
      <c r="H75" s="22">
        <f>IF(MIN(B75:F75)&gt;='Config'!$B$3,"PASS","REVIEW")</f>
        <v/>
      </c>
      <c r="I75" s="22">
        <f>MAX(B75:F75)</f>
        <v/>
      </c>
      <c r="J75" s="22">
        <f>MIN(B75:F75)</f>
        <v/>
      </c>
      <c r="K75" s="22">
        <f>I75-J75</f>
        <v/>
      </c>
    </row>
    <row r="76">
      <c r="A76" s="22" t="inlineStr">
        <is>
          <t>STU-0074</t>
        </is>
      </c>
      <c r="B76" s="32" t="n">
        <v>54</v>
      </c>
      <c r="C76" s="32" t="n">
        <v>90</v>
      </c>
      <c r="D76" s="32" t="n">
        <v>62</v>
      </c>
      <c r="E76" s="32" t="n">
        <v>73</v>
      </c>
      <c r="F76" s="32" t="n">
        <v>65</v>
      </c>
      <c r="G76" s="33">
        <f>ROUND(AVERAGE(B76:F76),1)</f>
        <v/>
      </c>
      <c r="H76" s="22">
        <f>IF(MIN(B76:F76)&gt;='Config'!$B$3,"PASS","REVIEW")</f>
        <v/>
      </c>
      <c r="I76" s="22">
        <f>MAX(B76:F76)</f>
        <v/>
      </c>
      <c r="J76" s="22">
        <f>MIN(B76:F76)</f>
        <v/>
      </c>
      <c r="K76" s="22">
        <f>I76-J76</f>
        <v/>
      </c>
    </row>
    <row r="77">
      <c r="A77" s="22" t="inlineStr">
        <is>
          <t>STU-0075</t>
        </is>
      </c>
      <c r="B77" s="32" t="n">
        <v>73</v>
      </c>
      <c r="C77" s="32" t="n">
        <v>36</v>
      </c>
      <c r="D77" s="32" t="n">
        <v>36</v>
      </c>
      <c r="E77" s="32" t="n">
        <v>74</v>
      </c>
      <c r="F77" s="32" t="n">
        <v>41</v>
      </c>
      <c r="G77" s="33">
        <f>ROUND(AVERAGE(B77:F77),1)</f>
        <v/>
      </c>
      <c r="H77" s="22">
        <f>IF(MIN(B77:F77)&gt;='Config'!$B$3,"PASS","REVIEW")</f>
        <v/>
      </c>
      <c r="I77" s="22">
        <f>MAX(B77:F77)</f>
        <v/>
      </c>
      <c r="J77" s="22">
        <f>MIN(B77:F77)</f>
        <v/>
      </c>
      <c r="K77" s="22">
        <f>I77-J77</f>
        <v/>
      </c>
    </row>
    <row r="78">
      <c r="A78" s="22" t="inlineStr">
        <is>
          <t>STU-0076</t>
        </is>
      </c>
      <c r="B78" s="32" t="n">
        <v>85</v>
      </c>
      <c r="C78" s="32" t="n">
        <v>61</v>
      </c>
      <c r="D78" s="32" t="n">
        <v>83</v>
      </c>
      <c r="E78" s="32" t="n">
        <v>99</v>
      </c>
      <c r="F78" s="32" t="n">
        <v>85</v>
      </c>
      <c r="G78" s="33">
        <f>ROUND(AVERAGE(B78:F78),1)</f>
        <v/>
      </c>
      <c r="H78" s="22">
        <f>IF(MIN(B78:F78)&gt;='Config'!$B$3,"PASS","REVIEW")</f>
        <v/>
      </c>
      <c r="I78" s="22">
        <f>MAX(B78:F78)</f>
        <v/>
      </c>
      <c r="J78" s="22">
        <f>MIN(B78:F78)</f>
        <v/>
      </c>
      <c r="K78" s="22">
        <f>I78-J78</f>
        <v/>
      </c>
    </row>
    <row r="79">
      <c r="A79" s="22" t="inlineStr">
        <is>
          <t>STU-0077</t>
        </is>
      </c>
      <c r="B79" s="32" t="n">
        <v>42</v>
      </c>
      <c r="C79" s="32" t="n">
        <v>94</v>
      </c>
      <c r="D79" s="32" t="n">
        <v>48</v>
      </c>
      <c r="E79" s="32" t="n">
        <v>95</v>
      </c>
      <c r="F79" s="32" t="n">
        <v>65</v>
      </c>
      <c r="G79" s="33">
        <f>ROUND(AVERAGE(B79:F79),1)</f>
        <v/>
      </c>
      <c r="H79" s="22">
        <f>IF(MIN(B79:F79)&gt;='Config'!$B$3,"PASS","REVIEW")</f>
        <v/>
      </c>
      <c r="I79" s="22">
        <f>MAX(B79:F79)</f>
        <v/>
      </c>
      <c r="J79" s="22">
        <f>MIN(B79:F79)</f>
        <v/>
      </c>
      <c r="K79" s="22">
        <f>I79-J79</f>
        <v/>
      </c>
    </row>
    <row r="80">
      <c r="A80" s="22" t="inlineStr">
        <is>
          <t>STU-0078</t>
        </is>
      </c>
      <c r="B80" s="32" t="n">
        <v>58</v>
      </c>
      <c r="C80" s="32" t="n">
        <v>49</v>
      </c>
      <c r="D80" s="32" t="n">
        <v>59</v>
      </c>
      <c r="E80" s="32" t="n">
        <v>76</v>
      </c>
      <c r="F80" s="32" t="n">
        <v>95</v>
      </c>
      <c r="G80" s="33">
        <f>ROUND(AVERAGE(B80:F80),1)</f>
        <v/>
      </c>
      <c r="H80" s="22">
        <f>IF(MIN(B80:F80)&gt;='Config'!$B$3,"PASS","REVIEW")</f>
        <v/>
      </c>
      <c r="I80" s="22">
        <f>MAX(B80:F80)</f>
        <v/>
      </c>
      <c r="J80" s="22">
        <f>MIN(B80:F80)</f>
        <v/>
      </c>
      <c r="K80" s="22">
        <f>I80-J80</f>
        <v/>
      </c>
    </row>
    <row r="81">
      <c r="A81" s="22" t="inlineStr">
        <is>
          <t>STU-0079</t>
        </is>
      </c>
      <c r="B81" s="32" t="n">
        <v>48</v>
      </c>
      <c r="C81" s="32" t="n">
        <v>55</v>
      </c>
      <c r="D81" s="32" t="n">
        <v>55</v>
      </c>
      <c r="E81" s="32" t="n">
        <v>75</v>
      </c>
      <c r="F81" s="32" t="n">
        <v>72</v>
      </c>
      <c r="G81" s="33">
        <f>ROUND(AVERAGE(B81:F81),1)</f>
        <v/>
      </c>
      <c r="H81" s="22">
        <f>IF(MIN(B81:F81)&gt;='Config'!$B$3,"PASS","REVIEW")</f>
        <v/>
      </c>
      <c r="I81" s="22">
        <f>MAX(B81:F81)</f>
        <v/>
      </c>
      <c r="J81" s="22">
        <f>MIN(B81:F81)</f>
        <v/>
      </c>
      <c r="K81" s="22">
        <f>I81-J81</f>
        <v/>
      </c>
    </row>
    <row r="82">
      <c r="A82" s="22" t="inlineStr">
        <is>
          <t>STU-0080</t>
        </is>
      </c>
      <c r="B82" s="32" t="n">
        <v>73</v>
      </c>
      <c r="C82" s="32" t="n">
        <v>41</v>
      </c>
      <c r="D82" s="32" t="n">
        <v>41</v>
      </c>
      <c r="E82" s="32" t="n">
        <v>42</v>
      </c>
      <c r="F82" s="32" t="n">
        <v>43</v>
      </c>
      <c r="G82" s="33">
        <f>ROUND(AVERAGE(B82:F82),1)</f>
        <v/>
      </c>
      <c r="H82" s="22">
        <f>IF(MIN(B82:F82)&gt;='Config'!$B$3,"PASS","REVIEW")</f>
        <v/>
      </c>
      <c r="I82" s="22">
        <f>MAX(B82:F82)</f>
        <v/>
      </c>
      <c r="J82" s="22">
        <f>MIN(B82:F82)</f>
        <v/>
      </c>
      <c r="K82" s="22">
        <f>I82-J82</f>
        <v/>
      </c>
    </row>
    <row r="83">
      <c r="A83" s="22" t="inlineStr">
        <is>
          <t>STU-0081</t>
        </is>
      </c>
      <c r="B83" s="32" t="n">
        <v>57</v>
      </c>
      <c r="C83" s="32" t="n">
        <v>79</v>
      </c>
      <c r="D83" s="32" t="n">
        <v>45</v>
      </c>
      <c r="E83" s="32" t="n">
        <v>72</v>
      </c>
      <c r="F83" s="32" t="n">
        <v>53</v>
      </c>
      <c r="G83" s="33">
        <f>ROUND(AVERAGE(B83:F83),1)</f>
        <v/>
      </c>
      <c r="H83" s="22">
        <f>IF(MIN(B83:F83)&gt;='Config'!$B$3,"PASS","REVIEW")</f>
        <v/>
      </c>
      <c r="I83" s="22">
        <f>MAX(B83:F83)</f>
        <v/>
      </c>
      <c r="J83" s="22">
        <f>MIN(B83:F83)</f>
        <v/>
      </c>
      <c r="K83" s="22">
        <f>I83-J83</f>
        <v/>
      </c>
    </row>
    <row r="84">
      <c r="A84" s="22" t="inlineStr">
        <is>
          <t>STU-0082</t>
        </is>
      </c>
      <c r="B84" s="32" t="n">
        <v>100</v>
      </c>
      <c r="C84" s="32" t="n">
        <v>59</v>
      </c>
      <c r="D84" s="32" t="n">
        <v>41</v>
      </c>
      <c r="E84" s="32" t="n">
        <v>67</v>
      </c>
      <c r="F84" s="32" t="n">
        <v>79</v>
      </c>
      <c r="G84" s="33">
        <f>ROUND(AVERAGE(B84:F84),1)</f>
        <v/>
      </c>
      <c r="H84" s="22">
        <f>IF(MIN(B84:F84)&gt;='Config'!$B$3,"PASS","REVIEW")</f>
        <v/>
      </c>
      <c r="I84" s="22">
        <f>MAX(B84:F84)</f>
        <v/>
      </c>
      <c r="J84" s="22">
        <f>MIN(B84:F84)</f>
        <v/>
      </c>
      <c r="K84" s="22">
        <f>I84-J84</f>
        <v/>
      </c>
    </row>
    <row r="85">
      <c r="A85" s="22" t="inlineStr">
        <is>
          <t>STU-0083</t>
        </is>
      </c>
      <c r="B85" s="32" t="n">
        <v>63</v>
      </c>
      <c r="C85" s="32" t="n">
        <v>38</v>
      </c>
      <c r="D85" s="32" t="n">
        <v>35</v>
      </c>
      <c r="E85" s="32" t="n">
        <v>35</v>
      </c>
      <c r="F85" s="32" t="n">
        <v>100</v>
      </c>
      <c r="G85" s="33">
        <f>ROUND(AVERAGE(B85:F85),1)</f>
        <v/>
      </c>
      <c r="H85" s="22">
        <f>IF(MIN(B85:F85)&gt;='Config'!$B$3,"PASS","REVIEW")</f>
        <v/>
      </c>
      <c r="I85" s="22">
        <f>MAX(B85:F85)</f>
        <v/>
      </c>
      <c r="J85" s="22">
        <f>MIN(B85:F85)</f>
        <v/>
      </c>
      <c r="K85" s="22">
        <f>I85-J85</f>
        <v/>
      </c>
    </row>
    <row r="86">
      <c r="A86" s="22" t="inlineStr">
        <is>
          <t>STU-0084</t>
        </is>
      </c>
      <c r="B86" s="32" t="n">
        <v>81</v>
      </c>
      <c r="C86" s="32" t="n">
        <v>49</v>
      </c>
      <c r="D86" s="32" t="n">
        <v>62</v>
      </c>
      <c r="E86" s="32" t="n">
        <v>96</v>
      </c>
      <c r="F86" s="32" t="n">
        <v>49</v>
      </c>
      <c r="G86" s="33">
        <f>ROUND(AVERAGE(B86:F86),1)</f>
        <v/>
      </c>
      <c r="H86" s="22">
        <f>IF(MIN(B86:F86)&gt;='Config'!$B$3,"PASS","REVIEW")</f>
        <v/>
      </c>
      <c r="I86" s="22">
        <f>MAX(B86:F86)</f>
        <v/>
      </c>
      <c r="J86" s="22">
        <f>MIN(B86:F86)</f>
        <v/>
      </c>
      <c r="K86" s="22">
        <f>I86-J86</f>
        <v/>
      </c>
    </row>
    <row r="87">
      <c r="A87" s="22" t="inlineStr">
        <is>
          <t>STU-0085</t>
        </is>
      </c>
      <c r="B87" s="32" t="n">
        <v>99</v>
      </c>
      <c r="C87" s="32" t="n">
        <v>73</v>
      </c>
      <c r="D87" s="32" t="n">
        <v>77</v>
      </c>
      <c r="E87" s="32" t="n">
        <v>68</v>
      </c>
      <c r="F87" s="32" t="n">
        <v>95</v>
      </c>
      <c r="G87" s="33">
        <f>ROUND(AVERAGE(B87:F87),1)</f>
        <v/>
      </c>
      <c r="H87" s="22">
        <f>IF(MIN(B87:F87)&gt;='Config'!$B$3,"PASS","REVIEW")</f>
        <v/>
      </c>
      <c r="I87" s="22">
        <f>MAX(B87:F87)</f>
        <v/>
      </c>
      <c r="J87" s="22">
        <f>MIN(B87:F87)</f>
        <v/>
      </c>
      <c r="K87" s="22">
        <f>I87-J87</f>
        <v/>
      </c>
    </row>
    <row r="88">
      <c r="A88" s="22" t="inlineStr">
        <is>
          <t>STU-0086</t>
        </is>
      </c>
      <c r="B88" s="32" t="n">
        <v>43</v>
      </c>
      <c r="C88" s="32" t="n">
        <v>69</v>
      </c>
      <c r="D88" s="32" t="n">
        <v>69</v>
      </c>
      <c r="E88" s="32" t="n">
        <v>90</v>
      </c>
      <c r="F88" s="32" t="n">
        <v>98</v>
      </c>
      <c r="G88" s="33">
        <f>ROUND(AVERAGE(B88:F88),1)</f>
        <v/>
      </c>
      <c r="H88" s="22">
        <f>IF(MIN(B88:F88)&gt;='Config'!$B$3,"PASS","REVIEW")</f>
        <v/>
      </c>
      <c r="I88" s="22">
        <f>MAX(B88:F88)</f>
        <v/>
      </c>
      <c r="J88" s="22">
        <f>MIN(B88:F88)</f>
        <v/>
      </c>
      <c r="K88" s="22">
        <f>I88-J88</f>
        <v/>
      </c>
    </row>
    <row r="89">
      <c r="A89" s="22" t="inlineStr">
        <is>
          <t>STU-0087</t>
        </is>
      </c>
      <c r="B89" s="32" t="n">
        <v>38</v>
      </c>
      <c r="C89" s="32" t="n">
        <v>67</v>
      </c>
      <c r="D89" s="32" t="n">
        <v>76</v>
      </c>
      <c r="E89" s="32" t="n">
        <v>85</v>
      </c>
      <c r="F89" s="32" t="n">
        <v>72</v>
      </c>
      <c r="G89" s="33">
        <f>ROUND(AVERAGE(B89:F89),1)</f>
        <v/>
      </c>
      <c r="H89" s="22">
        <f>IF(MIN(B89:F89)&gt;='Config'!$B$3,"PASS","REVIEW")</f>
        <v/>
      </c>
      <c r="I89" s="22">
        <f>MAX(B89:F89)</f>
        <v/>
      </c>
      <c r="J89" s="22">
        <f>MIN(B89:F89)</f>
        <v/>
      </c>
      <c r="K89" s="22">
        <f>I89-J89</f>
        <v/>
      </c>
    </row>
    <row r="90">
      <c r="A90" s="22" t="inlineStr">
        <is>
          <t>STU-0088</t>
        </is>
      </c>
      <c r="B90" s="32" t="n">
        <v>51</v>
      </c>
      <c r="C90" s="32" t="n">
        <v>89</v>
      </c>
      <c r="D90" s="32" t="n">
        <v>97</v>
      </c>
      <c r="E90" s="32" t="n">
        <v>55</v>
      </c>
      <c r="F90" s="32" t="n">
        <v>59</v>
      </c>
      <c r="G90" s="33">
        <f>ROUND(AVERAGE(B90:F90),1)</f>
        <v/>
      </c>
      <c r="H90" s="22">
        <f>IF(MIN(B90:F90)&gt;='Config'!$B$3,"PASS","REVIEW")</f>
        <v/>
      </c>
      <c r="I90" s="22">
        <f>MAX(B90:F90)</f>
        <v/>
      </c>
      <c r="J90" s="22">
        <f>MIN(B90:F90)</f>
        <v/>
      </c>
      <c r="K90" s="22">
        <f>I90-J90</f>
        <v/>
      </c>
    </row>
    <row r="91">
      <c r="A91" s="22" t="inlineStr">
        <is>
          <t>STU-0089</t>
        </is>
      </c>
      <c r="B91" s="32" t="n">
        <v>74</v>
      </c>
      <c r="C91" s="32" t="n">
        <v>64</v>
      </c>
      <c r="D91" s="32" t="n">
        <v>41</v>
      </c>
      <c r="E91" s="32" t="n">
        <v>62</v>
      </c>
      <c r="F91" s="32" t="n">
        <v>64</v>
      </c>
      <c r="G91" s="33">
        <f>ROUND(AVERAGE(B91:F91),1)</f>
        <v/>
      </c>
      <c r="H91" s="22">
        <f>IF(MIN(B91:F91)&gt;='Config'!$B$3,"PASS","REVIEW")</f>
        <v/>
      </c>
      <c r="I91" s="22">
        <f>MAX(B91:F91)</f>
        <v/>
      </c>
      <c r="J91" s="22">
        <f>MIN(B91:F91)</f>
        <v/>
      </c>
      <c r="K91" s="22">
        <f>I91-J91</f>
        <v/>
      </c>
    </row>
    <row r="92">
      <c r="A92" s="22" t="inlineStr">
        <is>
          <t>STU-0090</t>
        </is>
      </c>
      <c r="B92" s="32" t="n">
        <v>41</v>
      </c>
      <c r="C92" s="32" t="n">
        <v>90</v>
      </c>
      <c r="D92" s="32" t="n">
        <v>89</v>
      </c>
      <c r="E92" s="32" t="n">
        <v>73</v>
      </c>
      <c r="F92" s="32" t="n">
        <v>51</v>
      </c>
      <c r="G92" s="33">
        <f>ROUND(AVERAGE(B92:F92),1)</f>
        <v/>
      </c>
      <c r="H92" s="22">
        <f>IF(MIN(B92:F92)&gt;='Config'!$B$3,"PASS","REVIEW")</f>
        <v/>
      </c>
      <c r="I92" s="22">
        <f>MAX(B92:F92)</f>
        <v/>
      </c>
      <c r="J92" s="22">
        <f>MIN(B92:F92)</f>
        <v/>
      </c>
      <c r="K92" s="22">
        <f>I92-J92</f>
        <v/>
      </c>
    </row>
    <row r="93">
      <c r="A93" s="22" t="inlineStr">
        <is>
          <t>STU-0091</t>
        </is>
      </c>
      <c r="B93" s="32" t="n">
        <v>39</v>
      </c>
      <c r="C93" s="32" t="n">
        <v>46</v>
      </c>
      <c r="D93" s="32" t="n">
        <v>46</v>
      </c>
      <c r="E93" s="32" t="n">
        <v>47</v>
      </c>
      <c r="F93" s="32" t="n">
        <v>44</v>
      </c>
      <c r="G93" s="33">
        <f>ROUND(AVERAGE(B93:F93),1)</f>
        <v/>
      </c>
      <c r="H93" s="22">
        <f>IF(MIN(B93:F93)&gt;='Config'!$B$3,"PASS","REVIEW")</f>
        <v/>
      </c>
      <c r="I93" s="22">
        <f>MAX(B93:F93)</f>
        <v/>
      </c>
      <c r="J93" s="22">
        <f>MIN(B93:F93)</f>
        <v/>
      </c>
      <c r="K93" s="22">
        <f>I93-J93</f>
        <v/>
      </c>
    </row>
    <row r="94">
      <c r="A94" s="22" t="inlineStr">
        <is>
          <t>STU-0092</t>
        </is>
      </c>
      <c r="B94" s="32" t="n">
        <v>78</v>
      </c>
      <c r="C94" s="32" t="n">
        <v>97</v>
      </c>
      <c r="D94" s="32" t="n">
        <v>47</v>
      </c>
      <c r="E94" s="32" t="n">
        <v>59</v>
      </c>
      <c r="F94" s="32" t="n">
        <v>66</v>
      </c>
      <c r="G94" s="33">
        <f>ROUND(AVERAGE(B94:F94),1)</f>
        <v/>
      </c>
      <c r="H94" s="22">
        <f>IF(MIN(B94:F94)&gt;='Config'!$B$3,"PASS","REVIEW")</f>
        <v/>
      </c>
      <c r="I94" s="22">
        <f>MAX(B94:F94)</f>
        <v/>
      </c>
      <c r="J94" s="22">
        <f>MIN(B94:F94)</f>
        <v/>
      </c>
      <c r="K94" s="22">
        <f>I94-J94</f>
        <v/>
      </c>
    </row>
    <row r="95">
      <c r="A95" s="22" t="inlineStr">
        <is>
          <t>STU-0093</t>
        </is>
      </c>
      <c r="B95" s="32" t="n">
        <v>72</v>
      </c>
      <c r="C95" s="32" t="n">
        <v>50</v>
      </c>
      <c r="D95" s="32" t="n">
        <v>61</v>
      </c>
      <c r="E95" s="32" t="n">
        <v>96</v>
      </c>
      <c r="F95" s="32" t="n">
        <v>53</v>
      </c>
      <c r="G95" s="33">
        <f>ROUND(AVERAGE(B95:F95),1)</f>
        <v/>
      </c>
      <c r="H95" s="22">
        <f>IF(MIN(B95:F95)&gt;='Config'!$B$3,"PASS","REVIEW")</f>
        <v/>
      </c>
      <c r="I95" s="22">
        <f>MAX(B95:F95)</f>
        <v/>
      </c>
      <c r="J95" s="22">
        <f>MIN(B95:F95)</f>
        <v/>
      </c>
      <c r="K95" s="22">
        <f>I95-J95</f>
        <v/>
      </c>
    </row>
    <row r="96">
      <c r="A96" s="22" t="inlineStr">
        <is>
          <t>STU-0094</t>
        </is>
      </c>
      <c r="B96" s="32" t="n">
        <v>88</v>
      </c>
      <c r="C96" s="32" t="n">
        <v>82</v>
      </c>
      <c r="D96" s="32" t="n">
        <v>61</v>
      </c>
      <c r="E96" s="32" t="n">
        <v>44</v>
      </c>
      <c r="F96" s="32" t="n">
        <v>77</v>
      </c>
      <c r="G96" s="33">
        <f>ROUND(AVERAGE(B96:F96),1)</f>
        <v/>
      </c>
      <c r="H96" s="22">
        <f>IF(MIN(B96:F96)&gt;='Config'!$B$3,"PASS","REVIEW")</f>
        <v/>
      </c>
      <c r="I96" s="22">
        <f>MAX(B96:F96)</f>
        <v/>
      </c>
      <c r="J96" s="22">
        <f>MIN(B96:F96)</f>
        <v/>
      </c>
      <c r="K96" s="22">
        <f>I96-J96</f>
        <v/>
      </c>
    </row>
    <row r="97">
      <c r="A97" s="22" t="inlineStr">
        <is>
          <t>STU-0095</t>
        </is>
      </c>
      <c r="B97" s="32" t="n">
        <v>87</v>
      </c>
      <c r="C97" s="32" t="n">
        <v>92</v>
      </c>
      <c r="D97" s="32" t="n">
        <v>97</v>
      </c>
      <c r="E97" s="32" t="n">
        <v>94</v>
      </c>
      <c r="F97" s="32" t="n">
        <v>95</v>
      </c>
      <c r="G97" s="33">
        <f>ROUND(AVERAGE(B97:F97),1)</f>
        <v/>
      </c>
      <c r="H97" s="22">
        <f>IF(MIN(B97:F97)&gt;='Config'!$B$3,"PASS","REVIEW")</f>
        <v/>
      </c>
      <c r="I97" s="22">
        <f>MAX(B97:F97)</f>
        <v/>
      </c>
      <c r="J97" s="22">
        <f>MIN(B97:F97)</f>
        <v/>
      </c>
      <c r="K97" s="22">
        <f>I97-J97</f>
        <v/>
      </c>
    </row>
    <row r="98">
      <c r="A98" s="22" t="inlineStr">
        <is>
          <t>STU-0096</t>
        </is>
      </c>
      <c r="B98" s="32" t="n">
        <v>95</v>
      </c>
      <c r="C98" s="32" t="n">
        <v>36</v>
      </c>
      <c r="D98" s="32" t="n">
        <v>55</v>
      </c>
      <c r="E98" s="32" t="n">
        <v>96</v>
      </c>
      <c r="F98" s="32" t="n">
        <v>71</v>
      </c>
      <c r="G98" s="33">
        <f>ROUND(AVERAGE(B98:F98),1)</f>
        <v/>
      </c>
      <c r="H98" s="22">
        <f>IF(MIN(B98:F98)&gt;='Config'!$B$3,"PASS","REVIEW")</f>
        <v/>
      </c>
      <c r="I98" s="22">
        <f>MAX(B98:F98)</f>
        <v/>
      </c>
      <c r="J98" s="22">
        <f>MIN(B98:F98)</f>
        <v/>
      </c>
      <c r="K98" s="22">
        <f>I98-J98</f>
        <v/>
      </c>
    </row>
    <row r="99">
      <c r="A99" s="22" t="inlineStr">
        <is>
          <t>STU-0097</t>
        </is>
      </c>
      <c r="B99" s="32" t="n">
        <v>85</v>
      </c>
      <c r="C99" s="32" t="n">
        <v>42</v>
      </c>
      <c r="D99" s="32" t="n">
        <v>86</v>
      </c>
      <c r="E99" s="32" t="n">
        <v>58</v>
      </c>
      <c r="F99" s="32" t="n">
        <v>65</v>
      </c>
      <c r="G99" s="33">
        <f>ROUND(AVERAGE(B99:F99),1)</f>
        <v/>
      </c>
      <c r="H99" s="22">
        <f>IF(MIN(B99:F99)&gt;='Config'!$B$3,"PASS","REVIEW")</f>
        <v/>
      </c>
      <c r="I99" s="22">
        <f>MAX(B99:F99)</f>
        <v/>
      </c>
      <c r="J99" s="22">
        <f>MIN(B99:F99)</f>
        <v/>
      </c>
      <c r="K99" s="22">
        <f>I99-J99</f>
        <v/>
      </c>
    </row>
    <row r="100">
      <c r="A100" s="22" t="inlineStr">
        <is>
          <t>STU-0098</t>
        </is>
      </c>
      <c r="B100" s="32" t="n">
        <v>71</v>
      </c>
      <c r="C100" s="32" t="n">
        <v>48</v>
      </c>
      <c r="D100" s="32" t="n">
        <v>88</v>
      </c>
      <c r="E100" s="32" t="n">
        <v>38</v>
      </c>
      <c r="F100" s="32" t="n">
        <v>73</v>
      </c>
      <c r="G100" s="33">
        <f>ROUND(AVERAGE(B100:F100),1)</f>
        <v/>
      </c>
      <c r="H100" s="22">
        <f>IF(MIN(B100:F100)&gt;='Config'!$B$3,"PASS","REVIEW")</f>
        <v/>
      </c>
      <c r="I100" s="22">
        <f>MAX(B100:F100)</f>
        <v/>
      </c>
      <c r="J100" s="22">
        <f>MIN(B100:F100)</f>
        <v/>
      </c>
      <c r="K100" s="22">
        <f>I100-J100</f>
        <v/>
      </c>
    </row>
    <row r="101">
      <c r="A101" s="22" t="inlineStr">
        <is>
          <t>STU-0099</t>
        </is>
      </c>
      <c r="B101" s="32" t="n">
        <v>68</v>
      </c>
      <c r="C101" s="32" t="n">
        <v>82</v>
      </c>
      <c r="D101" s="32" t="n">
        <v>60</v>
      </c>
      <c r="E101" s="32" t="n">
        <v>99</v>
      </c>
      <c r="F101" s="32" t="n">
        <v>75</v>
      </c>
      <c r="G101" s="33">
        <f>ROUND(AVERAGE(B101:F101),1)</f>
        <v/>
      </c>
      <c r="H101" s="22">
        <f>IF(MIN(B101:F101)&gt;='Config'!$B$3,"PASS","REVIEW")</f>
        <v/>
      </c>
      <c r="I101" s="22">
        <f>MAX(B101:F101)</f>
        <v/>
      </c>
      <c r="J101" s="22">
        <f>MIN(B101:F101)</f>
        <v/>
      </c>
      <c r="K101" s="22">
        <f>I101-J101</f>
        <v/>
      </c>
    </row>
    <row r="102">
      <c r="A102" s="22" t="inlineStr">
        <is>
          <t>STU-0100</t>
        </is>
      </c>
      <c r="B102" s="32" t="n">
        <v>88</v>
      </c>
      <c r="C102" s="32" t="n">
        <v>44</v>
      </c>
      <c r="D102" s="32" t="n">
        <v>52</v>
      </c>
      <c r="E102" s="32" t="n">
        <v>71</v>
      </c>
      <c r="F102" s="32" t="n">
        <v>39</v>
      </c>
      <c r="G102" s="33">
        <f>ROUND(AVERAGE(B102:F102),1)</f>
        <v/>
      </c>
      <c r="H102" s="22">
        <f>IF(MIN(B102:F102)&gt;='Config'!$B$3,"PASS","REVIEW")</f>
        <v/>
      </c>
      <c r="I102" s="22">
        <f>MAX(B102:F102)</f>
        <v/>
      </c>
      <c r="J102" s="22">
        <f>MIN(B102:F102)</f>
        <v/>
      </c>
      <c r="K102" s="22">
        <f>I102-J102</f>
        <v/>
      </c>
    </row>
    <row r="103">
      <c r="A103" s="22" t="inlineStr">
        <is>
          <t>STU-0101</t>
        </is>
      </c>
      <c r="B103" s="32" t="n">
        <v>55</v>
      </c>
      <c r="C103" s="32" t="n">
        <v>35</v>
      </c>
      <c r="D103" s="32" t="n">
        <v>90</v>
      </c>
      <c r="E103" s="32" t="n">
        <v>86</v>
      </c>
      <c r="F103" s="32" t="n">
        <v>95</v>
      </c>
      <c r="G103" s="33">
        <f>ROUND(AVERAGE(B103:F103),1)</f>
        <v/>
      </c>
      <c r="H103" s="22">
        <f>IF(MIN(B103:F103)&gt;='Config'!$B$3,"PASS","REVIEW")</f>
        <v/>
      </c>
      <c r="I103" s="22">
        <f>MAX(B103:F103)</f>
        <v/>
      </c>
      <c r="J103" s="22">
        <f>MIN(B103:F103)</f>
        <v/>
      </c>
      <c r="K103" s="22">
        <f>I103-J103</f>
        <v/>
      </c>
    </row>
    <row r="104">
      <c r="A104" s="22" t="inlineStr">
        <is>
          <t>STU-0102</t>
        </is>
      </c>
      <c r="B104" s="32" t="n">
        <v>47</v>
      </c>
      <c r="C104" s="32" t="n">
        <v>69</v>
      </c>
      <c r="D104" s="32" t="n">
        <v>76</v>
      </c>
      <c r="E104" s="32" t="n">
        <v>53</v>
      </c>
      <c r="F104" s="32" t="n">
        <v>87</v>
      </c>
      <c r="G104" s="33">
        <f>ROUND(AVERAGE(B104:F104),1)</f>
        <v/>
      </c>
      <c r="H104" s="22">
        <f>IF(MIN(B104:F104)&gt;='Config'!$B$3,"PASS","REVIEW")</f>
        <v/>
      </c>
      <c r="I104" s="22">
        <f>MAX(B104:F104)</f>
        <v/>
      </c>
      <c r="J104" s="22">
        <f>MIN(B104:F104)</f>
        <v/>
      </c>
      <c r="K104" s="22">
        <f>I104-J104</f>
        <v/>
      </c>
    </row>
    <row r="105">
      <c r="A105" s="22" t="inlineStr">
        <is>
          <t>STU-0103</t>
        </is>
      </c>
      <c r="B105" s="32" t="n">
        <v>73</v>
      </c>
      <c r="C105" s="32" t="n">
        <v>44</v>
      </c>
      <c r="D105" s="32" t="n">
        <v>59</v>
      </c>
      <c r="E105" s="32" t="n">
        <v>41</v>
      </c>
      <c r="F105" s="32" t="n">
        <v>80</v>
      </c>
      <c r="G105" s="33">
        <f>ROUND(AVERAGE(B105:F105),1)</f>
        <v/>
      </c>
      <c r="H105" s="22">
        <f>IF(MIN(B105:F105)&gt;='Config'!$B$3,"PASS","REVIEW")</f>
        <v/>
      </c>
      <c r="I105" s="22">
        <f>MAX(B105:F105)</f>
        <v/>
      </c>
      <c r="J105" s="22">
        <f>MIN(B105:F105)</f>
        <v/>
      </c>
      <c r="K105" s="22">
        <f>I105-J105</f>
        <v/>
      </c>
    </row>
    <row r="106">
      <c r="A106" s="22" t="inlineStr">
        <is>
          <t>STU-0104</t>
        </is>
      </c>
      <c r="B106" s="32" t="n">
        <v>93</v>
      </c>
      <c r="C106" s="32" t="n">
        <v>44</v>
      </c>
      <c r="D106" s="32" t="n">
        <v>42</v>
      </c>
      <c r="E106" s="32" t="n">
        <v>66</v>
      </c>
      <c r="F106" s="32" t="n">
        <v>59</v>
      </c>
      <c r="G106" s="33">
        <f>ROUND(AVERAGE(B106:F106),1)</f>
        <v/>
      </c>
      <c r="H106" s="22">
        <f>IF(MIN(B106:F106)&gt;='Config'!$B$3,"PASS","REVIEW")</f>
        <v/>
      </c>
      <c r="I106" s="22">
        <f>MAX(B106:F106)</f>
        <v/>
      </c>
      <c r="J106" s="22">
        <f>MIN(B106:F106)</f>
        <v/>
      </c>
      <c r="K106" s="22">
        <f>I106-J106</f>
        <v/>
      </c>
    </row>
    <row r="107">
      <c r="A107" s="22" t="inlineStr">
        <is>
          <t>STU-0105</t>
        </is>
      </c>
      <c r="B107" s="32" t="n">
        <v>90</v>
      </c>
      <c r="C107" s="32" t="n">
        <v>57</v>
      </c>
      <c r="D107" s="32" t="n">
        <v>79</v>
      </c>
      <c r="E107" s="32" t="n">
        <v>95</v>
      </c>
      <c r="F107" s="32" t="n">
        <v>80</v>
      </c>
      <c r="G107" s="33">
        <f>ROUND(AVERAGE(B107:F107),1)</f>
        <v/>
      </c>
      <c r="H107" s="22">
        <f>IF(MIN(B107:F107)&gt;='Config'!$B$3,"PASS","REVIEW")</f>
        <v/>
      </c>
      <c r="I107" s="22">
        <f>MAX(B107:F107)</f>
        <v/>
      </c>
      <c r="J107" s="22">
        <f>MIN(B107:F107)</f>
        <v/>
      </c>
      <c r="K107" s="22">
        <f>I107-J107</f>
        <v/>
      </c>
    </row>
    <row r="108">
      <c r="A108" s="22" t="inlineStr">
        <is>
          <t>STU-0106</t>
        </is>
      </c>
      <c r="B108" s="32" t="n">
        <v>59</v>
      </c>
      <c r="C108" s="32" t="n">
        <v>49</v>
      </c>
      <c r="D108" s="32" t="n">
        <v>78</v>
      </c>
      <c r="E108" s="32" t="n">
        <v>91</v>
      </c>
      <c r="F108" s="32" t="n">
        <v>43</v>
      </c>
      <c r="G108" s="33">
        <f>ROUND(AVERAGE(B108:F108),1)</f>
        <v/>
      </c>
      <c r="H108" s="22">
        <f>IF(MIN(B108:F108)&gt;='Config'!$B$3,"PASS","REVIEW")</f>
        <v/>
      </c>
      <c r="I108" s="22">
        <f>MAX(B108:F108)</f>
        <v/>
      </c>
      <c r="J108" s="22">
        <f>MIN(B108:F108)</f>
        <v/>
      </c>
      <c r="K108" s="22">
        <f>I108-J108</f>
        <v/>
      </c>
    </row>
    <row r="109">
      <c r="A109" s="22" t="inlineStr">
        <is>
          <t>STU-0107</t>
        </is>
      </c>
      <c r="B109" s="32" t="n">
        <v>63</v>
      </c>
      <c r="C109" s="32" t="n">
        <v>39</v>
      </c>
      <c r="D109" s="32" t="n">
        <v>80</v>
      </c>
      <c r="E109" s="32" t="n">
        <v>79</v>
      </c>
      <c r="F109" s="32" t="n">
        <v>38</v>
      </c>
      <c r="G109" s="33">
        <f>ROUND(AVERAGE(B109:F109),1)</f>
        <v/>
      </c>
      <c r="H109" s="22">
        <f>IF(MIN(B109:F109)&gt;='Config'!$B$3,"PASS","REVIEW")</f>
        <v/>
      </c>
      <c r="I109" s="22">
        <f>MAX(B109:F109)</f>
        <v/>
      </c>
      <c r="J109" s="22">
        <f>MIN(B109:F109)</f>
        <v/>
      </c>
      <c r="K109" s="22">
        <f>I109-J109</f>
        <v/>
      </c>
    </row>
    <row r="110">
      <c r="A110" s="22" t="inlineStr">
        <is>
          <t>STU-0108</t>
        </is>
      </c>
      <c r="B110" s="32" t="n">
        <v>70</v>
      </c>
      <c r="C110" s="32" t="n">
        <v>55</v>
      </c>
      <c r="D110" s="32" t="n">
        <v>59</v>
      </c>
      <c r="E110" s="32" t="n">
        <v>41</v>
      </c>
      <c r="F110" s="32" t="n">
        <v>38</v>
      </c>
      <c r="G110" s="33">
        <f>ROUND(AVERAGE(B110:F110),1)</f>
        <v/>
      </c>
      <c r="H110" s="22">
        <f>IF(MIN(B110:F110)&gt;='Config'!$B$3,"PASS","REVIEW")</f>
        <v/>
      </c>
      <c r="I110" s="22">
        <f>MAX(B110:F110)</f>
        <v/>
      </c>
      <c r="J110" s="22">
        <f>MIN(B110:F110)</f>
        <v/>
      </c>
      <c r="K110" s="22">
        <f>I110-J110</f>
        <v/>
      </c>
    </row>
    <row r="111">
      <c r="A111" s="22" t="inlineStr">
        <is>
          <t>STU-0109</t>
        </is>
      </c>
      <c r="B111" s="32" t="n">
        <v>81</v>
      </c>
      <c r="C111" s="32" t="n">
        <v>88</v>
      </c>
      <c r="D111" s="32" t="n">
        <v>77</v>
      </c>
      <c r="E111" s="32" t="n">
        <v>88</v>
      </c>
      <c r="F111" s="32" t="n">
        <v>99</v>
      </c>
      <c r="G111" s="33">
        <f>ROUND(AVERAGE(B111:F111),1)</f>
        <v/>
      </c>
      <c r="H111" s="22">
        <f>IF(MIN(B111:F111)&gt;='Config'!$B$3,"PASS","REVIEW")</f>
        <v/>
      </c>
      <c r="I111" s="22">
        <f>MAX(B111:F111)</f>
        <v/>
      </c>
      <c r="J111" s="22">
        <f>MIN(B111:F111)</f>
        <v/>
      </c>
      <c r="K111" s="22">
        <f>I111-J111</f>
        <v/>
      </c>
    </row>
    <row r="112">
      <c r="A112" s="22" t="inlineStr">
        <is>
          <t>STU-0110</t>
        </is>
      </c>
      <c r="B112" s="32" t="n">
        <v>68</v>
      </c>
      <c r="C112" s="32" t="n">
        <v>77</v>
      </c>
      <c r="D112" s="32" t="n">
        <v>35</v>
      </c>
      <c r="E112" s="32" t="n">
        <v>93</v>
      </c>
      <c r="F112" s="32" t="n">
        <v>86</v>
      </c>
      <c r="G112" s="33">
        <f>ROUND(AVERAGE(B112:F112),1)</f>
        <v/>
      </c>
      <c r="H112" s="22">
        <f>IF(MIN(B112:F112)&gt;='Config'!$B$3,"PASS","REVIEW")</f>
        <v/>
      </c>
      <c r="I112" s="22">
        <f>MAX(B112:F112)</f>
        <v/>
      </c>
      <c r="J112" s="22">
        <f>MIN(B112:F112)</f>
        <v/>
      </c>
      <c r="K112" s="22">
        <f>I112-J112</f>
        <v/>
      </c>
    </row>
    <row r="113">
      <c r="A113" s="22" t="inlineStr">
        <is>
          <t>STU-0111</t>
        </is>
      </c>
      <c r="B113" s="32" t="n">
        <v>52</v>
      </c>
      <c r="C113" s="32" t="n">
        <v>98</v>
      </c>
      <c r="D113" s="32" t="n">
        <v>70</v>
      </c>
      <c r="E113" s="32" t="n">
        <v>72</v>
      </c>
      <c r="F113" s="32" t="n">
        <v>88</v>
      </c>
      <c r="G113" s="33">
        <f>ROUND(AVERAGE(B113:F113),1)</f>
        <v/>
      </c>
      <c r="H113" s="22">
        <f>IF(MIN(B113:F113)&gt;='Config'!$B$3,"PASS","REVIEW")</f>
        <v/>
      </c>
      <c r="I113" s="22">
        <f>MAX(B113:F113)</f>
        <v/>
      </c>
      <c r="J113" s="22">
        <f>MIN(B113:F113)</f>
        <v/>
      </c>
      <c r="K113" s="22">
        <f>I113-J113</f>
        <v/>
      </c>
    </row>
    <row r="114">
      <c r="A114" s="22" t="inlineStr">
        <is>
          <t>STU-0112</t>
        </is>
      </c>
      <c r="B114" s="32" t="n">
        <v>72</v>
      </c>
      <c r="C114" s="32" t="n">
        <v>99</v>
      </c>
      <c r="D114" s="32" t="n">
        <v>75</v>
      </c>
      <c r="E114" s="32" t="n">
        <v>72</v>
      </c>
      <c r="F114" s="32" t="n">
        <v>41</v>
      </c>
      <c r="G114" s="33">
        <f>ROUND(AVERAGE(B114:F114),1)</f>
        <v/>
      </c>
      <c r="H114" s="22">
        <f>IF(MIN(B114:F114)&gt;='Config'!$B$3,"PASS","REVIEW")</f>
        <v/>
      </c>
      <c r="I114" s="22">
        <f>MAX(B114:F114)</f>
        <v/>
      </c>
      <c r="J114" s="22">
        <f>MIN(B114:F114)</f>
        <v/>
      </c>
      <c r="K114" s="22">
        <f>I114-J114</f>
        <v/>
      </c>
    </row>
    <row r="115">
      <c r="A115" s="22" t="inlineStr">
        <is>
          <t>STU-0113</t>
        </is>
      </c>
      <c r="B115" s="32" t="n">
        <v>89</v>
      </c>
      <c r="C115" s="32" t="n">
        <v>68</v>
      </c>
      <c r="D115" s="32" t="n">
        <v>83</v>
      </c>
      <c r="E115" s="32" t="n">
        <v>68</v>
      </c>
      <c r="F115" s="32" t="n">
        <v>52</v>
      </c>
      <c r="G115" s="33">
        <f>ROUND(AVERAGE(B115:F115),1)</f>
        <v/>
      </c>
      <c r="H115" s="22">
        <f>IF(MIN(B115:F115)&gt;='Config'!$B$3,"PASS","REVIEW")</f>
        <v/>
      </c>
      <c r="I115" s="22">
        <f>MAX(B115:F115)</f>
        <v/>
      </c>
      <c r="J115" s="22">
        <f>MIN(B115:F115)</f>
        <v/>
      </c>
      <c r="K115" s="22">
        <f>I115-J115</f>
        <v/>
      </c>
    </row>
    <row r="116">
      <c r="A116" s="22" t="inlineStr">
        <is>
          <t>STU-0114</t>
        </is>
      </c>
      <c r="B116" s="32" t="n">
        <v>97</v>
      </c>
      <c r="C116" s="32" t="n">
        <v>84</v>
      </c>
      <c r="D116" s="32" t="n">
        <v>86</v>
      </c>
      <c r="E116" s="32" t="n">
        <v>65</v>
      </c>
      <c r="F116" s="32" t="n">
        <v>87</v>
      </c>
      <c r="G116" s="33">
        <f>ROUND(AVERAGE(B116:F116),1)</f>
        <v/>
      </c>
      <c r="H116" s="22">
        <f>IF(MIN(B116:F116)&gt;='Config'!$B$3,"PASS","REVIEW")</f>
        <v/>
      </c>
      <c r="I116" s="22">
        <f>MAX(B116:F116)</f>
        <v/>
      </c>
      <c r="J116" s="22">
        <f>MIN(B116:F116)</f>
        <v/>
      </c>
      <c r="K116" s="22">
        <f>I116-J116</f>
        <v/>
      </c>
    </row>
    <row r="117">
      <c r="A117" s="22" t="inlineStr">
        <is>
          <t>STU-0115</t>
        </is>
      </c>
      <c r="B117" s="32" t="n">
        <v>91</v>
      </c>
      <c r="C117" s="32" t="n">
        <v>46</v>
      </c>
      <c r="D117" s="32" t="n">
        <v>91</v>
      </c>
      <c r="E117" s="32" t="n">
        <v>69</v>
      </c>
      <c r="F117" s="32" t="n">
        <v>41</v>
      </c>
      <c r="G117" s="33">
        <f>ROUND(AVERAGE(B117:F117),1)</f>
        <v/>
      </c>
      <c r="H117" s="22">
        <f>IF(MIN(B117:F117)&gt;='Config'!$B$3,"PASS","REVIEW")</f>
        <v/>
      </c>
      <c r="I117" s="22">
        <f>MAX(B117:F117)</f>
        <v/>
      </c>
      <c r="J117" s="22">
        <f>MIN(B117:F117)</f>
        <v/>
      </c>
      <c r="K117" s="22">
        <f>I117-J117</f>
        <v/>
      </c>
    </row>
    <row r="118">
      <c r="A118" s="22" t="inlineStr">
        <is>
          <t>STU-0116</t>
        </is>
      </c>
      <c r="B118" s="32" t="n">
        <v>59</v>
      </c>
      <c r="C118" s="32" t="n">
        <v>86</v>
      </c>
      <c r="D118" s="32" t="n">
        <v>55</v>
      </c>
      <c r="E118" s="32" t="n">
        <v>98</v>
      </c>
      <c r="F118" s="32" t="n">
        <v>56</v>
      </c>
      <c r="G118" s="33">
        <f>ROUND(AVERAGE(B118:F118),1)</f>
        <v/>
      </c>
      <c r="H118" s="22">
        <f>IF(MIN(B118:F118)&gt;='Config'!$B$3,"PASS","REVIEW")</f>
        <v/>
      </c>
      <c r="I118" s="22">
        <f>MAX(B118:F118)</f>
        <v/>
      </c>
      <c r="J118" s="22">
        <f>MIN(B118:F118)</f>
        <v/>
      </c>
      <c r="K118" s="22">
        <f>I118-J118</f>
        <v/>
      </c>
    </row>
    <row r="119">
      <c r="A119" s="22" t="inlineStr">
        <is>
          <t>STU-0117</t>
        </is>
      </c>
      <c r="B119" s="32" t="n">
        <v>88</v>
      </c>
      <c r="C119" s="32" t="n">
        <v>51</v>
      </c>
      <c r="D119" s="32" t="n">
        <v>75</v>
      </c>
      <c r="E119" s="32" t="n">
        <v>49</v>
      </c>
      <c r="F119" s="32" t="n">
        <v>77</v>
      </c>
      <c r="G119" s="33">
        <f>ROUND(AVERAGE(B119:F119),1)</f>
        <v/>
      </c>
      <c r="H119" s="22">
        <f>IF(MIN(B119:F119)&gt;='Config'!$B$3,"PASS","REVIEW")</f>
        <v/>
      </c>
      <c r="I119" s="22">
        <f>MAX(B119:F119)</f>
        <v/>
      </c>
      <c r="J119" s="22">
        <f>MIN(B119:F119)</f>
        <v/>
      </c>
      <c r="K119" s="22">
        <f>I119-J119</f>
        <v/>
      </c>
    </row>
    <row r="120">
      <c r="A120" s="22" t="inlineStr">
        <is>
          <t>STU-0118</t>
        </is>
      </c>
      <c r="B120" s="32" t="n">
        <v>43</v>
      </c>
      <c r="C120" s="32" t="n">
        <v>78</v>
      </c>
      <c r="D120" s="32" t="n">
        <v>85</v>
      </c>
      <c r="E120" s="32" t="n">
        <v>40</v>
      </c>
      <c r="F120" s="32" t="n">
        <v>54</v>
      </c>
      <c r="G120" s="33">
        <f>ROUND(AVERAGE(B120:F120),1)</f>
        <v/>
      </c>
      <c r="H120" s="22">
        <f>IF(MIN(B120:F120)&gt;='Config'!$B$3,"PASS","REVIEW")</f>
        <v/>
      </c>
      <c r="I120" s="22">
        <f>MAX(B120:F120)</f>
        <v/>
      </c>
      <c r="J120" s="22">
        <f>MIN(B120:F120)</f>
        <v/>
      </c>
      <c r="K120" s="22">
        <f>I120-J120</f>
        <v/>
      </c>
    </row>
    <row r="121">
      <c r="A121" s="22" t="inlineStr">
        <is>
          <t>STU-0119</t>
        </is>
      </c>
      <c r="B121" s="32" t="n">
        <v>91</v>
      </c>
      <c r="C121" s="32" t="n">
        <v>82</v>
      </c>
      <c r="D121" s="32" t="n">
        <v>77</v>
      </c>
      <c r="E121" s="32" t="n">
        <v>61</v>
      </c>
      <c r="F121" s="32" t="n">
        <v>100</v>
      </c>
      <c r="G121" s="33">
        <f>ROUND(AVERAGE(B121:F121),1)</f>
        <v/>
      </c>
      <c r="H121" s="22">
        <f>IF(MIN(B121:F121)&gt;='Config'!$B$3,"PASS","REVIEW")</f>
        <v/>
      </c>
      <c r="I121" s="22">
        <f>MAX(B121:F121)</f>
        <v/>
      </c>
      <c r="J121" s="22">
        <f>MIN(B121:F121)</f>
        <v/>
      </c>
      <c r="K121" s="22">
        <f>I121-J121</f>
        <v/>
      </c>
    </row>
    <row r="122">
      <c r="A122" s="22" t="inlineStr">
        <is>
          <t>STU-0120</t>
        </is>
      </c>
      <c r="B122" s="32" t="n">
        <v>56</v>
      </c>
      <c r="C122" s="32" t="n">
        <v>37</v>
      </c>
      <c r="D122" s="32" t="n">
        <v>40</v>
      </c>
      <c r="E122" s="32" t="n">
        <v>66</v>
      </c>
      <c r="F122" s="32" t="n">
        <v>75</v>
      </c>
      <c r="G122" s="33">
        <f>ROUND(AVERAGE(B122:F122),1)</f>
        <v/>
      </c>
      <c r="H122" s="22">
        <f>IF(MIN(B122:F122)&gt;='Config'!$B$3,"PASS","REVIEW")</f>
        <v/>
      </c>
      <c r="I122" s="22">
        <f>MAX(B122:F122)</f>
        <v/>
      </c>
      <c r="J122" s="22">
        <f>MIN(B122:F122)</f>
        <v/>
      </c>
      <c r="K122" s="22">
        <f>I122-J122</f>
        <v/>
      </c>
    </row>
    <row r="123">
      <c r="A123" s="22" t="inlineStr">
        <is>
          <t>STU-0121</t>
        </is>
      </c>
      <c r="B123" s="32" t="n">
        <v>45</v>
      </c>
      <c r="C123" s="32" t="n">
        <v>100</v>
      </c>
      <c r="D123" s="32" t="n">
        <v>84</v>
      </c>
      <c r="E123" s="32" t="n">
        <v>39</v>
      </c>
      <c r="F123" s="32" t="n">
        <v>91</v>
      </c>
      <c r="G123" s="33">
        <f>ROUND(AVERAGE(B123:F123),1)</f>
        <v/>
      </c>
      <c r="H123" s="22">
        <f>IF(MIN(B123:F123)&gt;='Config'!$B$3,"PASS","REVIEW")</f>
        <v/>
      </c>
      <c r="I123" s="22">
        <f>MAX(B123:F123)</f>
        <v/>
      </c>
      <c r="J123" s="22">
        <f>MIN(B123:F123)</f>
        <v/>
      </c>
      <c r="K123" s="22">
        <f>I123-J123</f>
        <v/>
      </c>
    </row>
    <row r="124">
      <c r="A124" s="22" t="inlineStr">
        <is>
          <t>STU-0122</t>
        </is>
      </c>
      <c r="B124" s="32" t="n">
        <v>84</v>
      </c>
      <c r="C124" s="32" t="n">
        <v>96</v>
      </c>
      <c r="D124" s="32" t="n">
        <v>84</v>
      </c>
      <c r="E124" s="32" t="n">
        <v>57</v>
      </c>
      <c r="F124" s="32" t="n">
        <v>78</v>
      </c>
      <c r="G124" s="33">
        <f>ROUND(AVERAGE(B124:F124),1)</f>
        <v/>
      </c>
      <c r="H124" s="22">
        <f>IF(MIN(B124:F124)&gt;='Config'!$B$3,"PASS","REVIEW")</f>
        <v/>
      </c>
      <c r="I124" s="22">
        <f>MAX(B124:F124)</f>
        <v/>
      </c>
      <c r="J124" s="22">
        <f>MIN(B124:F124)</f>
        <v/>
      </c>
      <c r="K124" s="22">
        <f>I124-J124</f>
        <v/>
      </c>
    </row>
    <row r="125">
      <c r="A125" s="22" t="inlineStr">
        <is>
          <t>STU-0123</t>
        </is>
      </c>
      <c r="B125" s="32" t="n">
        <v>44</v>
      </c>
      <c r="C125" s="32" t="n">
        <v>86</v>
      </c>
      <c r="D125" s="32" t="n">
        <v>39</v>
      </c>
      <c r="E125" s="32" t="n">
        <v>91</v>
      </c>
      <c r="F125" s="32" t="n">
        <v>39</v>
      </c>
      <c r="G125" s="33">
        <f>ROUND(AVERAGE(B125:F125),1)</f>
        <v/>
      </c>
      <c r="H125" s="22">
        <f>IF(MIN(B125:F125)&gt;='Config'!$B$3,"PASS","REVIEW")</f>
        <v/>
      </c>
      <c r="I125" s="22">
        <f>MAX(B125:F125)</f>
        <v/>
      </c>
      <c r="J125" s="22">
        <f>MIN(B125:F125)</f>
        <v/>
      </c>
      <c r="K125" s="22">
        <f>I125-J125</f>
        <v/>
      </c>
    </row>
    <row r="126">
      <c r="A126" s="22" t="inlineStr">
        <is>
          <t>STU-0124</t>
        </is>
      </c>
      <c r="B126" s="32" t="n">
        <v>38</v>
      </c>
      <c r="C126" s="32" t="n">
        <v>69</v>
      </c>
      <c r="D126" s="32" t="n">
        <v>72</v>
      </c>
      <c r="E126" s="32" t="n">
        <v>49</v>
      </c>
      <c r="F126" s="32" t="n">
        <v>40</v>
      </c>
      <c r="G126" s="33">
        <f>ROUND(AVERAGE(B126:F126),1)</f>
        <v/>
      </c>
      <c r="H126" s="22">
        <f>IF(MIN(B126:F126)&gt;='Config'!$B$3,"PASS","REVIEW")</f>
        <v/>
      </c>
      <c r="I126" s="22">
        <f>MAX(B126:F126)</f>
        <v/>
      </c>
      <c r="J126" s="22">
        <f>MIN(B126:F126)</f>
        <v/>
      </c>
      <c r="K126" s="22">
        <f>I126-J126</f>
        <v/>
      </c>
    </row>
    <row r="127">
      <c r="A127" s="22" t="inlineStr">
        <is>
          <t>STU-0125</t>
        </is>
      </c>
      <c r="B127" s="32" t="n">
        <v>36</v>
      </c>
      <c r="C127" s="32" t="n">
        <v>68</v>
      </c>
      <c r="D127" s="32" t="n">
        <v>85</v>
      </c>
      <c r="E127" s="32" t="n">
        <v>46</v>
      </c>
      <c r="F127" s="32" t="n">
        <v>55</v>
      </c>
      <c r="G127" s="33">
        <f>ROUND(AVERAGE(B127:F127),1)</f>
        <v/>
      </c>
      <c r="H127" s="22">
        <f>IF(MIN(B127:F127)&gt;='Config'!$B$3,"PASS","REVIEW")</f>
        <v/>
      </c>
      <c r="I127" s="22">
        <f>MAX(B127:F127)</f>
        <v/>
      </c>
      <c r="J127" s="22">
        <f>MIN(B127:F127)</f>
        <v/>
      </c>
      <c r="K127" s="22">
        <f>I127-J127</f>
        <v/>
      </c>
    </row>
    <row r="128">
      <c r="A128" s="22" t="inlineStr">
        <is>
          <t>STU-0126</t>
        </is>
      </c>
      <c r="B128" s="32" t="n">
        <v>91</v>
      </c>
      <c r="C128" s="32" t="n">
        <v>38</v>
      </c>
      <c r="D128" s="32" t="n">
        <v>42</v>
      </c>
      <c r="E128" s="32" t="n">
        <v>72</v>
      </c>
      <c r="F128" s="32" t="n">
        <v>41</v>
      </c>
      <c r="G128" s="33">
        <f>ROUND(AVERAGE(B128:F128),1)</f>
        <v/>
      </c>
      <c r="H128" s="22">
        <f>IF(MIN(B128:F128)&gt;='Config'!$B$3,"PASS","REVIEW")</f>
        <v/>
      </c>
      <c r="I128" s="22">
        <f>MAX(B128:F128)</f>
        <v/>
      </c>
      <c r="J128" s="22">
        <f>MIN(B128:F128)</f>
        <v/>
      </c>
      <c r="K128" s="22">
        <f>I128-J128</f>
        <v/>
      </c>
    </row>
    <row r="129">
      <c r="A129" s="22" t="inlineStr">
        <is>
          <t>STU-0127</t>
        </is>
      </c>
      <c r="B129" s="32" t="n">
        <v>37</v>
      </c>
      <c r="C129" s="32" t="n">
        <v>94</v>
      </c>
      <c r="D129" s="32" t="n">
        <v>47</v>
      </c>
      <c r="E129" s="32" t="n">
        <v>80</v>
      </c>
      <c r="F129" s="32" t="n">
        <v>60</v>
      </c>
      <c r="G129" s="33">
        <f>ROUND(AVERAGE(B129:F129),1)</f>
        <v/>
      </c>
      <c r="H129" s="22">
        <f>IF(MIN(B129:F129)&gt;='Config'!$B$3,"PASS","REVIEW")</f>
        <v/>
      </c>
      <c r="I129" s="22">
        <f>MAX(B129:F129)</f>
        <v/>
      </c>
      <c r="J129" s="22">
        <f>MIN(B129:F129)</f>
        <v/>
      </c>
      <c r="K129" s="22">
        <f>I129-J129</f>
        <v/>
      </c>
    </row>
    <row r="130">
      <c r="A130" s="22" t="inlineStr">
        <is>
          <t>STU-0128</t>
        </is>
      </c>
      <c r="B130" s="32" t="n">
        <v>94</v>
      </c>
      <c r="C130" s="32" t="n">
        <v>38</v>
      </c>
      <c r="D130" s="32" t="n">
        <v>87</v>
      </c>
      <c r="E130" s="32" t="n">
        <v>79</v>
      </c>
      <c r="F130" s="32" t="n">
        <v>78</v>
      </c>
      <c r="G130" s="33">
        <f>ROUND(AVERAGE(B130:F130),1)</f>
        <v/>
      </c>
      <c r="H130" s="22">
        <f>IF(MIN(B130:F130)&gt;='Config'!$B$3,"PASS","REVIEW")</f>
        <v/>
      </c>
      <c r="I130" s="22">
        <f>MAX(B130:F130)</f>
        <v/>
      </c>
      <c r="J130" s="22">
        <f>MIN(B130:F130)</f>
        <v/>
      </c>
      <c r="K130" s="22">
        <f>I130-J130</f>
        <v/>
      </c>
    </row>
    <row r="131">
      <c r="A131" s="22" t="inlineStr">
        <is>
          <t>STU-0129</t>
        </is>
      </c>
      <c r="B131" s="32" t="n">
        <v>59</v>
      </c>
      <c r="C131" s="32" t="n">
        <v>72</v>
      </c>
      <c r="D131" s="32" t="n">
        <v>37</v>
      </c>
      <c r="E131" s="32" t="n">
        <v>48</v>
      </c>
      <c r="F131" s="32" t="n">
        <v>92</v>
      </c>
      <c r="G131" s="33">
        <f>ROUND(AVERAGE(B131:F131),1)</f>
        <v/>
      </c>
      <c r="H131" s="22">
        <f>IF(MIN(B131:F131)&gt;='Config'!$B$3,"PASS","REVIEW")</f>
        <v/>
      </c>
      <c r="I131" s="22">
        <f>MAX(B131:F131)</f>
        <v/>
      </c>
      <c r="J131" s="22">
        <f>MIN(B131:F131)</f>
        <v/>
      </c>
      <c r="K131" s="22">
        <f>I131-J131</f>
        <v/>
      </c>
    </row>
    <row r="132">
      <c r="A132" s="22" t="inlineStr">
        <is>
          <t>STU-0130</t>
        </is>
      </c>
      <c r="B132" s="32" t="n">
        <v>93</v>
      </c>
      <c r="C132" s="32" t="n">
        <v>78</v>
      </c>
      <c r="D132" s="32" t="n">
        <v>43</v>
      </c>
      <c r="E132" s="32" t="n">
        <v>55</v>
      </c>
      <c r="F132" s="32" t="n">
        <v>65</v>
      </c>
      <c r="G132" s="33">
        <f>ROUND(AVERAGE(B132:F132),1)</f>
        <v/>
      </c>
      <c r="H132" s="22">
        <f>IF(MIN(B132:F132)&gt;='Config'!$B$3,"PASS","REVIEW")</f>
        <v/>
      </c>
      <c r="I132" s="22">
        <f>MAX(B132:F132)</f>
        <v/>
      </c>
      <c r="J132" s="22">
        <f>MIN(B132:F132)</f>
        <v/>
      </c>
      <c r="K132" s="22">
        <f>I132-J132</f>
        <v/>
      </c>
    </row>
    <row r="133">
      <c r="A133" s="22" t="inlineStr">
        <is>
          <t>STU-0131</t>
        </is>
      </c>
      <c r="B133" s="32" t="n">
        <v>67</v>
      </c>
      <c r="C133" s="32" t="n">
        <v>95</v>
      </c>
      <c r="D133" s="32" t="n">
        <v>91</v>
      </c>
      <c r="E133" s="32" t="n">
        <v>39</v>
      </c>
      <c r="F133" s="32" t="n">
        <v>75</v>
      </c>
      <c r="G133" s="33">
        <f>ROUND(AVERAGE(B133:F133),1)</f>
        <v/>
      </c>
      <c r="H133" s="22">
        <f>IF(MIN(B133:F133)&gt;='Config'!$B$3,"PASS","REVIEW")</f>
        <v/>
      </c>
      <c r="I133" s="22">
        <f>MAX(B133:F133)</f>
        <v/>
      </c>
      <c r="J133" s="22">
        <f>MIN(B133:F133)</f>
        <v/>
      </c>
      <c r="K133" s="22">
        <f>I133-J133</f>
        <v/>
      </c>
    </row>
    <row r="134">
      <c r="A134" s="22" t="inlineStr">
        <is>
          <t>STU-0132</t>
        </is>
      </c>
      <c r="B134" s="32" t="n">
        <v>46</v>
      </c>
      <c r="C134" s="32" t="n">
        <v>80</v>
      </c>
      <c r="D134" s="32" t="n">
        <v>50</v>
      </c>
      <c r="E134" s="32" t="n">
        <v>42</v>
      </c>
      <c r="F134" s="32" t="n">
        <v>65</v>
      </c>
      <c r="G134" s="33">
        <f>ROUND(AVERAGE(B134:F134),1)</f>
        <v/>
      </c>
      <c r="H134" s="22">
        <f>IF(MIN(B134:F134)&gt;='Config'!$B$3,"PASS","REVIEW")</f>
        <v/>
      </c>
      <c r="I134" s="22">
        <f>MAX(B134:F134)</f>
        <v/>
      </c>
      <c r="J134" s="22">
        <f>MIN(B134:F134)</f>
        <v/>
      </c>
      <c r="K134" s="22">
        <f>I134-J134</f>
        <v/>
      </c>
    </row>
    <row r="135">
      <c r="A135" s="22" t="inlineStr">
        <is>
          <t>STU-0133</t>
        </is>
      </c>
      <c r="B135" s="32" t="n">
        <v>39</v>
      </c>
      <c r="C135" s="32" t="n">
        <v>87</v>
      </c>
      <c r="D135" s="32" t="n">
        <v>39</v>
      </c>
      <c r="E135" s="32" t="n">
        <v>76</v>
      </c>
      <c r="F135" s="32" t="n">
        <v>78</v>
      </c>
      <c r="G135" s="33">
        <f>ROUND(AVERAGE(B135:F135),1)</f>
        <v/>
      </c>
      <c r="H135" s="22">
        <f>IF(MIN(B135:F135)&gt;='Config'!$B$3,"PASS","REVIEW")</f>
        <v/>
      </c>
      <c r="I135" s="22">
        <f>MAX(B135:F135)</f>
        <v/>
      </c>
      <c r="J135" s="22">
        <f>MIN(B135:F135)</f>
        <v/>
      </c>
      <c r="K135" s="22">
        <f>I135-J135</f>
        <v/>
      </c>
    </row>
    <row r="136">
      <c r="A136" s="22" t="inlineStr">
        <is>
          <t>STU-0134</t>
        </is>
      </c>
      <c r="B136" s="32" t="n">
        <v>65</v>
      </c>
      <c r="C136" s="32" t="n">
        <v>42</v>
      </c>
      <c r="D136" s="32" t="n">
        <v>77</v>
      </c>
      <c r="E136" s="32" t="n">
        <v>46</v>
      </c>
      <c r="F136" s="32" t="n">
        <v>42</v>
      </c>
      <c r="G136" s="33">
        <f>ROUND(AVERAGE(B136:F136),1)</f>
        <v/>
      </c>
      <c r="H136" s="22">
        <f>IF(MIN(B136:F136)&gt;='Config'!$B$3,"PASS","REVIEW")</f>
        <v/>
      </c>
      <c r="I136" s="22">
        <f>MAX(B136:F136)</f>
        <v/>
      </c>
      <c r="J136" s="22">
        <f>MIN(B136:F136)</f>
        <v/>
      </c>
      <c r="K136" s="22">
        <f>I136-J136</f>
        <v/>
      </c>
    </row>
    <row r="137">
      <c r="A137" s="22" t="inlineStr">
        <is>
          <t>STU-0135</t>
        </is>
      </c>
      <c r="B137" s="32" t="n">
        <v>57</v>
      </c>
      <c r="C137" s="32" t="n">
        <v>58</v>
      </c>
      <c r="D137" s="32" t="n">
        <v>42</v>
      </c>
      <c r="E137" s="32" t="n">
        <v>47</v>
      </c>
      <c r="F137" s="32" t="n">
        <v>39</v>
      </c>
      <c r="G137" s="33">
        <f>ROUND(AVERAGE(B137:F137),1)</f>
        <v/>
      </c>
      <c r="H137" s="22">
        <f>IF(MIN(B137:F137)&gt;='Config'!$B$3,"PASS","REVIEW")</f>
        <v/>
      </c>
      <c r="I137" s="22">
        <f>MAX(B137:F137)</f>
        <v/>
      </c>
      <c r="J137" s="22">
        <f>MIN(B137:F137)</f>
        <v/>
      </c>
      <c r="K137" s="22">
        <f>I137-J137</f>
        <v/>
      </c>
    </row>
    <row r="138">
      <c r="A138" s="22" t="inlineStr">
        <is>
          <t>STU-0136</t>
        </is>
      </c>
      <c r="B138" s="32" t="n">
        <v>81</v>
      </c>
      <c r="C138" s="32" t="n">
        <v>66</v>
      </c>
      <c r="D138" s="32" t="n">
        <v>51</v>
      </c>
      <c r="E138" s="32" t="n">
        <v>50</v>
      </c>
      <c r="F138" s="32" t="n">
        <v>85</v>
      </c>
      <c r="G138" s="33">
        <f>ROUND(AVERAGE(B138:F138),1)</f>
        <v/>
      </c>
      <c r="H138" s="22">
        <f>IF(MIN(B138:F138)&gt;='Config'!$B$3,"PASS","REVIEW")</f>
        <v/>
      </c>
      <c r="I138" s="22">
        <f>MAX(B138:F138)</f>
        <v/>
      </c>
      <c r="J138" s="22">
        <f>MIN(B138:F138)</f>
        <v/>
      </c>
      <c r="K138" s="22">
        <f>I138-J138</f>
        <v/>
      </c>
    </row>
    <row r="139">
      <c r="A139" s="22" t="inlineStr">
        <is>
          <t>STU-0137</t>
        </is>
      </c>
      <c r="B139" s="32" t="n">
        <v>99</v>
      </c>
      <c r="C139" s="32" t="n">
        <v>81</v>
      </c>
      <c r="D139" s="32" t="n">
        <v>66</v>
      </c>
      <c r="E139" s="32" t="n">
        <v>44</v>
      </c>
      <c r="F139" s="32" t="n">
        <v>76</v>
      </c>
      <c r="G139" s="33">
        <f>ROUND(AVERAGE(B139:F139),1)</f>
        <v/>
      </c>
      <c r="H139" s="22">
        <f>IF(MIN(B139:F139)&gt;='Config'!$B$3,"PASS","REVIEW")</f>
        <v/>
      </c>
      <c r="I139" s="22">
        <f>MAX(B139:F139)</f>
        <v/>
      </c>
      <c r="J139" s="22">
        <f>MIN(B139:F139)</f>
        <v/>
      </c>
      <c r="K139" s="22">
        <f>I139-J139</f>
        <v/>
      </c>
    </row>
    <row r="140">
      <c r="A140" s="22" t="inlineStr">
        <is>
          <t>STU-0138</t>
        </is>
      </c>
      <c r="B140" s="32" t="n">
        <v>98</v>
      </c>
      <c r="C140" s="32" t="n">
        <v>59</v>
      </c>
      <c r="D140" s="32" t="n">
        <v>76</v>
      </c>
      <c r="E140" s="32" t="n">
        <v>92</v>
      </c>
      <c r="F140" s="32" t="n">
        <v>60</v>
      </c>
      <c r="G140" s="33">
        <f>ROUND(AVERAGE(B140:F140),1)</f>
        <v/>
      </c>
      <c r="H140" s="22">
        <f>IF(MIN(B140:F140)&gt;='Config'!$B$3,"PASS","REVIEW")</f>
        <v/>
      </c>
      <c r="I140" s="22">
        <f>MAX(B140:F140)</f>
        <v/>
      </c>
      <c r="J140" s="22">
        <f>MIN(B140:F140)</f>
        <v/>
      </c>
      <c r="K140" s="22">
        <f>I140-J140</f>
        <v/>
      </c>
    </row>
    <row r="141">
      <c r="A141" s="22" t="inlineStr">
        <is>
          <t>STU-0139</t>
        </is>
      </c>
      <c r="B141" s="32" t="n">
        <v>93</v>
      </c>
      <c r="C141" s="32" t="n">
        <v>39</v>
      </c>
      <c r="D141" s="32" t="n">
        <v>81</v>
      </c>
      <c r="E141" s="32" t="n">
        <v>64</v>
      </c>
      <c r="F141" s="32" t="n">
        <v>77</v>
      </c>
      <c r="G141" s="33">
        <f>ROUND(AVERAGE(B141:F141),1)</f>
        <v/>
      </c>
      <c r="H141" s="22">
        <f>IF(MIN(B141:F141)&gt;='Config'!$B$3,"PASS","REVIEW")</f>
        <v/>
      </c>
      <c r="I141" s="22">
        <f>MAX(B141:F141)</f>
        <v/>
      </c>
      <c r="J141" s="22">
        <f>MIN(B141:F141)</f>
        <v/>
      </c>
      <c r="K141" s="22">
        <f>I141-J141</f>
        <v/>
      </c>
    </row>
    <row r="142">
      <c r="A142" s="22" t="inlineStr">
        <is>
          <t>STU-0140</t>
        </is>
      </c>
      <c r="B142" s="32" t="n">
        <v>45</v>
      </c>
      <c r="C142" s="32" t="n">
        <v>69</v>
      </c>
      <c r="D142" s="32" t="n">
        <v>46</v>
      </c>
      <c r="E142" s="32" t="n">
        <v>82</v>
      </c>
      <c r="F142" s="32" t="n">
        <v>94</v>
      </c>
      <c r="G142" s="33">
        <f>ROUND(AVERAGE(B142:F142),1)</f>
        <v/>
      </c>
      <c r="H142" s="22">
        <f>IF(MIN(B142:F142)&gt;='Config'!$B$3,"PASS","REVIEW")</f>
        <v/>
      </c>
      <c r="I142" s="22">
        <f>MAX(B142:F142)</f>
        <v/>
      </c>
      <c r="J142" s="22">
        <f>MIN(B142:F142)</f>
        <v/>
      </c>
      <c r="K142" s="22">
        <f>I142-J142</f>
        <v/>
      </c>
    </row>
    <row r="143">
      <c r="A143" s="22" t="inlineStr">
        <is>
          <t>STU-0141</t>
        </is>
      </c>
      <c r="B143" s="32" t="n">
        <v>52</v>
      </c>
      <c r="C143" s="32" t="n">
        <v>89</v>
      </c>
      <c r="D143" s="32" t="n">
        <v>78</v>
      </c>
      <c r="E143" s="32" t="n">
        <v>96</v>
      </c>
      <c r="F143" s="32" t="n">
        <v>37</v>
      </c>
      <c r="G143" s="33">
        <f>ROUND(AVERAGE(B143:F143),1)</f>
        <v/>
      </c>
      <c r="H143" s="22">
        <f>IF(MIN(B143:F143)&gt;='Config'!$B$3,"PASS","REVIEW")</f>
        <v/>
      </c>
      <c r="I143" s="22">
        <f>MAX(B143:F143)</f>
        <v/>
      </c>
      <c r="J143" s="22">
        <f>MIN(B143:F143)</f>
        <v/>
      </c>
      <c r="K143" s="22">
        <f>I143-J143</f>
        <v/>
      </c>
    </row>
    <row r="144">
      <c r="A144" s="22" t="inlineStr">
        <is>
          <t>STU-0142</t>
        </is>
      </c>
      <c r="B144" s="32" t="n">
        <v>47</v>
      </c>
      <c r="C144" s="32" t="n">
        <v>84</v>
      </c>
      <c r="D144" s="32" t="n">
        <v>53</v>
      </c>
      <c r="E144" s="32" t="n">
        <v>38</v>
      </c>
      <c r="F144" s="32" t="n">
        <v>56</v>
      </c>
      <c r="G144" s="33">
        <f>ROUND(AVERAGE(B144:F144),1)</f>
        <v/>
      </c>
      <c r="H144" s="22">
        <f>IF(MIN(B144:F144)&gt;='Config'!$B$3,"PASS","REVIEW")</f>
        <v/>
      </c>
      <c r="I144" s="22">
        <f>MAX(B144:F144)</f>
        <v/>
      </c>
      <c r="J144" s="22">
        <f>MIN(B144:F144)</f>
        <v/>
      </c>
      <c r="K144" s="22">
        <f>I144-J144</f>
        <v/>
      </c>
    </row>
    <row r="145">
      <c r="A145" s="22" t="inlineStr">
        <is>
          <t>STU-0143</t>
        </is>
      </c>
      <c r="B145" s="32" t="n">
        <v>58</v>
      </c>
      <c r="C145" s="32" t="n">
        <v>47</v>
      </c>
      <c r="D145" s="32" t="n">
        <v>65</v>
      </c>
      <c r="E145" s="32" t="n">
        <v>49</v>
      </c>
      <c r="F145" s="32" t="n">
        <v>50</v>
      </c>
      <c r="G145" s="33">
        <f>ROUND(AVERAGE(B145:F145),1)</f>
        <v/>
      </c>
      <c r="H145" s="22">
        <f>IF(MIN(B145:F145)&gt;='Config'!$B$3,"PASS","REVIEW")</f>
        <v/>
      </c>
      <c r="I145" s="22">
        <f>MAX(B145:F145)</f>
        <v/>
      </c>
      <c r="J145" s="22">
        <f>MIN(B145:F145)</f>
        <v/>
      </c>
      <c r="K145" s="22">
        <f>I145-J145</f>
        <v/>
      </c>
    </row>
    <row r="146">
      <c r="A146" s="22" t="inlineStr">
        <is>
          <t>STU-0144</t>
        </is>
      </c>
      <c r="B146" s="32" t="n">
        <v>100</v>
      </c>
      <c r="C146" s="32" t="n">
        <v>77</v>
      </c>
      <c r="D146" s="32" t="n">
        <v>49</v>
      </c>
      <c r="E146" s="32" t="n">
        <v>36</v>
      </c>
      <c r="F146" s="32" t="n">
        <v>65</v>
      </c>
      <c r="G146" s="33">
        <f>ROUND(AVERAGE(B146:F146),1)</f>
        <v/>
      </c>
      <c r="H146" s="22">
        <f>IF(MIN(B146:F146)&gt;='Config'!$B$3,"PASS","REVIEW")</f>
        <v/>
      </c>
      <c r="I146" s="22">
        <f>MAX(B146:F146)</f>
        <v/>
      </c>
      <c r="J146" s="22">
        <f>MIN(B146:F146)</f>
        <v/>
      </c>
      <c r="K146" s="22">
        <f>I146-J146</f>
        <v/>
      </c>
    </row>
    <row r="147">
      <c r="A147" s="22" t="inlineStr">
        <is>
          <t>STU-0145</t>
        </is>
      </c>
      <c r="B147" s="32" t="n">
        <v>85</v>
      </c>
      <c r="C147" s="32" t="n">
        <v>82</v>
      </c>
      <c r="D147" s="32" t="n">
        <v>89</v>
      </c>
      <c r="E147" s="32" t="n">
        <v>81</v>
      </c>
      <c r="F147" s="32" t="n">
        <v>42</v>
      </c>
      <c r="G147" s="33">
        <f>ROUND(AVERAGE(B147:F147),1)</f>
        <v/>
      </c>
      <c r="H147" s="22">
        <f>IF(MIN(B147:F147)&gt;='Config'!$B$3,"PASS","REVIEW")</f>
        <v/>
      </c>
      <c r="I147" s="22">
        <f>MAX(B147:F147)</f>
        <v/>
      </c>
      <c r="J147" s="22">
        <f>MIN(B147:F147)</f>
        <v/>
      </c>
      <c r="K147" s="22">
        <f>I147-J147</f>
        <v/>
      </c>
    </row>
    <row r="148">
      <c r="A148" s="22" t="inlineStr">
        <is>
          <t>STU-0146</t>
        </is>
      </c>
      <c r="B148" s="32" t="n">
        <v>95</v>
      </c>
      <c r="C148" s="32" t="n">
        <v>87</v>
      </c>
      <c r="D148" s="32" t="n">
        <v>52</v>
      </c>
      <c r="E148" s="32" t="n">
        <v>73</v>
      </c>
      <c r="F148" s="32" t="n">
        <v>86</v>
      </c>
      <c r="G148" s="33">
        <f>ROUND(AVERAGE(B148:F148),1)</f>
        <v/>
      </c>
      <c r="H148" s="22">
        <f>IF(MIN(B148:F148)&gt;='Config'!$B$3,"PASS","REVIEW")</f>
        <v/>
      </c>
      <c r="I148" s="22">
        <f>MAX(B148:F148)</f>
        <v/>
      </c>
      <c r="J148" s="22">
        <f>MIN(B148:F148)</f>
        <v/>
      </c>
      <c r="K148" s="22">
        <f>I148-J148</f>
        <v/>
      </c>
    </row>
    <row r="149">
      <c r="A149" s="22" t="inlineStr">
        <is>
          <t>STU-0147</t>
        </is>
      </c>
      <c r="B149" s="32" t="n">
        <v>62</v>
      </c>
      <c r="C149" s="32" t="n">
        <v>73</v>
      </c>
      <c r="D149" s="32" t="n">
        <v>78</v>
      </c>
      <c r="E149" s="32" t="n">
        <v>36</v>
      </c>
      <c r="F149" s="32" t="n">
        <v>91</v>
      </c>
      <c r="G149" s="33">
        <f>ROUND(AVERAGE(B149:F149),1)</f>
        <v/>
      </c>
      <c r="H149" s="22">
        <f>IF(MIN(B149:F149)&gt;='Config'!$B$3,"PASS","REVIEW")</f>
        <v/>
      </c>
      <c r="I149" s="22">
        <f>MAX(B149:F149)</f>
        <v/>
      </c>
      <c r="J149" s="22">
        <f>MIN(B149:F149)</f>
        <v/>
      </c>
      <c r="K149" s="22">
        <f>I149-J149</f>
        <v/>
      </c>
    </row>
    <row r="150">
      <c r="A150" s="22" t="inlineStr">
        <is>
          <t>STU-0148</t>
        </is>
      </c>
      <c r="B150" s="32" t="n">
        <v>90</v>
      </c>
      <c r="C150" s="32" t="n">
        <v>55</v>
      </c>
      <c r="D150" s="32" t="n">
        <v>75</v>
      </c>
      <c r="E150" s="32" t="n">
        <v>41</v>
      </c>
      <c r="F150" s="32" t="n">
        <v>71</v>
      </c>
      <c r="G150" s="33">
        <f>ROUND(AVERAGE(B150:F150),1)</f>
        <v/>
      </c>
      <c r="H150" s="22">
        <f>IF(MIN(B150:F150)&gt;='Config'!$B$3,"PASS","REVIEW")</f>
        <v/>
      </c>
      <c r="I150" s="22">
        <f>MAX(B150:F150)</f>
        <v/>
      </c>
      <c r="J150" s="22">
        <f>MIN(B150:F150)</f>
        <v/>
      </c>
      <c r="K150" s="22">
        <f>I150-J150</f>
        <v/>
      </c>
    </row>
    <row r="151">
      <c r="A151" s="22" t="inlineStr">
        <is>
          <t>STU-0149</t>
        </is>
      </c>
      <c r="B151" s="32" t="n">
        <v>99</v>
      </c>
      <c r="C151" s="32" t="n">
        <v>72</v>
      </c>
      <c r="D151" s="32" t="n">
        <v>42</v>
      </c>
      <c r="E151" s="32" t="n">
        <v>73</v>
      </c>
      <c r="F151" s="32" t="n">
        <v>87</v>
      </c>
      <c r="G151" s="33">
        <f>ROUND(AVERAGE(B151:F151),1)</f>
        <v/>
      </c>
      <c r="H151" s="22">
        <f>IF(MIN(B151:F151)&gt;='Config'!$B$3,"PASS","REVIEW")</f>
        <v/>
      </c>
      <c r="I151" s="22">
        <f>MAX(B151:F151)</f>
        <v/>
      </c>
      <c r="J151" s="22">
        <f>MIN(B151:F151)</f>
        <v/>
      </c>
      <c r="K151" s="22">
        <f>I151-J151</f>
        <v/>
      </c>
    </row>
    <row r="152">
      <c r="A152" s="22" t="inlineStr">
        <is>
          <t>STU-0150</t>
        </is>
      </c>
      <c r="B152" s="32" t="n">
        <v>57</v>
      </c>
      <c r="C152" s="32" t="n">
        <v>84</v>
      </c>
      <c r="D152" s="32" t="n">
        <v>66</v>
      </c>
      <c r="E152" s="32" t="n">
        <v>72</v>
      </c>
      <c r="F152" s="32" t="n">
        <v>89</v>
      </c>
      <c r="G152" s="33">
        <f>ROUND(AVERAGE(B152:F152),1)</f>
        <v/>
      </c>
      <c r="H152" s="22">
        <f>IF(MIN(B152:F152)&gt;='Config'!$B$3,"PASS","REVIEW")</f>
        <v/>
      </c>
      <c r="I152" s="22">
        <f>MAX(B152:F152)</f>
        <v/>
      </c>
      <c r="J152" s="22">
        <f>MIN(B152:F152)</f>
        <v/>
      </c>
      <c r="K152" s="22">
        <f>I152-J152</f>
        <v/>
      </c>
    </row>
    <row r="153">
      <c r="A153" s="22" t="inlineStr">
        <is>
          <t>STU-0151</t>
        </is>
      </c>
      <c r="B153" s="32" t="n">
        <v>91</v>
      </c>
      <c r="C153" s="32" t="n">
        <v>47</v>
      </c>
      <c r="D153" s="32" t="n">
        <v>69</v>
      </c>
      <c r="E153" s="32" t="n">
        <v>46</v>
      </c>
      <c r="F153" s="32" t="n">
        <v>57</v>
      </c>
      <c r="G153" s="33">
        <f>ROUND(AVERAGE(B153:F153),1)</f>
        <v/>
      </c>
      <c r="H153" s="22">
        <f>IF(MIN(B153:F153)&gt;='Config'!$B$3,"PASS","REVIEW")</f>
        <v/>
      </c>
      <c r="I153" s="22">
        <f>MAX(B153:F153)</f>
        <v/>
      </c>
      <c r="J153" s="22">
        <f>MIN(B153:F153)</f>
        <v/>
      </c>
      <c r="K153" s="22">
        <f>I153-J153</f>
        <v/>
      </c>
    </row>
    <row r="154">
      <c r="A154" s="22" t="inlineStr">
        <is>
          <t>STU-0152</t>
        </is>
      </c>
      <c r="B154" s="32" t="n">
        <v>89</v>
      </c>
      <c r="C154" s="32" t="n">
        <v>72</v>
      </c>
      <c r="D154" s="32" t="n">
        <v>73</v>
      </c>
      <c r="E154" s="32" t="n">
        <v>47</v>
      </c>
      <c r="F154" s="32" t="n">
        <v>46</v>
      </c>
      <c r="G154" s="33">
        <f>ROUND(AVERAGE(B154:F154),1)</f>
        <v/>
      </c>
      <c r="H154" s="22">
        <f>IF(MIN(B154:F154)&gt;='Config'!$B$3,"PASS","REVIEW")</f>
        <v/>
      </c>
      <c r="I154" s="22">
        <f>MAX(B154:F154)</f>
        <v/>
      </c>
      <c r="J154" s="22">
        <f>MIN(B154:F154)</f>
        <v/>
      </c>
      <c r="K154" s="22">
        <f>I154-J154</f>
        <v/>
      </c>
    </row>
    <row r="155">
      <c r="A155" s="22" t="inlineStr">
        <is>
          <t>STU-0153</t>
        </is>
      </c>
      <c r="B155" s="32" t="n">
        <v>51</v>
      </c>
      <c r="C155" s="32" t="n">
        <v>66</v>
      </c>
      <c r="D155" s="32" t="n">
        <v>100</v>
      </c>
      <c r="E155" s="32" t="n">
        <v>54</v>
      </c>
      <c r="F155" s="32" t="n">
        <v>59</v>
      </c>
      <c r="G155" s="33">
        <f>ROUND(AVERAGE(B155:F155),1)</f>
        <v/>
      </c>
      <c r="H155" s="22">
        <f>IF(MIN(B155:F155)&gt;='Config'!$B$3,"PASS","REVIEW")</f>
        <v/>
      </c>
      <c r="I155" s="22">
        <f>MAX(B155:F155)</f>
        <v/>
      </c>
      <c r="J155" s="22">
        <f>MIN(B155:F155)</f>
        <v/>
      </c>
      <c r="K155" s="22">
        <f>I155-J155</f>
        <v/>
      </c>
    </row>
    <row r="156">
      <c r="A156" s="22" t="inlineStr">
        <is>
          <t>STU-0154</t>
        </is>
      </c>
      <c r="B156" s="32" t="n">
        <v>81</v>
      </c>
      <c r="C156" s="32" t="n">
        <v>42</v>
      </c>
      <c r="D156" s="32" t="n">
        <v>80</v>
      </c>
      <c r="E156" s="32" t="n">
        <v>80</v>
      </c>
      <c r="F156" s="32" t="n">
        <v>65</v>
      </c>
      <c r="G156" s="33">
        <f>ROUND(AVERAGE(B156:F156),1)</f>
        <v/>
      </c>
      <c r="H156" s="22">
        <f>IF(MIN(B156:F156)&gt;='Config'!$B$3,"PASS","REVIEW")</f>
        <v/>
      </c>
      <c r="I156" s="22">
        <f>MAX(B156:F156)</f>
        <v/>
      </c>
      <c r="J156" s="22">
        <f>MIN(B156:F156)</f>
        <v/>
      </c>
      <c r="K156" s="22">
        <f>I156-J156</f>
        <v/>
      </c>
    </row>
    <row r="157">
      <c r="A157" s="22" t="inlineStr">
        <is>
          <t>STU-0155</t>
        </is>
      </c>
      <c r="B157" s="32" t="n">
        <v>69</v>
      </c>
      <c r="C157" s="32" t="n">
        <v>51</v>
      </c>
      <c r="D157" s="32" t="n">
        <v>40</v>
      </c>
      <c r="E157" s="32" t="n">
        <v>45</v>
      </c>
      <c r="F157" s="32" t="n">
        <v>96</v>
      </c>
      <c r="G157" s="33">
        <f>ROUND(AVERAGE(B157:F157),1)</f>
        <v/>
      </c>
      <c r="H157" s="22">
        <f>IF(MIN(B157:F157)&gt;='Config'!$B$3,"PASS","REVIEW")</f>
        <v/>
      </c>
      <c r="I157" s="22">
        <f>MAX(B157:F157)</f>
        <v/>
      </c>
      <c r="J157" s="22">
        <f>MIN(B157:F157)</f>
        <v/>
      </c>
      <c r="K157" s="22">
        <f>I157-J157</f>
        <v/>
      </c>
    </row>
    <row r="158">
      <c r="A158" s="22" t="inlineStr">
        <is>
          <t>STU-0156</t>
        </is>
      </c>
      <c r="B158" s="32" t="n">
        <v>76</v>
      </c>
      <c r="C158" s="32" t="n">
        <v>68</v>
      </c>
      <c r="D158" s="32" t="n">
        <v>47</v>
      </c>
      <c r="E158" s="32" t="n">
        <v>75</v>
      </c>
      <c r="F158" s="32" t="n">
        <v>92</v>
      </c>
      <c r="G158" s="33">
        <f>ROUND(AVERAGE(B158:F158),1)</f>
        <v/>
      </c>
      <c r="H158" s="22">
        <f>IF(MIN(B158:F158)&gt;='Config'!$B$3,"PASS","REVIEW")</f>
        <v/>
      </c>
      <c r="I158" s="22">
        <f>MAX(B158:F158)</f>
        <v/>
      </c>
      <c r="J158" s="22">
        <f>MIN(B158:F158)</f>
        <v/>
      </c>
      <c r="K158" s="22">
        <f>I158-J158</f>
        <v/>
      </c>
    </row>
    <row r="159">
      <c r="A159" s="22" t="inlineStr">
        <is>
          <t>STU-0157</t>
        </is>
      </c>
      <c r="B159" s="32" t="n">
        <v>94</v>
      </c>
      <c r="C159" s="32" t="n">
        <v>56</v>
      </c>
      <c r="D159" s="32" t="n">
        <v>91</v>
      </c>
      <c r="E159" s="32" t="n">
        <v>60</v>
      </c>
      <c r="F159" s="32" t="n">
        <v>60</v>
      </c>
      <c r="G159" s="33">
        <f>ROUND(AVERAGE(B159:F159),1)</f>
        <v/>
      </c>
      <c r="H159" s="22">
        <f>IF(MIN(B159:F159)&gt;='Config'!$B$3,"PASS","REVIEW")</f>
        <v/>
      </c>
      <c r="I159" s="22">
        <f>MAX(B159:F159)</f>
        <v/>
      </c>
      <c r="J159" s="22">
        <f>MIN(B159:F159)</f>
        <v/>
      </c>
      <c r="K159" s="22">
        <f>I159-J159</f>
        <v/>
      </c>
    </row>
    <row r="160">
      <c r="A160" s="22" t="inlineStr">
        <is>
          <t>STU-0158</t>
        </is>
      </c>
      <c r="B160" s="32" t="n">
        <v>42</v>
      </c>
      <c r="C160" s="32" t="n">
        <v>95</v>
      </c>
      <c r="D160" s="32" t="n">
        <v>86</v>
      </c>
      <c r="E160" s="32" t="n">
        <v>39</v>
      </c>
      <c r="F160" s="32" t="n">
        <v>41</v>
      </c>
      <c r="G160" s="33">
        <f>ROUND(AVERAGE(B160:F160),1)</f>
        <v/>
      </c>
      <c r="H160" s="22">
        <f>IF(MIN(B160:F160)&gt;='Config'!$B$3,"PASS","REVIEW")</f>
        <v/>
      </c>
      <c r="I160" s="22">
        <f>MAX(B160:F160)</f>
        <v/>
      </c>
      <c r="J160" s="22">
        <f>MIN(B160:F160)</f>
        <v/>
      </c>
      <c r="K160" s="22">
        <f>I160-J160</f>
        <v/>
      </c>
    </row>
    <row r="161">
      <c r="A161" s="22" t="inlineStr">
        <is>
          <t>STU-0159</t>
        </is>
      </c>
      <c r="B161" s="32" t="n">
        <v>61</v>
      </c>
      <c r="C161" s="32" t="n">
        <v>48</v>
      </c>
      <c r="D161" s="32" t="n">
        <v>79</v>
      </c>
      <c r="E161" s="32" t="n">
        <v>94</v>
      </c>
      <c r="F161" s="32" t="n">
        <v>35</v>
      </c>
      <c r="G161" s="33">
        <f>ROUND(AVERAGE(B161:F161),1)</f>
        <v/>
      </c>
      <c r="H161" s="22">
        <f>IF(MIN(B161:F161)&gt;='Config'!$B$3,"PASS","REVIEW")</f>
        <v/>
      </c>
      <c r="I161" s="22">
        <f>MAX(B161:F161)</f>
        <v/>
      </c>
      <c r="J161" s="22">
        <f>MIN(B161:F161)</f>
        <v/>
      </c>
      <c r="K161" s="22">
        <f>I161-J161</f>
        <v/>
      </c>
    </row>
    <row r="162">
      <c r="A162" s="22" t="inlineStr">
        <is>
          <t>STU-0160</t>
        </is>
      </c>
      <c r="B162" s="32" t="n">
        <v>68</v>
      </c>
      <c r="C162" s="32" t="n">
        <v>50</v>
      </c>
      <c r="D162" s="32" t="n">
        <v>65</v>
      </c>
      <c r="E162" s="32" t="n">
        <v>69</v>
      </c>
      <c r="F162" s="32" t="n">
        <v>59</v>
      </c>
      <c r="G162" s="33">
        <f>ROUND(AVERAGE(B162:F162),1)</f>
        <v/>
      </c>
      <c r="H162" s="22">
        <f>IF(MIN(B162:F162)&gt;='Config'!$B$3,"PASS","REVIEW")</f>
        <v/>
      </c>
      <c r="I162" s="22">
        <f>MAX(B162:F162)</f>
        <v/>
      </c>
      <c r="J162" s="22">
        <f>MIN(B162:F162)</f>
        <v/>
      </c>
      <c r="K162" s="22">
        <f>I162-J162</f>
        <v/>
      </c>
    </row>
    <row r="163">
      <c r="A163" s="22" t="inlineStr">
        <is>
          <t>STU-0161</t>
        </is>
      </c>
      <c r="B163" s="32" t="n">
        <v>64</v>
      </c>
      <c r="C163" s="32" t="n">
        <v>61</v>
      </c>
      <c r="D163" s="32" t="n">
        <v>76</v>
      </c>
      <c r="E163" s="32" t="n">
        <v>63</v>
      </c>
      <c r="F163" s="32" t="n">
        <v>49</v>
      </c>
      <c r="G163" s="33">
        <f>ROUND(AVERAGE(B163:F163),1)</f>
        <v/>
      </c>
      <c r="H163" s="22">
        <f>IF(MIN(B163:F163)&gt;='Config'!$B$3,"PASS","REVIEW")</f>
        <v/>
      </c>
      <c r="I163" s="22">
        <f>MAX(B163:F163)</f>
        <v/>
      </c>
      <c r="J163" s="22">
        <f>MIN(B163:F163)</f>
        <v/>
      </c>
      <c r="K163" s="22">
        <f>I163-J163</f>
        <v/>
      </c>
    </row>
    <row r="164">
      <c r="A164" s="22" t="inlineStr">
        <is>
          <t>STU-0162</t>
        </is>
      </c>
      <c r="B164" s="32" t="n">
        <v>54</v>
      </c>
      <c r="C164" s="32" t="n">
        <v>69</v>
      </c>
      <c r="D164" s="32" t="n">
        <v>54</v>
      </c>
      <c r="E164" s="32" t="n">
        <v>44</v>
      </c>
      <c r="F164" s="32" t="n">
        <v>71</v>
      </c>
      <c r="G164" s="33">
        <f>ROUND(AVERAGE(B164:F164),1)</f>
        <v/>
      </c>
      <c r="H164" s="22">
        <f>IF(MIN(B164:F164)&gt;='Config'!$B$3,"PASS","REVIEW")</f>
        <v/>
      </c>
      <c r="I164" s="22">
        <f>MAX(B164:F164)</f>
        <v/>
      </c>
      <c r="J164" s="22">
        <f>MIN(B164:F164)</f>
        <v/>
      </c>
      <c r="K164" s="22">
        <f>I164-J164</f>
        <v/>
      </c>
    </row>
    <row r="165">
      <c r="A165" s="22" t="inlineStr">
        <is>
          <t>STU-0163</t>
        </is>
      </c>
      <c r="B165" s="32" t="n">
        <v>97</v>
      </c>
      <c r="C165" s="32" t="n">
        <v>53</v>
      </c>
      <c r="D165" s="32" t="n">
        <v>69</v>
      </c>
      <c r="E165" s="32" t="n">
        <v>72</v>
      </c>
      <c r="F165" s="32" t="n">
        <v>92</v>
      </c>
      <c r="G165" s="33">
        <f>ROUND(AVERAGE(B165:F165),1)</f>
        <v/>
      </c>
      <c r="H165" s="22">
        <f>IF(MIN(B165:F165)&gt;='Config'!$B$3,"PASS","REVIEW")</f>
        <v/>
      </c>
      <c r="I165" s="22">
        <f>MAX(B165:F165)</f>
        <v/>
      </c>
      <c r="J165" s="22">
        <f>MIN(B165:F165)</f>
        <v/>
      </c>
      <c r="K165" s="22">
        <f>I165-J165</f>
        <v/>
      </c>
    </row>
    <row r="166">
      <c r="A166" s="22" t="inlineStr">
        <is>
          <t>STU-0164</t>
        </is>
      </c>
      <c r="B166" s="32" t="n">
        <v>67</v>
      </c>
      <c r="C166" s="32" t="n">
        <v>76</v>
      </c>
      <c r="D166" s="32" t="n">
        <v>71</v>
      </c>
      <c r="E166" s="32" t="n">
        <v>48</v>
      </c>
      <c r="F166" s="32" t="n">
        <v>94</v>
      </c>
      <c r="G166" s="33">
        <f>ROUND(AVERAGE(B166:F166),1)</f>
        <v/>
      </c>
      <c r="H166" s="22">
        <f>IF(MIN(B166:F166)&gt;='Config'!$B$3,"PASS","REVIEW")</f>
        <v/>
      </c>
      <c r="I166" s="22">
        <f>MAX(B166:F166)</f>
        <v/>
      </c>
      <c r="J166" s="22">
        <f>MIN(B166:F166)</f>
        <v/>
      </c>
      <c r="K166" s="22">
        <f>I166-J166</f>
        <v/>
      </c>
    </row>
    <row r="167">
      <c r="A167" s="22" t="inlineStr">
        <is>
          <t>STU-0165</t>
        </is>
      </c>
      <c r="B167" s="32" t="n">
        <v>65</v>
      </c>
      <c r="C167" s="32" t="n">
        <v>87</v>
      </c>
      <c r="D167" s="32" t="n">
        <v>83</v>
      </c>
      <c r="E167" s="32" t="n">
        <v>62</v>
      </c>
      <c r="F167" s="32" t="n">
        <v>48</v>
      </c>
      <c r="G167" s="33">
        <f>ROUND(AVERAGE(B167:F167),1)</f>
        <v/>
      </c>
      <c r="H167" s="22">
        <f>IF(MIN(B167:F167)&gt;='Config'!$B$3,"PASS","REVIEW")</f>
        <v/>
      </c>
      <c r="I167" s="22">
        <f>MAX(B167:F167)</f>
        <v/>
      </c>
      <c r="J167" s="22">
        <f>MIN(B167:F167)</f>
        <v/>
      </c>
      <c r="K167" s="22">
        <f>I167-J167</f>
        <v/>
      </c>
    </row>
    <row r="168">
      <c r="A168" s="22" t="inlineStr">
        <is>
          <t>STU-0166</t>
        </is>
      </c>
      <c r="B168" s="32" t="n">
        <v>75</v>
      </c>
      <c r="C168" s="32" t="n">
        <v>63</v>
      </c>
      <c r="D168" s="32" t="n">
        <v>99</v>
      </c>
      <c r="E168" s="32" t="n">
        <v>92</v>
      </c>
      <c r="F168" s="32" t="n">
        <v>45</v>
      </c>
      <c r="G168" s="33">
        <f>ROUND(AVERAGE(B168:F168),1)</f>
        <v/>
      </c>
      <c r="H168" s="22">
        <f>IF(MIN(B168:F168)&gt;='Config'!$B$3,"PASS","REVIEW")</f>
        <v/>
      </c>
      <c r="I168" s="22">
        <f>MAX(B168:F168)</f>
        <v/>
      </c>
      <c r="J168" s="22">
        <f>MIN(B168:F168)</f>
        <v/>
      </c>
      <c r="K168" s="22">
        <f>I168-J168</f>
        <v/>
      </c>
    </row>
    <row r="169">
      <c r="A169" s="22" t="inlineStr">
        <is>
          <t>STU-0167</t>
        </is>
      </c>
      <c r="B169" s="32" t="n">
        <v>39</v>
      </c>
      <c r="C169" s="32" t="n">
        <v>97</v>
      </c>
      <c r="D169" s="32" t="n">
        <v>60</v>
      </c>
      <c r="E169" s="32" t="n">
        <v>100</v>
      </c>
      <c r="F169" s="32" t="n">
        <v>97</v>
      </c>
      <c r="G169" s="33">
        <f>ROUND(AVERAGE(B169:F169),1)</f>
        <v/>
      </c>
      <c r="H169" s="22">
        <f>IF(MIN(B169:F169)&gt;='Config'!$B$3,"PASS","REVIEW")</f>
        <v/>
      </c>
      <c r="I169" s="22">
        <f>MAX(B169:F169)</f>
        <v/>
      </c>
      <c r="J169" s="22">
        <f>MIN(B169:F169)</f>
        <v/>
      </c>
      <c r="K169" s="22">
        <f>I169-J169</f>
        <v/>
      </c>
    </row>
    <row r="170">
      <c r="A170" s="22" t="inlineStr">
        <is>
          <t>STU-0168</t>
        </is>
      </c>
      <c r="B170" s="32" t="n">
        <v>64</v>
      </c>
      <c r="C170" s="32" t="n">
        <v>65</v>
      </c>
      <c r="D170" s="32" t="n">
        <v>71</v>
      </c>
      <c r="E170" s="32" t="n">
        <v>68</v>
      </c>
      <c r="F170" s="32" t="n">
        <v>50</v>
      </c>
      <c r="G170" s="33">
        <f>ROUND(AVERAGE(B170:F170),1)</f>
        <v/>
      </c>
      <c r="H170" s="22">
        <f>IF(MIN(B170:F170)&gt;='Config'!$B$3,"PASS","REVIEW")</f>
        <v/>
      </c>
      <c r="I170" s="22">
        <f>MAX(B170:F170)</f>
        <v/>
      </c>
      <c r="J170" s="22">
        <f>MIN(B170:F170)</f>
        <v/>
      </c>
      <c r="K170" s="22">
        <f>I170-J170</f>
        <v/>
      </c>
    </row>
    <row r="171">
      <c r="A171" s="22" t="inlineStr">
        <is>
          <t>STU-0169</t>
        </is>
      </c>
      <c r="B171" s="32" t="n">
        <v>36</v>
      </c>
      <c r="C171" s="32" t="n">
        <v>92</v>
      </c>
      <c r="D171" s="32" t="n">
        <v>84</v>
      </c>
      <c r="E171" s="32" t="n">
        <v>47</v>
      </c>
      <c r="F171" s="32" t="n">
        <v>46</v>
      </c>
      <c r="G171" s="33">
        <f>ROUND(AVERAGE(B171:F171),1)</f>
        <v/>
      </c>
      <c r="H171" s="22">
        <f>IF(MIN(B171:F171)&gt;='Config'!$B$3,"PASS","REVIEW")</f>
        <v/>
      </c>
      <c r="I171" s="22">
        <f>MAX(B171:F171)</f>
        <v/>
      </c>
      <c r="J171" s="22">
        <f>MIN(B171:F171)</f>
        <v/>
      </c>
      <c r="K171" s="22">
        <f>I171-J171</f>
        <v/>
      </c>
    </row>
    <row r="172">
      <c r="A172" s="22" t="inlineStr">
        <is>
          <t>STU-0170</t>
        </is>
      </c>
      <c r="B172" s="32" t="n">
        <v>38</v>
      </c>
      <c r="C172" s="32" t="n">
        <v>47</v>
      </c>
      <c r="D172" s="32" t="n">
        <v>47</v>
      </c>
      <c r="E172" s="32" t="n">
        <v>47</v>
      </c>
      <c r="F172" s="32" t="n">
        <v>69</v>
      </c>
      <c r="G172" s="33">
        <f>ROUND(AVERAGE(B172:F172),1)</f>
        <v/>
      </c>
      <c r="H172" s="22">
        <f>IF(MIN(B172:F172)&gt;='Config'!$B$3,"PASS","REVIEW")</f>
        <v/>
      </c>
      <c r="I172" s="22">
        <f>MAX(B172:F172)</f>
        <v/>
      </c>
      <c r="J172" s="22">
        <f>MIN(B172:F172)</f>
        <v/>
      </c>
      <c r="K172" s="22">
        <f>I172-J172</f>
        <v/>
      </c>
    </row>
    <row r="173">
      <c r="A173" s="22" t="inlineStr">
        <is>
          <t>STU-0171</t>
        </is>
      </c>
      <c r="B173" s="32" t="n">
        <v>47</v>
      </c>
      <c r="C173" s="32" t="n">
        <v>57</v>
      </c>
      <c r="D173" s="32" t="n">
        <v>86</v>
      </c>
      <c r="E173" s="32" t="n">
        <v>79</v>
      </c>
      <c r="F173" s="32" t="n">
        <v>61</v>
      </c>
      <c r="G173" s="33">
        <f>ROUND(AVERAGE(B173:F173),1)</f>
        <v/>
      </c>
      <c r="H173" s="22">
        <f>IF(MIN(B173:F173)&gt;='Config'!$B$3,"PASS","REVIEW")</f>
        <v/>
      </c>
      <c r="I173" s="22">
        <f>MAX(B173:F173)</f>
        <v/>
      </c>
      <c r="J173" s="22">
        <f>MIN(B173:F173)</f>
        <v/>
      </c>
      <c r="K173" s="22">
        <f>I173-J173</f>
        <v/>
      </c>
    </row>
    <row r="174">
      <c r="A174" s="22" t="inlineStr">
        <is>
          <t>STU-0172</t>
        </is>
      </c>
      <c r="B174" s="32" t="n">
        <v>43</v>
      </c>
      <c r="C174" s="32" t="n">
        <v>85</v>
      </c>
      <c r="D174" s="32" t="n">
        <v>91</v>
      </c>
      <c r="E174" s="32" t="n">
        <v>38</v>
      </c>
      <c r="F174" s="32" t="n">
        <v>35</v>
      </c>
      <c r="G174" s="33">
        <f>ROUND(AVERAGE(B174:F174),1)</f>
        <v/>
      </c>
      <c r="H174" s="22">
        <f>IF(MIN(B174:F174)&gt;='Config'!$B$3,"PASS","REVIEW")</f>
        <v/>
      </c>
      <c r="I174" s="22">
        <f>MAX(B174:F174)</f>
        <v/>
      </c>
      <c r="J174" s="22">
        <f>MIN(B174:F174)</f>
        <v/>
      </c>
      <c r="K174" s="22">
        <f>I174-J174</f>
        <v/>
      </c>
    </row>
    <row r="175">
      <c r="A175" s="22" t="inlineStr">
        <is>
          <t>STU-0173</t>
        </is>
      </c>
      <c r="B175" s="32" t="n">
        <v>76</v>
      </c>
      <c r="C175" s="32" t="n">
        <v>44</v>
      </c>
      <c r="D175" s="32" t="n">
        <v>42</v>
      </c>
      <c r="E175" s="32" t="n">
        <v>87</v>
      </c>
      <c r="F175" s="32" t="n">
        <v>67</v>
      </c>
      <c r="G175" s="33">
        <f>ROUND(AVERAGE(B175:F175),1)</f>
        <v/>
      </c>
      <c r="H175" s="22">
        <f>IF(MIN(B175:F175)&gt;='Config'!$B$3,"PASS","REVIEW")</f>
        <v/>
      </c>
      <c r="I175" s="22">
        <f>MAX(B175:F175)</f>
        <v/>
      </c>
      <c r="J175" s="22">
        <f>MIN(B175:F175)</f>
        <v/>
      </c>
      <c r="K175" s="22">
        <f>I175-J175</f>
        <v/>
      </c>
    </row>
    <row r="176">
      <c r="A176" s="22" t="inlineStr">
        <is>
          <t>STU-0174</t>
        </is>
      </c>
      <c r="B176" s="32" t="n">
        <v>96</v>
      </c>
      <c r="C176" s="32" t="n">
        <v>96</v>
      </c>
      <c r="D176" s="32" t="n">
        <v>85</v>
      </c>
      <c r="E176" s="32" t="n">
        <v>55</v>
      </c>
      <c r="F176" s="32" t="n">
        <v>73</v>
      </c>
      <c r="G176" s="33">
        <f>ROUND(AVERAGE(B176:F176),1)</f>
        <v/>
      </c>
      <c r="H176" s="22">
        <f>IF(MIN(B176:F176)&gt;='Config'!$B$3,"PASS","REVIEW")</f>
        <v/>
      </c>
      <c r="I176" s="22">
        <f>MAX(B176:F176)</f>
        <v/>
      </c>
      <c r="J176" s="22">
        <f>MIN(B176:F176)</f>
        <v/>
      </c>
      <c r="K176" s="22">
        <f>I176-J176</f>
        <v/>
      </c>
    </row>
    <row r="177">
      <c r="A177" s="22" t="inlineStr">
        <is>
          <t>STU-0175</t>
        </is>
      </c>
      <c r="B177" s="32" t="n">
        <v>94</v>
      </c>
      <c r="C177" s="32" t="n">
        <v>88</v>
      </c>
      <c r="D177" s="32" t="n">
        <v>65</v>
      </c>
      <c r="E177" s="32" t="n">
        <v>64</v>
      </c>
      <c r="F177" s="32" t="n">
        <v>50</v>
      </c>
      <c r="G177" s="33">
        <f>ROUND(AVERAGE(B177:F177),1)</f>
        <v/>
      </c>
      <c r="H177" s="22">
        <f>IF(MIN(B177:F177)&gt;='Config'!$B$3,"PASS","REVIEW")</f>
        <v/>
      </c>
      <c r="I177" s="22">
        <f>MAX(B177:F177)</f>
        <v/>
      </c>
      <c r="J177" s="22">
        <f>MIN(B177:F177)</f>
        <v/>
      </c>
      <c r="K177" s="22">
        <f>I177-J177</f>
        <v/>
      </c>
    </row>
    <row r="178">
      <c r="A178" s="22" t="inlineStr">
        <is>
          <t>STU-0176</t>
        </is>
      </c>
      <c r="B178" s="32" t="n">
        <v>91</v>
      </c>
      <c r="C178" s="32" t="n">
        <v>94</v>
      </c>
      <c r="D178" s="32" t="n">
        <v>61</v>
      </c>
      <c r="E178" s="32" t="n">
        <v>96</v>
      </c>
      <c r="F178" s="32" t="n">
        <v>51</v>
      </c>
      <c r="G178" s="33">
        <f>ROUND(AVERAGE(B178:F178),1)</f>
        <v/>
      </c>
      <c r="H178" s="22">
        <f>IF(MIN(B178:F178)&gt;='Config'!$B$3,"PASS","REVIEW")</f>
        <v/>
      </c>
      <c r="I178" s="22">
        <f>MAX(B178:F178)</f>
        <v/>
      </c>
      <c r="J178" s="22">
        <f>MIN(B178:F178)</f>
        <v/>
      </c>
      <c r="K178" s="22">
        <f>I178-J178</f>
        <v/>
      </c>
    </row>
    <row r="179">
      <c r="A179" s="22" t="inlineStr">
        <is>
          <t>STU-0177</t>
        </is>
      </c>
      <c r="B179" s="32" t="n">
        <v>49</v>
      </c>
      <c r="C179" s="32" t="n">
        <v>93</v>
      </c>
      <c r="D179" s="32" t="n">
        <v>38</v>
      </c>
      <c r="E179" s="32" t="n">
        <v>60</v>
      </c>
      <c r="F179" s="32" t="n">
        <v>39</v>
      </c>
      <c r="G179" s="33">
        <f>ROUND(AVERAGE(B179:F179),1)</f>
        <v/>
      </c>
      <c r="H179" s="22">
        <f>IF(MIN(B179:F179)&gt;='Config'!$B$3,"PASS","REVIEW")</f>
        <v/>
      </c>
      <c r="I179" s="22">
        <f>MAX(B179:F179)</f>
        <v/>
      </c>
      <c r="J179" s="22">
        <f>MIN(B179:F179)</f>
        <v/>
      </c>
      <c r="K179" s="22">
        <f>I179-J179</f>
        <v/>
      </c>
    </row>
    <row r="180">
      <c r="A180" s="22" t="inlineStr">
        <is>
          <t>STU-0178</t>
        </is>
      </c>
      <c r="B180" s="32" t="n">
        <v>66</v>
      </c>
      <c r="C180" s="32" t="n">
        <v>56</v>
      </c>
      <c r="D180" s="32" t="n">
        <v>92</v>
      </c>
      <c r="E180" s="32" t="n">
        <v>65</v>
      </c>
      <c r="F180" s="32" t="n">
        <v>63</v>
      </c>
      <c r="G180" s="33">
        <f>ROUND(AVERAGE(B180:F180),1)</f>
        <v/>
      </c>
      <c r="H180" s="22">
        <f>IF(MIN(B180:F180)&gt;='Config'!$B$3,"PASS","REVIEW")</f>
        <v/>
      </c>
      <c r="I180" s="22">
        <f>MAX(B180:F180)</f>
        <v/>
      </c>
      <c r="J180" s="22">
        <f>MIN(B180:F180)</f>
        <v/>
      </c>
      <c r="K180" s="22">
        <f>I180-J180</f>
        <v/>
      </c>
    </row>
    <row r="181">
      <c r="A181" s="22" t="inlineStr">
        <is>
          <t>STU-0179</t>
        </is>
      </c>
      <c r="B181" s="32" t="n">
        <v>38</v>
      </c>
      <c r="C181" s="32" t="n">
        <v>88</v>
      </c>
      <c r="D181" s="32" t="n">
        <v>44</v>
      </c>
      <c r="E181" s="32" t="n">
        <v>73</v>
      </c>
      <c r="F181" s="32" t="n">
        <v>73</v>
      </c>
      <c r="G181" s="33">
        <f>ROUND(AVERAGE(B181:F181),1)</f>
        <v/>
      </c>
      <c r="H181" s="22">
        <f>IF(MIN(B181:F181)&gt;='Config'!$B$3,"PASS","REVIEW")</f>
        <v/>
      </c>
      <c r="I181" s="22">
        <f>MAX(B181:F181)</f>
        <v/>
      </c>
      <c r="J181" s="22">
        <f>MIN(B181:F181)</f>
        <v/>
      </c>
      <c r="K181" s="22">
        <f>I181-J181</f>
        <v/>
      </c>
    </row>
    <row r="182">
      <c r="A182" s="23" t="inlineStr">
        <is>
          <t>STU-0180</t>
        </is>
      </c>
      <c r="B182" s="34" t="n">
        <v>68</v>
      </c>
      <c r="C182" s="34" t="n">
        <v>66</v>
      </c>
      <c r="D182" s="34" t="n">
        <v>81</v>
      </c>
      <c r="E182" s="34" t="n">
        <v>95</v>
      </c>
      <c r="F182" s="34" t="n">
        <v>78</v>
      </c>
      <c r="G182" s="35">
        <f>ROUND(AVERAGE(B182:F182),1)</f>
        <v/>
      </c>
      <c r="H182" s="23">
        <f>IF(MIN(B182:F182)&gt;='Config'!$B$3,"PASS","REVIEW")</f>
        <v/>
      </c>
      <c r="I182" s="23">
        <f>MAX(B182:F182)</f>
        <v/>
      </c>
      <c r="J182" s="23">
        <f>MIN(B182:F182)</f>
        <v/>
      </c>
      <c r="K182" s="23">
        <f>I182-J182</f>
        <v/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